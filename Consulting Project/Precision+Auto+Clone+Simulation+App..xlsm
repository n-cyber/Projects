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oma\Documents\SOM 591 - 2022 Spring\"/>
    </mc:Choice>
  </mc:AlternateContent>
  <xr:revisionPtr revIDLastSave="0" documentId="13_ncr:1_{3A26D8A2-5553-4F73-9033-644D063FDB17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Input" sheetId="1" r:id="rId1"/>
    <sheet name="Simulation" sheetId="2" r:id="rId2"/>
    <sheet name="Strategy" sheetId="3" r:id="rId3"/>
  </sheets>
  <definedNames>
    <definedName name="Beg_Inv">Input!$D$16</definedName>
    <definedName name="D_Mean">Input!$D$8</definedName>
    <definedName name="D_StdDev">Input!$D$9</definedName>
    <definedName name="Holding_Cost">Input!$D$12</definedName>
    <definedName name="LTD">Input!$B$20:$D$22</definedName>
    <definedName name="Order_Cost">Input!$D$13</definedName>
    <definedName name="Periods">Input!$D$23:$G$25</definedName>
    <definedName name="Point">Simulation!$D$4</definedName>
    <definedName name="Quantity">Simulation!$I$4</definedName>
    <definedName name="results">Strategy!$D$10:$I$15</definedName>
    <definedName name="Shortage_Cost">Input!$D$14</definedName>
    <definedName name="tabl">Strategy!$C$9:$I$15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9" i="2" l="1"/>
  <c r="E9" i="2" s="1"/>
  <c r="D10" i="2"/>
  <c r="E10" i="2" s="1"/>
  <c r="D11" i="2"/>
  <c r="E11" i="2" s="1"/>
  <c r="D12" i="2"/>
  <c r="E12" i="2" s="1"/>
  <c r="D13" i="2"/>
  <c r="E13" i="2" s="1"/>
  <c r="D14" i="2"/>
  <c r="E14" i="2" s="1"/>
  <c r="D15" i="2"/>
  <c r="E15" i="2" s="1"/>
  <c r="D16" i="2"/>
  <c r="E16" i="2" s="1"/>
  <c r="D17" i="2"/>
  <c r="E17" i="2" s="1"/>
  <c r="D18" i="2"/>
  <c r="E18" i="2" s="1"/>
  <c r="D19" i="2"/>
  <c r="E19" i="2" s="1"/>
  <c r="D20" i="2"/>
  <c r="E20" i="2" s="1"/>
  <c r="D21" i="2"/>
  <c r="E21" i="2" s="1"/>
  <c r="D22" i="2"/>
  <c r="E22" i="2" s="1"/>
  <c r="D23" i="2"/>
  <c r="E23" i="2" s="1"/>
  <c r="D24" i="2"/>
  <c r="E24" i="2" s="1"/>
  <c r="D25" i="2"/>
  <c r="E25" i="2" s="1"/>
  <c r="D26" i="2"/>
  <c r="E26" i="2" s="1"/>
  <c r="D27" i="2"/>
  <c r="E27" i="2" s="1"/>
  <c r="D28" i="2"/>
  <c r="E28" i="2" s="1"/>
  <c r="D29" i="2"/>
  <c r="E29" i="2" s="1"/>
  <c r="D30" i="2"/>
  <c r="E30" i="2" s="1"/>
  <c r="D31" i="2"/>
  <c r="E31" i="2" s="1"/>
  <c r="D32" i="2"/>
  <c r="E32" i="2" s="1"/>
  <c r="D33" i="2"/>
  <c r="E33" i="2" s="1"/>
  <c r="D34" i="2"/>
  <c r="E34" i="2" s="1"/>
  <c r="D35" i="2"/>
  <c r="E35" i="2" s="1"/>
  <c r="D36" i="2"/>
  <c r="E36" i="2" s="1"/>
  <c r="D37" i="2"/>
  <c r="E37" i="2" s="1"/>
  <c r="D38" i="2"/>
  <c r="E38" i="2" s="1"/>
  <c r="D39" i="2"/>
  <c r="E39" i="2" s="1"/>
  <c r="D40" i="2"/>
  <c r="E40" i="2" s="1"/>
  <c r="D41" i="2"/>
  <c r="E41" i="2" s="1"/>
  <c r="D42" i="2"/>
  <c r="E42" i="2" s="1"/>
  <c r="D43" i="2"/>
  <c r="E43" i="2" s="1"/>
  <c r="D44" i="2"/>
  <c r="E44" i="2" s="1"/>
  <c r="D45" i="2"/>
  <c r="E45" i="2" s="1"/>
  <c r="D46" i="2"/>
  <c r="E46" i="2" s="1"/>
  <c r="D47" i="2"/>
  <c r="E47" i="2" s="1"/>
  <c r="D48" i="2"/>
  <c r="E48" i="2" s="1"/>
  <c r="D49" i="2"/>
  <c r="E49" i="2" s="1"/>
  <c r="D50" i="2"/>
  <c r="E50" i="2" s="1"/>
  <c r="D51" i="2"/>
  <c r="E51" i="2" s="1"/>
  <c r="D52" i="2"/>
  <c r="E52" i="2" s="1"/>
  <c r="D53" i="2"/>
  <c r="E53" i="2" s="1"/>
  <c r="D54" i="2"/>
  <c r="E54" i="2" s="1"/>
  <c r="D55" i="2"/>
  <c r="E55" i="2" s="1"/>
  <c r="D56" i="2"/>
  <c r="E56" i="2" s="1"/>
  <c r="D57" i="2"/>
  <c r="E57" i="2" s="1"/>
  <c r="D58" i="2"/>
  <c r="E58" i="2" s="1"/>
  <c r="D59" i="2"/>
  <c r="E59" i="2" s="1"/>
  <c r="D60" i="2"/>
  <c r="E60" i="2" s="1"/>
  <c r="D61" i="2"/>
  <c r="E61" i="2" s="1"/>
  <c r="D62" i="2"/>
  <c r="E62" i="2" s="1"/>
  <c r="D63" i="2"/>
  <c r="E63" i="2" s="1"/>
  <c r="D64" i="2"/>
  <c r="E64" i="2" s="1"/>
  <c r="D65" i="2"/>
  <c r="E65" i="2" s="1"/>
  <c r="D66" i="2"/>
  <c r="E66" i="2" s="1"/>
  <c r="D67" i="2"/>
  <c r="E67" i="2" s="1"/>
  <c r="D68" i="2"/>
  <c r="E68" i="2" s="1"/>
  <c r="D69" i="2"/>
  <c r="E69" i="2" s="1"/>
  <c r="D70" i="2"/>
  <c r="E70" i="2" s="1"/>
  <c r="D71" i="2"/>
  <c r="E71" i="2" s="1"/>
  <c r="D72" i="2"/>
  <c r="E72" i="2" s="1"/>
  <c r="D73" i="2"/>
  <c r="E73" i="2" s="1"/>
  <c r="D74" i="2"/>
  <c r="E74" i="2" s="1"/>
  <c r="D75" i="2"/>
  <c r="E75" i="2" s="1"/>
  <c r="D76" i="2"/>
  <c r="E76" i="2" s="1"/>
  <c r="D77" i="2"/>
  <c r="E77" i="2" s="1"/>
  <c r="D78" i="2"/>
  <c r="E78" i="2" s="1"/>
  <c r="D79" i="2"/>
  <c r="E79" i="2" s="1"/>
  <c r="D80" i="2"/>
  <c r="E80" i="2" s="1"/>
  <c r="D81" i="2"/>
  <c r="E81" i="2" s="1"/>
  <c r="D82" i="2"/>
  <c r="E82" i="2" s="1"/>
  <c r="D83" i="2"/>
  <c r="E83" i="2" s="1"/>
  <c r="D84" i="2"/>
  <c r="E84" i="2" s="1"/>
  <c r="D85" i="2"/>
  <c r="E85" i="2" s="1"/>
  <c r="D86" i="2"/>
  <c r="E86" i="2" s="1"/>
  <c r="D87" i="2"/>
  <c r="E87" i="2" s="1"/>
  <c r="D88" i="2"/>
  <c r="E88" i="2" s="1"/>
  <c r="D89" i="2"/>
  <c r="E89" i="2" s="1"/>
  <c r="D90" i="2"/>
  <c r="E90" i="2" s="1"/>
  <c r="D91" i="2"/>
  <c r="E91" i="2" s="1"/>
  <c r="D92" i="2"/>
  <c r="E92" i="2" s="1"/>
  <c r="D93" i="2"/>
  <c r="E93" i="2" s="1"/>
  <c r="D94" i="2"/>
  <c r="E94" i="2" s="1"/>
  <c r="D95" i="2"/>
  <c r="E95" i="2" s="1"/>
  <c r="D96" i="2"/>
  <c r="E96" i="2" s="1"/>
  <c r="D97" i="2"/>
  <c r="E97" i="2" s="1"/>
  <c r="D98" i="2"/>
  <c r="E98" i="2" s="1"/>
  <c r="D99" i="2"/>
  <c r="E99" i="2" s="1"/>
  <c r="D100" i="2"/>
  <c r="E100" i="2" s="1"/>
  <c r="D101" i="2"/>
  <c r="E101" i="2" s="1"/>
  <c r="D102" i="2"/>
  <c r="E102" i="2" s="1"/>
  <c r="D103" i="2"/>
  <c r="E103" i="2" s="1"/>
  <c r="D104" i="2"/>
  <c r="E104" i="2" s="1"/>
  <c r="D105" i="2"/>
  <c r="E105" i="2" s="1"/>
  <c r="D106" i="2"/>
  <c r="E106" i="2" s="1"/>
  <c r="D107" i="2"/>
  <c r="E107" i="2" s="1"/>
  <c r="D108" i="2"/>
  <c r="E108" i="2" s="1"/>
  <c r="D109" i="2"/>
  <c r="E109" i="2" s="1"/>
  <c r="D110" i="2"/>
  <c r="E110" i="2" s="1"/>
  <c r="D111" i="2"/>
  <c r="E111" i="2" s="1"/>
  <c r="D112" i="2"/>
  <c r="E112" i="2" s="1"/>
  <c r="D113" i="2"/>
  <c r="E113" i="2" s="1"/>
  <c r="D114" i="2"/>
  <c r="E114" i="2" s="1"/>
  <c r="D115" i="2"/>
  <c r="E115" i="2" s="1"/>
  <c r="D116" i="2"/>
  <c r="E116" i="2" s="1"/>
  <c r="D117" i="2"/>
  <c r="E117" i="2" s="1"/>
  <c r="D118" i="2"/>
  <c r="E118" i="2" s="1"/>
  <c r="D119" i="2"/>
  <c r="E119" i="2" s="1"/>
  <c r="D120" i="2"/>
  <c r="E120" i="2" s="1"/>
  <c r="D121" i="2"/>
  <c r="E121" i="2" s="1"/>
  <c r="D122" i="2"/>
  <c r="E122" i="2" s="1"/>
  <c r="D123" i="2"/>
  <c r="E123" i="2" s="1"/>
  <c r="D124" i="2"/>
  <c r="E124" i="2" s="1"/>
  <c r="D125" i="2"/>
  <c r="E125" i="2" s="1"/>
  <c r="D126" i="2"/>
  <c r="E126" i="2" s="1"/>
  <c r="D127" i="2"/>
  <c r="E127" i="2" s="1"/>
  <c r="D128" i="2"/>
  <c r="E128" i="2" s="1"/>
  <c r="D129" i="2"/>
  <c r="E129" i="2" s="1"/>
  <c r="D130" i="2"/>
  <c r="E130" i="2" s="1"/>
  <c r="D131" i="2"/>
  <c r="E131" i="2" s="1"/>
  <c r="D132" i="2"/>
  <c r="E132" i="2" s="1"/>
  <c r="D133" i="2"/>
  <c r="E133" i="2" s="1"/>
  <c r="D134" i="2"/>
  <c r="E134" i="2" s="1"/>
  <c r="D135" i="2"/>
  <c r="E135" i="2" s="1"/>
  <c r="D136" i="2"/>
  <c r="E136" i="2" s="1"/>
  <c r="D137" i="2"/>
  <c r="E137" i="2" s="1"/>
  <c r="D138" i="2"/>
  <c r="E138" i="2" s="1"/>
  <c r="D139" i="2"/>
  <c r="E139" i="2" s="1"/>
  <c r="D140" i="2"/>
  <c r="E140" i="2" s="1"/>
  <c r="D141" i="2"/>
  <c r="E141" i="2" s="1"/>
  <c r="D142" i="2"/>
  <c r="E142" i="2" s="1"/>
  <c r="D143" i="2"/>
  <c r="E143" i="2" s="1"/>
  <c r="D144" i="2"/>
  <c r="E144" i="2" s="1"/>
  <c r="D145" i="2"/>
  <c r="E145" i="2" s="1"/>
  <c r="D146" i="2"/>
  <c r="E146" i="2" s="1"/>
  <c r="D147" i="2"/>
  <c r="E147" i="2" s="1"/>
  <c r="D148" i="2"/>
  <c r="E148" i="2" s="1"/>
  <c r="D149" i="2"/>
  <c r="E149" i="2" s="1"/>
  <c r="D150" i="2"/>
  <c r="E150" i="2" s="1"/>
  <c r="D151" i="2"/>
  <c r="E151" i="2" s="1"/>
  <c r="D152" i="2"/>
  <c r="E152" i="2" s="1"/>
  <c r="D153" i="2"/>
  <c r="E153" i="2" s="1"/>
  <c r="D154" i="2"/>
  <c r="E154" i="2" s="1"/>
  <c r="D155" i="2"/>
  <c r="E155" i="2" s="1"/>
  <c r="D156" i="2"/>
  <c r="E156" i="2" s="1"/>
  <c r="D157" i="2"/>
  <c r="E157" i="2" s="1"/>
  <c r="D158" i="2"/>
  <c r="E158" i="2" s="1"/>
  <c r="D159" i="2"/>
  <c r="E159" i="2" s="1"/>
  <c r="D160" i="2"/>
  <c r="E160" i="2" s="1"/>
  <c r="D161" i="2"/>
  <c r="E161" i="2" s="1"/>
  <c r="D162" i="2"/>
  <c r="E162" i="2" s="1"/>
  <c r="D163" i="2"/>
  <c r="E163" i="2" s="1"/>
  <c r="D164" i="2"/>
  <c r="E164" i="2" s="1"/>
  <c r="D165" i="2"/>
  <c r="E165" i="2" s="1"/>
  <c r="D166" i="2"/>
  <c r="E166" i="2" s="1"/>
  <c r="D167" i="2"/>
  <c r="E167" i="2" s="1"/>
  <c r="D168" i="2"/>
  <c r="E168" i="2" s="1"/>
  <c r="D169" i="2"/>
  <c r="E169" i="2" s="1"/>
  <c r="D170" i="2"/>
  <c r="E170" i="2" s="1"/>
  <c r="D171" i="2"/>
  <c r="E171" i="2" s="1"/>
  <c r="D172" i="2"/>
  <c r="E172" i="2" s="1"/>
  <c r="D173" i="2"/>
  <c r="E173" i="2" s="1"/>
  <c r="D174" i="2"/>
  <c r="E174" i="2" s="1"/>
  <c r="D175" i="2"/>
  <c r="E175" i="2" s="1"/>
  <c r="D176" i="2"/>
  <c r="E176" i="2" s="1"/>
  <c r="D177" i="2"/>
  <c r="E177" i="2" s="1"/>
  <c r="D178" i="2"/>
  <c r="E178" i="2" s="1"/>
  <c r="D179" i="2"/>
  <c r="E179" i="2" s="1"/>
  <c r="D180" i="2"/>
  <c r="E180" i="2" s="1"/>
  <c r="D181" i="2"/>
  <c r="E181" i="2" s="1"/>
  <c r="D182" i="2"/>
  <c r="E182" i="2" s="1"/>
  <c r="D183" i="2"/>
  <c r="E183" i="2" s="1"/>
  <c r="D184" i="2"/>
  <c r="E184" i="2" s="1"/>
  <c r="D185" i="2"/>
  <c r="E185" i="2" s="1"/>
  <c r="D186" i="2"/>
  <c r="E186" i="2" s="1"/>
  <c r="D187" i="2"/>
  <c r="E187" i="2" s="1"/>
  <c r="D188" i="2"/>
  <c r="E188" i="2" s="1"/>
  <c r="D189" i="2"/>
  <c r="E189" i="2" s="1"/>
  <c r="D190" i="2"/>
  <c r="E190" i="2" s="1"/>
  <c r="D191" i="2"/>
  <c r="E191" i="2" s="1"/>
  <c r="D192" i="2"/>
  <c r="E192" i="2" s="1"/>
  <c r="D193" i="2"/>
  <c r="E193" i="2" s="1"/>
  <c r="D194" i="2"/>
  <c r="E194" i="2" s="1"/>
  <c r="D195" i="2"/>
  <c r="E195" i="2" s="1"/>
  <c r="D196" i="2"/>
  <c r="E196" i="2" s="1"/>
  <c r="D197" i="2"/>
  <c r="E197" i="2" s="1"/>
  <c r="D198" i="2"/>
  <c r="E198" i="2" s="1"/>
  <c r="D199" i="2"/>
  <c r="E199" i="2" s="1"/>
  <c r="D200" i="2"/>
  <c r="E200" i="2" s="1"/>
  <c r="D201" i="2"/>
  <c r="E201" i="2" s="1"/>
  <c r="D202" i="2"/>
  <c r="E202" i="2" s="1"/>
  <c r="D203" i="2"/>
  <c r="E203" i="2" s="1"/>
  <c r="D204" i="2"/>
  <c r="E204" i="2" s="1"/>
  <c r="D205" i="2"/>
  <c r="E205" i="2" s="1"/>
  <c r="D206" i="2"/>
  <c r="E206" i="2" s="1"/>
  <c r="D207" i="2"/>
  <c r="E207" i="2" s="1"/>
  <c r="D208" i="2"/>
  <c r="E208" i="2" s="1"/>
  <c r="D209" i="2"/>
  <c r="E209" i="2" s="1"/>
  <c r="D210" i="2"/>
  <c r="E210" i="2" s="1"/>
  <c r="D211" i="2"/>
  <c r="E211" i="2" s="1"/>
  <c r="D212" i="2"/>
  <c r="E212" i="2" s="1"/>
  <c r="D213" i="2"/>
  <c r="E213" i="2" s="1"/>
  <c r="D214" i="2"/>
  <c r="E214" i="2" s="1"/>
  <c r="D215" i="2"/>
  <c r="E215" i="2" s="1"/>
  <c r="D216" i="2"/>
  <c r="E216" i="2" s="1"/>
  <c r="D217" i="2"/>
  <c r="E217" i="2" s="1"/>
  <c r="D218" i="2"/>
  <c r="E218" i="2" s="1"/>
  <c r="D219" i="2"/>
  <c r="E219" i="2" s="1"/>
  <c r="D220" i="2"/>
  <c r="E220" i="2" s="1"/>
  <c r="D221" i="2"/>
  <c r="E221" i="2" s="1"/>
  <c r="D222" i="2"/>
  <c r="E222" i="2" s="1"/>
  <c r="D223" i="2"/>
  <c r="E223" i="2" s="1"/>
  <c r="D224" i="2"/>
  <c r="E224" i="2" s="1"/>
  <c r="D225" i="2"/>
  <c r="E225" i="2" s="1"/>
  <c r="D226" i="2"/>
  <c r="E226" i="2" s="1"/>
  <c r="D227" i="2"/>
  <c r="E227" i="2" s="1"/>
  <c r="D228" i="2"/>
  <c r="E228" i="2" s="1"/>
  <c r="D229" i="2"/>
  <c r="E229" i="2" s="1"/>
  <c r="D230" i="2"/>
  <c r="E230" i="2" s="1"/>
  <c r="D231" i="2"/>
  <c r="E231" i="2" s="1"/>
  <c r="D232" i="2"/>
  <c r="E232" i="2" s="1"/>
  <c r="D233" i="2"/>
  <c r="E233" i="2" s="1"/>
  <c r="D234" i="2"/>
  <c r="E234" i="2" s="1"/>
  <c r="D235" i="2"/>
  <c r="E235" i="2" s="1"/>
  <c r="D236" i="2"/>
  <c r="E236" i="2" s="1"/>
  <c r="D237" i="2"/>
  <c r="E237" i="2" s="1"/>
  <c r="D238" i="2"/>
  <c r="E238" i="2" s="1"/>
  <c r="D239" i="2"/>
  <c r="E239" i="2" s="1"/>
  <c r="D240" i="2"/>
  <c r="E240" i="2" s="1"/>
  <c r="D241" i="2"/>
  <c r="E241" i="2" s="1"/>
  <c r="D242" i="2"/>
  <c r="E242" i="2" s="1"/>
  <c r="D243" i="2"/>
  <c r="E243" i="2" s="1"/>
  <c r="D244" i="2"/>
  <c r="E244" i="2" s="1"/>
  <c r="D245" i="2"/>
  <c r="E245" i="2" s="1"/>
  <c r="D246" i="2"/>
  <c r="E246" i="2" s="1"/>
  <c r="D247" i="2"/>
  <c r="E247" i="2" s="1"/>
  <c r="D248" i="2"/>
  <c r="E248" i="2" s="1"/>
  <c r="D249" i="2"/>
  <c r="E249" i="2" s="1"/>
  <c r="D250" i="2"/>
  <c r="E250" i="2" s="1"/>
  <c r="D251" i="2"/>
  <c r="E251" i="2" s="1"/>
  <c r="D252" i="2"/>
  <c r="E252" i="2" s="1"/>
  <c r="D253" i="2"/>
  <c r="E253" i="2" s="1"/>
  <c r="D254" i="2"/>
  <c r="E254" i="2" s="1"/>
  <c r="D255" i="2"/>
  <c r="E255" i="2" s="1"/>
  <c r="D256" i="2"/>
  <c r="E256" i="2" s="1"/>
  <c r="D257" i="2"/>
  <c r="E257" i="2" s="1"/>
  <c r="D258" i="2"/>
  <c r="E258" i="2" s="1"/>
  <c r="D259" i="2"/>
  <c r="E259" i="2" s="1"/>
  <c r="D260" i="2"/>
  <c r="E260" i="2" s="1"/>
  <c r="D261" i="2"/>
  <c r="E261" i="2" s="1"/>
  <c r="D262" i="2"/>
  <c r="E262" i="2" s="1"/>
  <c r="D263" i="2"/>
  <c r="E263" i="2" s="1"/>
  <c r="D264" i="2"/>
  <c r="E264" i="2" s="1"/>
  <c r="D265" i="2"/>
  <c r="E265" i="2" s="1"/>
  <c r="D266" i="2"/>
  <c r="E266" i="2" s="1"/>
  <c r="D267" i="2"/>
  <c r="E267" i="2" s="1"/>
  <c r="D268" i="2"/>
  <c r="E268" i="2" s="1"/>
  <c r="D269" i="2"/>
  <c r="E269" i="2" s="1"/>
  <c r="D270" i="2"/>
  <c r="E270" i="2" s="1"/>
  <c r="D271" i="2"/>
  <c r="E271" i="2" s="1"/>
  <c r="D272" i="2"/>
  <c r="E272" i="2" s="1"/>
  <c r="D273" i="2"/>
  <c r="E273" i="2" s="1"/>
  <c r="D274" i="2"/>
  <c r="E274" i="2" s="1"/>
  <c r="D275" i="2"/>
  <c r="E275" i="2" s="1"/>
  <c r="D276" i="2"/>
  <c r="E276" i="2" s="1"/>
  <c r="D277" i="2"/>
  <c r="E277" i="2" s="1"/>
  <c r="D278" i="2"/>
  <c r="E278" i="2" s="1"/>
  <c r="D279" i="2"/>
  <c r="E279" i="2" s="1"/>
  <c r="D280" i="2"/>
  <c r="E280" i="2" s="1"/>
  <c r="D281" i="2"/>
  <c r="E281" i="2" s="1"/>
  <c r="D282" i="2"/>
  <c r="E282" i="2" s="1"/>
  <c r="D283" i="2"/>
  <c r="E283" i="2" s="1"/>
  <c r="D284" i="2"/>
  <c r="E284" i="2" s="1"/>
  <c r="D285" i="2"/>
  <c r="E285" i="2" s="1"/>
  <c r="D286" i="2"/>
  <c r="E286" i="2" s="1"/>
  <c r="D287" i="2"/>
  <c r="E287" i="2" s="1"/>
  <c r="D288" i="2"/>
  <c r="E288" i="2" s="1"/>
  <c r="D289" i="2"/>
  <c r="E289" i="2" s="1"/>
  <c r="D290" i="2"/>
  <c r="E290" i="2" s="1"/>
  <c r="D291" i="2"/>
  <c r="E291" i="2" s="1"/>
  <c r="D292" i="2"/>
  <c r="E292" i="2" s="1"/>
  <c r="D293" i="2"/>
  <c r="E293" i="2" s="1"/>
  <c r="D294" i="2"/>
  <c r="E294" i="2" s="1"/>
  <c r="D295" i="2"/>
  <c r="E295" i="2" s="1"/>
  <c r="D296" i="2"/>
  <c r="E296" i="2" s="1"/>
  <c r="D297" i="2"/>
  <c r="E297" i="2" s="1"/>
  <c r="D298" i="2"/>
  <c r="E298" i="2" s="1"/>
  <c r="D299" i="2"/>
  <c r="E299" i="2" s="1"/>
  <c r="D300" i="2"/>
  <c r="E300" i="2" s="1"/>
  <c r="D301" i="2"/>
  <c r="E301" i="2" s="1"/>
  <c r="D302" i="2"/>
  <c r="E302" i="2" s="1"/>
  <c r="D303" i="2"/>
  <c r="E303" i="2" s="1"/>
  <c r="D304" i="2"/>
  <c r="E304" i="2" s="1"/>
  <c r="D305" i="2"/>
  <c r="E305" i="2" s="1"/>
  <c r="D306" i="2"/>
  <c r="E306" i="2" s="1"/>
  <c r="D307" i="2"/>
  <c r="E307" i="2" s="1"/>
  <c r="D308" i="2"/>
  <c r="E308" i="2" s="1"/>
  <c r="D309" i="2"/>
  <c r="E309" i="2" s="1"/>
  <c r="D310" i="2"/>
  <c r="E310" i="2" s="1"/>
  <c r="D311" i="2"/>
  <c r="E311" i="2" s="1"/>
  <c r="D312" i="2"/>
  <c r="E312" i="2" s="1"/>
  <c r="D313" i="2"/>
  <c r="E313" i="2" s="1"/>
  <c r="D314" i="2"/>
  <c r="E314" i="2" s="1"/>
  <c r="D315" i="2"/>
  <c r="E315" i="2" s="1"/>
  <c r="D316" i="2"/>
  <c r="E316" i="2" s="1"/>
  <c r="D317" i="2"/>
  <c r="E317" i="2" s="1"/>
  <c r="D318" i="2"/>
  <c r="E318" i="2" s="1"/>
  <c r="D319" i="2"/>
  <c r="E319" i="2" s="1"/>
  <c r="D320" i="2"/>
  <c r="E320" i="2" s="1"/>
  <c r="D321" i="2"/>
  <c r="E321" i="2" s="1"/>
  <c r="D322" i="2"/>
  <c r="E322" i="2" s="1"/>
  <c r="D323" i="2"/>
  <c r="E323" i="2" s="1"/>
  <c r="D324" i="2"/>
  <c r="E324" i="2" s="1"/>
  <c r="D325" i="2"/>
  <c r="E325" i="2" s="1"/>
  <c r="D326" i="2"/>
  <c r="E326" i="2" s="1"/>
  <c r="D327" i="2"/>
  <c r="E327" i="2" s="1"/>
  <c r="D328" i="2"/>
  <c r="E328" i="2" s="1"/>
  <c r="D329" i="2"/>
  <c r="E329" i="2" s="1"/>
  <c r="D330" i="2"/>
  <c r="E330" i="2" s="1"/>
  <c r="D331" i="2"/>
  <c r="E331" i="2" s="1"/>
  <c r="D332" i="2"/>
  <c r="E332" i="2" s="1"/>
  <c r="D333" i="2"/>
  <c r="E333" i="2" s="1"/>
  <c r="D334" i="2"/>
  <c r="E334" i="2" s="1"/>
  <c r="D335" i="2"/>
  <c r="E335" i="2" s="1"/>
  <c r="D336" i="2"/>
  <c r="E336" i="2" s="1"/>
  <c r="D337" i="2"/>
  <c r="E337" i="2" s="1"/>
  <c r="D338" i="2"/>
  <c r="E338" i="2" s="1"/>
  <c r="D339" i="2"/>
  <c r="E339" i="2" s="1"/>
  <c r="D340" i="2"/>
  <c r="E340" i="2" s="1"/>
  <c r="D341" i="2"/>
  <c r="E341" i="2" s="1"/>
  <c r="D342" i="2"/>
  <c r="E342" i="2" s="1"/>
  <c r="D343" i="2"/>
  <c r="E343" i="2" s="1"/>
  <c r="D344" i="2"/>
  <c r="E344" i="2" s="1"/>
  <c r="D345" i="2"/>
  <c r="E345" i="2" s="1"/>
  <c r="D346" i="2"/>
  <c r="E346" i="2" s="1"/>
  <c r="D347" i="2"/>
  <c r="E347" i="2" s="1"/>
  <c r="D348" i="2"/>
  <c r="E348" i="2" s="1"/>
  <c r="D349" i="2"/>
  <c r="E349" i="2" s="1"/>
  <c r="D350" i="2"/>
  <c r="E350" i="2" s="1"/>
  <c r="D351" i="2"/>
  <c r="E351" i="2" s="1"/>
  <c r="D352" i="2"/>
  <c r="E352" i="2" s="1"/>
  <c r="D353" i="2"/>
  <c r="E353" i="2" s="1"/>
  <c r="D354" i="2"/>
  <c r="E354" i="2" s="1"/>
  <c r="D355" i="2"/>
  <c r="E355" i="2" s="1"/>
  <c r="D356" i="2"/>
  <c r="E356" i="2" s="1"/>
  <c r="D357" i="2"/>
  <c r="E357" i="2" s="1"/>
  <c r="D358" i="2"/>
  <c r="E358" i="2" s="1"/>
  <c r="D359" i="2"/>
  <c r="E359" i="2" s="1"/>
  <c r="D360" i="2"/>
  <c r="E360" i="2" s="1"/>
  <c r="D361" i="2"/>
  <c r="E361" i="2" s="1"/>
  <c r="D362" i="2"/>
  <c r="E362" i="2" s="1"/>
  <c r="D363" i="2"/>
  <c r="E363" i="2" s="1"/>
  <c r="D364" i="2"/>
  <c r="E364" i="2" s="1"/>
  <c r="D365" i="2"/>
  <c r="E365" i="2" s="1"/>
  <c r="D366" i="2"/>
  <c r="E366" i="2" s="1"/>
  <c r="D367" i="2"/>
  <c r="E367" i="2" s="1"/>
  <c r="D368" i="2"/>
  <c r="E368" i="2" s="1"/>
  <c r="D369" i="2"/>
  <c r="E369" i="2" s="1"/>
  <c r="D370" i="2"/>
  <c r="E370" i="2" s="1"/>
  <c r="D371" i="2"/>
  <c r="E371" i="2" s="1"/>
  <c r="D372" i="2"/>
  <c r="E372" i="2" s="1"/>
  <c r="D373" i="2"/>
  <c r="E373" i="2" s="1"/>
  <c r="D374" i="2"/>
  <c r="E374" i="2" s="1"/>
  <c r="D375" i="2"/>
  <c r="E375" i="2" s="1"/>
  <c r="D376" i="2"/>
  <c r="E376" i="2" s="1"/>
  <c r="D377" i="2"/>
  <c r="E377" i="2" s="1"/>
  <c r="D378" i="2"/>
  <c r="E378" i="2" s="1"/>
  <c r="D379" i="2"/>
  <c r="E379" i="2" s="1"/>
  <c r="D380" i="2"/>
  <c r="E380" i="2" s="1"/>
  <c r="D381" i="2"/>
  <c r="E381" i="2" s="1"/>
  <c r="D382" i="2"/>
  <c r="E382" i="2" s="1"/>
  <c r="D383" i="2"/>
  <c r="E383" i="2" s="1"/>
  <c r="D384" i="2"/>
  <c r="E384" i="2" s="1"/>
  <c r="D385" i="2"/>
  <c r="E385" i="2" s="1"/>
  <c r="D386" i="2"/>
  <c r="E386" i="2" s="1"/>
  <c r="D387" i="2"/>
  <c r="E387" i="2" s="1"/>
  <c r="D388" i="2"/>
  <c r="E388" i="2" s="1"/>
  <c r="D389" i="2"/>
  <c r="E389" i="2" s="1"/>
  <c r="D390" i="2"/>
  <c r="E390" i="2" s="1"/>
  <c r="D391" i="2"/>
  <c r="E391" i="2" s="1"/>
  <c r="D392" i="2"/>
  <c r="E392" i="2" s="1"/>
  <c r="D393" i="2"/>
  <c r="E393" i="2" s="1"/>
  <c r="D394" i="2"/>
  <c r="E394" i="2" s="1"/>
  <c r="D395" i="2"/>
  <c r="E395" i="2" s="1"/>
  <c r="D396" i="2"/>
  <c r="E396" i="2" s="1"/>
  <c r="D397" i="2"/>
  <c r="E397" i="2" s="1"/>
  <c r="D398" i="2"/>
  <c r="E398" i="2" s="1"/>
  <c r="D399" i="2"/>
  <c r="E399" i="2" s="1"/>
  <c r="D400" i="2"/>
  <c r="E400" i="2" s="1"/>
  <c r="D401" i="2"/>
  <c r="E401" i="2" s="1"/>
  <c r="D402" i="2"/>
  <c r="E402" i="2" s="1"/>
  <c r="D403" i="2"/>
  <c r="E403" i="2" s="1"/>
  <c r="D404" i="2"/>
  <c r="E404" i="2" s="1"/>
  <c r="D405" i="2"/>
  <c r="E405" i="2" s="1"/>
  <c r="D406" i="2"/>
  <c r="E406" i="2" s="1"/>
  <c r="D407" i="2"/>
  <c r="E407" i="2" s="1"/>
  <c r="D408" i="2"/>
  <c r="E408" i="2" s="1"/>
  <c r="D409" i="2"/>
  <c r="E409" i="2" s="1"/>
  <c r="D410" i="2"/>
  <c r="E410" i="2" s="1"/>
  <c r="D411" i="2"/>
  <c r="E411" i="2" s="1"/>
  <c r="D412" i="2"/>
  <c r="E412" i="2" s="1"/>
  <c r="D413" i="2"/>
  <c r="E413" i="2" s="1"/>
  <c r="D414" i="2"/>
  <c r="E414" i="2" s="1"/>
  <c r="D415" i="2"/>
  <c r="E415" i="2" s="1"/>
  <c r="D416" i="2"/>
  <c r="E416" i="2" s="1"/>
  <c r="D417" i="2"/>
  <c r="E417" i="2" s="1"/>
  <c r="D418" i="2"/>
  <c r="E418" i="2" s="1"/>
  <c r="D419" i="2"/>
  <c r="E419" i="2" s="1"/>
  <c r="D420" i="2"/>
  <c r="E420" i="2" s="1"/>
  <c r="D421" i="2"/>
  <c r="E421" i="2" s="1"/>
  <c r="D422" i="2"/>
  <c r="E422" i="2" s="1"/>
  <c r="D423" i="2"/>
  <c r="E423" i="2" s="1"/>
  <c r="D424" i="2"/>
  <c r="E424" i="2" s="1"/>
  <c r="D425" i="2"/>
  <c r="E425" i="2" s="1"/>
  <c r="D426" i="2"/>
  <c r="E426" i="2" s="1"/>
  <c r="D427" i="2"/>
  <c r="E427" i="2" s="1"/>
  <c r="D428" i="2"/>
  <c r="E428" i="2" s="1"/>
  <c r="D429" i="2"/>
  <c r="E429" i="2" s="1"/>
  <c r="D430" i="2"/>
  <c r="E430" i="2" s="1"/>
  <c r="D431" i="2"/>
  <c r="E431" i="2" s="1"/>
  <c r="D432" i="2"/>
  <c r="E432" i="2" s="1"/>
  <c r="D433" i="2"/>
  <c r="E433" i="2" s="1"/>
  <c r="D434" i="2"/>
  <c r="E434" i="2" s="1"/>
  <c r="D435" i="2"/>
  <c r="E435" i="2" s="1"/>
  <c r="D436" i="2"/>
  <c r="E436" i="2" s="1"/>
  <c r="D437" i="2"/>
  <c r="E437" i="2" s="1"/>
  <c r="D438" i="2"/>
  <c r="E438" i="2" s="1"/>
  <c r="D439" i="2"/>
  <c r="E439" i="2" s="1"/>
  <c r="D440" i="2"/>
  <c r="E440" i="2" s="1"/>
  <c r="D441" i="2"/>
  <c r="E441" i="2" s="1"/>
  <c r="D442" i="2"/>
  <c r="E442" i="2" s="1"/>
  <c r="D443" i="2"/>
  <c r="E443" i="2" s="1"/>
  <c r="D444" i="2"/>
  <c r="E444" i="2" s="1"/>
  <c r="D445" i="2"/>
  <c r="E445" i="2" s="1"/>
  <c r="D446" i="2"/>
  <c r="E446" i="2" s="1"/>
  <c r="D447" i="2"/>
  <c r="E447" i="2" s="1"/>
  <c r="D448" i="2"/>
  <c r="E448" i="2" s="1"/>
  <c r="D449" i="2"/>
  <c r="E449" i="2" s="1"/>
  <c r="D450" i="2"/>
  <c r="E450" i="2" s="1"/>
  <c r="D451" i="2"/>
  <c r="E451" i="2" s="1"/>
  <c r="D452" i="2"/>
  <c r="E452" i="2" s="1"/>
  <c r="D453" i="2"/>
  <c r="E453" i="2" s="1"/>
  <c r="D454" i="2"/>
  <c r="E454" i="2" s="1"/>
  <c r="D455" i="2"/>
  <c r="E455" i="2" s="1"/>
  <c r="D456" i="2"/>
  <c r="E456" i="2" s="1"/>
  <c r="D457" i="2"/>
  <c r="E457" i="2" s="1"/>
  <c r="D458" i="2"/>
  <c r="E458" i="2" s="1"/>
  <c r="D459" i="2"/>
  <c r="E459" i="2" s="1"/>
  <c r="D460" i="2"/>
  <c r="E460" i="2" s="1"/>
  <c r="D461" i="2"/>
  <c r="E461" i="2" s="1"/>
  <c r="D462" i="2"/>
  <c r="E462" i="2" s="1"/>
  <c r="D463" i="2"/>
  <c r="E463" i="2" s="1"/>
  <c r="D464" i="2"/>
  <c r="E464" i="2" s="1"/>
  <c r="D465" i="2"/>
  <c r="E465" i="2" s="1"/>
  <c r="D466" i="2"/>
  <c r="E466" i="2" s="1"/>
  <c r="D467" i="2"/>
  <c r="E467" i="2" s="1"/>
  <c r="D468" i="2"/>
  <c r="E468" i="2" s="1"/>
  <c r="D469" i="2"/>
  <c r="E469" i="2" s="1"/>
  <c r="D470" i="2"/>
  <c r="E470" i="2" s="1"/>
  <c r="D471" i="2"/>
  <c r="E471" i="2" s="1"/>
  <c r="D472" i="2"/>
  <c r="E472" i="2" s="1"/>
  <c r="D473" i="2"/>
  <c r="E473" i="2" s="1"/>
  <c r="D474" i="2"/>
  <c r="E474" i="2" s="1"/>
  <c r="D475" i="2"/>
  <c r="E475" i="2" s="1"/>
  <c r="D476" i="2"/>
  <c r="E476" i="2" s="1"/>
  <c r="D477" i="2"/>
  <c r="E477" i="2" s="1"/>
  <c r="D478" i="2"/>
  <c r="E478" i="2" s="1"/>
  <c r="D479" i="2"/>
  <c r="E479" i="2" s="1"/>
  <c r="D480" i="2"/>
  <c r="E480" i="2" s="1"/>
  <c r="D481" i="2"/>
  <c r="E481" i="2" s="1"/>
  <c r="D482" i="2"/>
  <c r="E482" i="2" s="1"/>
  <c r="D483" i="2"/>
  <c r="E483" i="2" s="1"/>
  <c r="D484" i="2"/>
  <c r="E484" i="2" s="1"/>
  <c r="D485" i="2"/>
  <c r="E485" i="2" s="1"/>
  <c r="D486" i="2"/>
  <c r="E486" i="2" s="1"/>
  <c r="D487" i="2"/>
  <c r="E487" i="2" s="1"/>
  <c r="D488" i="2"/>
  <c r="E488" i="2" s="1"/>
  <c r="D489" i="2"/>
  <c r="E489" i="2" s="1"/>
  <c r="D490" i="2"/>
  <c r="E490" i="2" s="1"/>
  <c r="D491" i="2"/>
  <c r="E491" i="2" s="1"/>
  <c r="D492" i="2"/>
  <c r="E492" i="2" s="1"/>
  <c r="D493" i="2"/>
  <c r="E493" i="2" s="1"/>
  <c r="D494" i="2"/>
  <c r="E494" i="2" s="1"/>
  <c r="D495" i="2"/>
  <c r="E495" i="2" s="1"/>
  <c r="D496" i="2"/>
  <c r="E496" i="2" s="1"/>
  <c r="D497" i="2"/>
  <c r="E497" i="2" s="1"/>
  <c r="D498" i="2"/>
  <c r="E498" i="2" s="1"/>
  <c r="D499" i="2"/>
  <c r="E499" i="2" s="1"/>
  <c r="D500" i="2"/>
  <c r="E500" i="2" s="1"/>
  <c r="D501" i="2"/>
  <c r="E501" i="2" s="1"/>
  <c r="D502" i="2"/>
  <c r="E502" i="2" s="1"/>
  <c r="D503" i="2"/>
  <c r="E503" i="2" s="1"/>
  <c r="D504" i="2"/>
  <c r="E504" i="2" s="1"/>
  <c r="D505" i="2"/>
  <c r="E505" i="2" s="1"/>
  <c r="D506" i="2"/>
  <c r="E506" i="2" s="1"/>
  <c r="D507" i="2"/>
  <c r="E507" i="2" s="1"/>
  <c r="D508" i="2"/>
  <c r="E508" i="2" s="1"/>
  <c r="D509" i="2"/>
  <c r="E509" i="2" s="1"/>
  <c r="D510" i="2"/>
  <c r="E510" i="2" s="1"/>
  <c r="D511" i="2"/>
  <c r="E511" i="2" s="1"/>
  <c r="D512" i="2"/>
  <c r="E512" i="2" s="1"/>
  <c r="D513" i="2"/>
  <c r="E513" i="2" s="1"/>
  <c r="D514" i="2"/>
  <c r="E514" i="2" s="1"/>
  <c r="D515" i="2"/>
  <c r="E515" i="2" s="1"/>
  <c r="D516" i="2"/>
  <c r="E516" i="2" s="1"/>
  <c r="D517" i="2"/>
  <c r="E517" i="2" s="1"/>
  <c r="D518" i="2"/>
  <c r="E518" i="2" s="1"/>
  <c r="D519" i="2"/>
  <c r="E519" i="2" s="1"/>
  <c r="D520" i="2"/>
  <c r="E520" i="2" s="1"/>
  <c r="D521" i="2"/>
  <c r="E521" i="2" s="1"/>
  <c r="D522" i="2"/>
  <c r="E522" i="2" s="1"/>
  <c r="D523" i="2"/>
  <c r="E523" i="2" s="1"/>
  <c r="D524" i="2"/>
  <c r="E524" i="2" s="1"/>
  <c r="D525" i="2"/>
  <c r="E525" i="2" s="1"/>
  <c r="D526" i="2"/>
  <c r="E526" i="2" s="1"/>
  <c r="D527" i="2"/>
  <c r="E527" i="2" s="1"/>
  <c r="D528" i="2"/>
  <c r="E528" i="2" s="1"/>
  <c r="D529" i="2"/>
  <c r="E529" i="2" s="1"/>
  <c r="D530" i="2"/>
  <c r="E530" i="2" s="1"/>
  <c r="D531" i="2"/>
  <c r="E531" i="2" s="1"/>
  <c r="D532" i="2"/>
  <c r="E532" i="2" s="1"/>
  <c r="D533" i="2"/>
  <c r="E533" i="2" s="1"/>
  <c r="D534" i="2"/>
  <c r="E534" i="2" s="1"/>
  <c r="D535" i="2"/>
  <c r="E535" i="2" s="1"/>
  <c r="D536" i="2"/>
  <c r="E536" i="2" s="1"/>
  <c r="D537" i="2"/>
  <c r="E537" i="2" s="1"/>
  <c r="D538" i="2"/>
  <c r="E538" i="2" s="1"/>
  <c r="D539" i="2"/>
  <c r="E539" i="2" s="1"/>
  <c r="D540" i="2"/>
  <c r="E540" i="2" s="1"/>
  <c r="D541" i="2"/>
  <c r="E541" i="2" s="1"/>
  <c r="D542" i="2"/>
  <c r="E542" i="2" s="1"/>
  <c r="D543" i="2"/>
  <c r="E543" i="2" s="1"/>
  <c r="D544" i="2"/>
  <c r="E544" i="2" s="1"/>
  <c r="D545" i="2"/>
  <c r="E545" i="2" s="1"/>
  <c r="D546" i="2"/>
  <c r="E546" i="2" s="1"/>
  <c r="D547" i="2"/>
  <c r="E547" i="2" s="1"/>
  <c r="D548" i="2"/>
  <c r="E548" i="2" s="1"/>
  <c r="D549" i="2"/>
  <c r="E549" i="2" s="1"/>
  <c r="D550" i="2"/>
  <c r="E550" i="2" s="1"/>
  <c r="D551" i="2"/>
  <c r="E551" i="2" s="1"/>
  <c r="D552" i="2"/>
  <c r="E552" i="2" s="1"/>
  <c r="D553" i="2"/>
  <c r="E553" i="2" s="1"/>
  <c r="D554" i="2"/>
  <c r="E554" i="2" s="1"/>
  <c r="D555" i="2"/>
  <c r="E555" i="2" s="1"/>
  <c r="D556" i="2"/>
  <c r="E556" i="2" s="1"/>
  <c r="D557" i="2"/>
  <c r="E557" i="2" s="1"/>
  <c r="D558" i="2"/>
  <c r="E558" i="2" s="1"/>
  <c r="D559" i="2"/>
  <c r="E559" i="2" s="1"/>
  <c r="D560" i="2"/>
  <c r="E560" i="2" s="1"/>
  <c r="D561" i="2"/>
  <c r="E561" i="2" s="1"/>
  <c r="D562" i="2"/>
  <c r="E562" i="2" s="1"/>
  <c r="D563" i="2"/>
  <c r="E563" i="2" s="1"/>
  <c r="D564" i="2"/>
  <c r="E564" i="2" s="1"/>
  <c r="D565" i="2"/>
  <c r="E565" i="2" s="1"/>
  <c r="D566" i="2"/>
  <c r="E566" i="2" s="1"/>
  <c r="D567" i="2"/>
  <c r="E567" i="2" s="1"/>
  <c r="D568" i="2"/>
  <c r="E568" i="2" s="1"/>
  <c r="D569" i="2"/>
  <c r="E569" i="2" s="1"/>
  <c r="D570" i="2"/>
  <c r="E570" i="2" s="1"/>
  <c r="D571" i="2"/>
  <c r="E571" i="2" s="1"/>
  <c r="D572" i="2"/>
  <c r="E572" i="2" s="1"/>
  <c r="D573" i="2"/>
  <c r="E573" i="2" s="1"/>
  <c r="D574" i="2"/>
  <c r="E574" i="2" s="1"/>
  <c r="D575" i="2"/>
  <c r="E575" i="2" s="1"/>
  <c r="D576" i="2"/>
  <c r="E576" i="2" s="1"/>
  <c r="D577" i="2"/>
  <c r="E577" i="2" s="1"/>
  <c r="D578" i="2"/>
  <c r="E578" i="2" s="1"/>
  <c r="D579" i="2"/>
  <c r="E579" i="2" s="1"/>
  <c r="D580" i="2"/>
  <c r="E580" i="2" s="1"/>
  <c r="D581" i="2"/>
  <c r="E581" i="2" s="1"/>
  <c r="D582" i="2"/>
  <c r="E582" i="2" s="1"/>
  <c r="D583" i="2"/>
  <c r="E583" i="2" s="1"/>
  <c r="D584" i="2"/>
  <c r="E584" i="2" s="1"/>
  <c r="D585" i="2"/>
  <c r="E585" i="2" s="1"/>
  <c r="D586" i="2"/>
  <c r="E586" i="2" s="1"/>
  <c r="D587" i="2"/>
  <c r="E587" i="2" s="1"/>
  <c r="D588" i="2"/>
  <c r="E588" i="2" s="1"/>
  <c r="D589" i="2"/>
  <c r="E589" i="2" s="1"/>
  <c r="D590" i="2"/>
  <c r="E590" i="2" s="1"/>
  <c r="D591" i="2"/>
  <c r="E591" i="2" s="1"/>
  <c r="D592" i="2"/>
  <c r="E592" i="2" s="1"/>
  <c r="D593" i="2"/>
  <c r="E593" i="2" s="1"/>
  <c r="D594" i="2"/>
  <c r="E594" i="2" s="1"/>
  <c r="D595" i="2"/>
  <c r="E595" i="2" s="1"/>
  <c r="D596" i="2"/>
  <c r="E596" i="2" s="1"/>
  <c r="D597" i="2"/>
  <c r="E597" i="2" s="1"/>
  <c r="D598" i="2"/>
  <c r="E598" i="2" s="1"/>
  <c r="D599" i="2"/>
  <c r="E599" i="2" s="1"/>
  <c r="D600" i="2"/>
  <c r="E600" i="2" s="1"/>
  <c r="D601" i="2"/>
  <c r="E601" i="2" s="1"/>
  <c r="D602" i="2"/>
  <c r="E602" i="2" s="1"/>
  <c r="D603" i="2"/>
  <c r="E603" i="2" s="1"/>
  <c r="D604" i="2"/>
  <c r="E604" i="2" s="1"/>
  <c r="D605" i="2"/>
  <c r="E605" i="2" s="1"/>
  <c r="D606" i="2"/>
  <c r="E606" i="2" s="1"/>
  <c r="D607" i="2"/>
  <c r="E607" i="2" s="1"/>
  <c r="D608" i="2"/>
  <c r="E608" i="2" s="1"/>
  <c r="D609" i="2"/>
  <c r="E609" i="2" s="1"/>
  <c r="D610" i="2"/>
  <c r="E610" i="2" s="1"/>
  <c r="D611" i="2"/>
  <c r="E611" i="2" s="1"/>
  <c r="D612" i="2"/>
  <c r="E612" i="2" s="1"/>
  <c r="D613" i="2"/>
  <c r="E613" i="2" s="1"/>
  <c r="D614" i="2"/>
  <c r="E614" i="2" s="1"/>
  <c r="D615" i="2"/>
  <c r="E615" i="2" s="1"/>
  <c r="D616" i="2"/>
  <c r="E616" i="2" s="1"/>
  <c r="D617" i="2"/>
  <c r="E617" i="2" s="1"/>
  <c r="D618" i="2"/>
  <c r="E618" i="2" s="1"/>
  <c r="D619" i="2"/>
  <c r="E619" i="2" s="1"/>
  <c r="D620" i="2"/>
  <c r="E620" i="2" s="1"/>
  <c r="D621" i="2"/>
  <c r="E621" i="2" s="1"/>
  <c r="D622" i="2"/>
  <c r="E622" i="2" s="1"/>
  <c r="D623" i="2"/>
  <c r="E623" i="2" s="1"/>
  <c r="D624" i="2"/>
  <c r="E624" i="2" s="1"/>
  <c r="D625" i="2"/>
  <c r="E625" i="2" s="1"/>
  <c r="D626" i="2"/>
  <c r="E626" i="2" s="1"/>
  <c r="D627" i="2"/>
  <c r="E627" i="2" s="1"/>
  <c r="D628" i="2"/>
  <c r="E628" i="2" s="1"/>
  <c r="D629" i="2"/>
  <c r="E629" i="2" s="1"/>
  <c r="D630" i="2"/>
  <c r="E630" i="2" s="1"/>
  <c r="D631" i="2"/>
  <c r="E631" i="2" s="1"/>
  <c r="D632" i="2"/>
  <c r="E632" i="2" s="1"/>
  <c r="D633" i="2"/>
  <c r="E633" i="2" s="1"/>
  <c r="D634" i="2"/>
  <c r="E634" i="2" s="1"/>
  <c r="D635" i="2"/>
  <c r="E635" i="2" s="1"/>
  <c r="D636" i="2"/>
  <c r="E636" i="2" s="1"/>
  <c r="D637" i="2"/>
  <c r="E637" i="2" s="1"/>
  <c r="D638" i="2"/>
  <c r="E638" i="2" s="1"/>
  <c r="D639" i="2"/>
  <c r="E639" i="2" s="1"/>
  <c r="D640" i="2"/>
  <c r="E640" i="2" s="1"/>
  <c r="D641" i="2"/>
  <c r="E641" i="2" s="1"/>
  <c r="D642" i="2"/>
  <c r="E642" i="2" s="1"/>
  <c r="D643" i="2"/>
  <c r="E643" i="2" s="1"/>
  <c r="D644" i="2"/>
  <c r="E644" i="2" s="1"/>
  <c r="D645" i="2"/>
  <c r="E645" i="2" s="1"/>
  <c r="D646" i="2"/>
  <c r="E646" i="2" s="1"/>
  <c r="D647" i="2"/>
  <c r="E647" i="2" s="1"/>
  <c r="D648" i="2"/>
  <c r="E648" i="2" s="1"/>
  <c r="D649" i="2"/>
  <c r="E649" i="2" s="1"/>
  <c r="D650" i="2"/>
  <c r="E650" i="2" s="1"/>
  <c r="D651" i="2"/>
  <c r="E651" i="2" s="1"/>
  <c r="D652" i="2"/>
  <c r="E652" i="2" s="1"/>
  <c r="D653" i="2"/>
  <c r="E653" i="2" s="1"/>
  <c r="D654" i="2"/>
  <c r="E654" i="2" s="1"/>
  <c r="D655" i="2"/>
  <c r="E655" i="2" s="1"/>
  <c r="D656" i="2"/>
  <c r="E656" i="2" s="1"/>
  <c r="D657" i="2"/>
  <c r="E657" i="2" s="1"/>
  <c r="D658" i="2"/>
  <c r="E658" i="2" s="1"/>
  <c r="D659" i="2"/>
  <c r="E659" i="2" s="1"/>
  <c r="D660" i="2"/>
  <c r="E660" i="2" s="1"/>
  <c r="D661" i="2"/>
  <c r="E661" i="2" s="1"/>
  <c r="D662" i="2"/>
  <c r="E662" i="2" s="1"/>
  <c r="D663" i="2"/>
  <c r="E663" i="2" s="1"/>
  <c r="D664" i="2"/>
  <c r="E664" i="2" s="1"/>
  <c r="D665" i="2"/>
  <c r="E665" i="2" s="1"/>
  <c r="D666" i="2"/>
  <c r="E666" i="2" s="1"/>
  <c r="D667" i="2"/>
  <c r="E667" i="2" s="1"/>
  <c r="D668" i="2"/>
  <c r="E668" i="2" s="1"/>
  <c r="D669" i="2"/>
  <c r="E669" i="2" s="1"/>
  <c r="D670" i="2"/>
  <c r="E670" i="2" s="1"/>
  <c r="D671" i="2"/>
  <c r="E671" i="2" s="1"/>
  <c r="D672" i="2"/>
  <c r="E672" i="2" s="1"/>
  <c r="D673" i="2"/>
  <c r="E673" i="2" s="1"/>
  <c r="D674" i="2"/>
  <c r="E674" i="2" s="1"/>
  <c r="D675" i="2"/>
  <c r="E675" i="2" s="1"/>
  <c r="D676" i="2"/>
  <c r="E676" i="2" s="1"/>
  <c r="D677" i="2"/>
  <c r="E677" i="2" s="1"/>
  <c r="D678" i="2"/>
  <c r="E678" i="2" s="1"/>
  <c r="D679" i="2"/>
  <c r="E679" i="2" s="1"/>
  <c r="D680" i="2"/>
  <c r="E680" i="2" s="1"/>
  <c r="D681" i="2"/>
  <c r="E681" i="2" s="1"/>
  <c r="D682" i="2"/>
  <c r="E682" i="2" s="1"/>
  <c r="D683" i="2"/>
  <c r="E683" i="2" s="1"/>
  <c r="D684" i="2"/>
  <c r="E684" i="2" s="1"/>
  <c r="D685" i="2"/>
  <c r="E685" i="2" s="1"/>
  <c r="D686" i="2"/>
  <c r="E686" i="2" s="1"/>
  <c r="D687" i="2"/>
  <c r="E687" i="2" s="1"/>
  <c r="D688" i="2"/>
  <c r="E688" i="2" s="1"/>
  <c r="D689" i="2"/>
  <c r="E689" i="2" s="1"/>
  <c r="D690" i="2"/>
  <c r="E690" i="2" s="1"/>
  <c r="D691" i="2"/>
  <c r="E691" i="2" s="1"/>
  <c r="D692" i="2"/>
  <c r="E692" i="2" s="1"/>
  <c r="D693" i="2"/>
  <c r="E693" i="2" s="1"/>
  <c r="D694" i="2"/>
  <c r="E694" i="2" s="1"/>
  <c r="D695" i="2"/>
  <c r="E695" i="2" s="1"/>
  <c r="D696" i="2"/>
  <c r="E696" i="2" s="1"/>
  <c r="D697" i="2"/>
  <c r="E697" i="2" s="1"/>
  <c r="D698" i="2"/>
  <c r="E698" i="2" s="1"/>
  <c r="D699" i="2"/>
  <c r="E699" i="2" s="1"/>
  <c r="D700" i="2"/>
  <c r="E700" i="2" s="1"/>
  <c r="D701" i="2"/>
  <c r="E701" i="2" s="1"/>
  <c r="D702" i="2"/>
  <c r="E702" i="2" s="1"/>
  <c r="D703" i="2"/>
  <c r="E703" i="2" s="1"/>
  <c r="D704" i="2"/>
  <c r="E704" i="2" s="1"/>
  <c r="D705" i="2"/>
  <c r="E705" i="2" s="1"/>
  <c r="D706" i="2"/>
  <c r="E706" i="2" s="1"/>
  <c r="D707" i="2"/>
  <c r="E707" i="2" s="1"/>
  <c r="D708" i="2"/>
  <c r="E708" i="2" s="1"/>
  <c r="D709" i="2"/>
  <c r="E709" i="2" s="1"/>
  <c r="D710" i="2"/>
  <c r="E710" i="2" s="1"/>
  <c r="D711" i="2"/>
  <c r="E711" i="2" s="1"/>
  <c r="D712" i="2"/>
  <c r="E712" i="2" s="1"/>
  <c r="D713" i="2"/>
  <c r="E713" i="2" s="1"/>
  <c r="D714" i="2"/>
  <c r="E714" i="2" s="1"/>
  <c r="D715" i="2"/>
  <c r="E715" i="2" s="1"/>
  <c r="D716" i="2"/>
  <c r="E716" i="2" s="1"/>
  <c r="D717" i="2"/>
  <c r="E717" i="2" s="1"/>
  <c r="D718" i="2"/>
  <c r="E718" i="2" s="1"/>
  <c r="D719" i="2"/>
  <c r="E719" i="2" s="1"/>
  <c r="D720" i="2"/>
  <c r="E720" i="2" s="1"/>
  <c r="D721" i="2"/>
  <c r="E721" i="2" s="1"/>
  <c r="D722" i="2"/>
  <c r="E722" i="2" s="1"/>
  <c r="D723" i="2"/>
  <c r="E723" i="2" s="1"/>
  <c r="D724" i="2"/>
  <c r="E724" i="2" s="1"/>
  <c r="D725" i="2"/>
  <c r="E725" i="2" s="1"/>
  <c r="D726" i="2"/>
  <c r="E726" i="2" s="1"/>
  <c r="D727" i="2"/>
  <c r="E727" i="2" s="1"/>
  <c r="D728" i="2"/>
  <c r="E728" i="2" s="1"/>
  <c r="D729" i="2"/>
  <c r="E729" i="2" s="1"/>
  <c r="D730" i="2"/>
  <c r="E730" i="2" s="1"/>
  <c r="D731" i="2"/>
  <c r="E731" i="2" s="1"/>
  <c r="D732" i="2"/>
  <c r="E732" i="2" s="1"/>
  <c r="D733" i="2"/>
  <c r="E733" i="2" s="1"/>
  <c r="D734" i="2"/>
  <c r="E734" i="2" s="1"/>
  <c r="D735" i="2"/>
  <c r="E735" i="2" s="1"/>
  <c r="D736" i="2"/>
  <c r="E736" i="2" s="1"/>
  <c r="D737" i="2"/>
  <c r="E737" i="2" s="1"/>
  <c r="D738" i="2"/>
  <c r="E738" i="2" s="1"/>
  <c r="D739" i="2"/>
  <c r="E739" i="2" s="1"/>
  <c r="D740" i="2"/>
  <c r="E740" i="2" s="1"/>
  <c r="D741" i="2"/>
  <c r="E741" i="2" s="1"/>
  <c r="D742" i="2"/>
  <c r="E742" i="2" s="1"/>
  <c r="D743" i="2"/>
  <c r="E743" i="2" s="1"/>
  <c r="D744" i="2"/>
  <c r="E744" i="2" s="1"/>
  <c r="D745" i="2"/>
  <c r="E745" i="2" s="1"/>
  <c r="D746" i="2"/>
  <c r="E746" i="2" s="1"/>
  <c r="D747" i="2"/>
  <c r="E747" i="2" s="1"/>
  <c r="D748" i="2"/>
  <c r="E748" i="2" s="1"/>
  <c r="D749" i="2"/>
  <c r="E749" i="2" s="1"/>
  <c r="D750" i="2"/>
  <c r="E750" i="2" s="1"/>
  <c r="D751" i="2"/>
  <c r="E751" i="2" s="1"/>
  <c r="D752" i="2"/>
  <c r="E752" i="2" s="1"/>
  <c r="D753" i="2"/>
  <c r="E753" i="2" s="1"/>
  <c r="D754" i="2"/>
  <c r="E754" i="2" s="1"/>
  <c r="D755" i="2"/>
  <c r="E755" i="2" s="1"/>
  <c r="D756" i="2"/>
  <c r="E756" i="2" s="1"/>
  <c r="D757" i="2"/>
  <c r="E757" i="2" s="1"/>
  <c r="D758" i="2"/>
  <c r="E758" i="2" s="1"/>
  <c r="D759" i="2"/>
  <c r="E759" i="2" s="1"/>
  <c r="D760" i="2"/>
  <c r="E760" i="2" s="1"/>
  <c r="D761" i="2"/>
  <c r="E761" i="2" s="1"/>
  <c r="D762" i="2"/>
  <c r="E762" i="2" s="1"/>
  <c r="D763" i="2"/>
  <c r="E763" i="2" s="1"/>
  <c r="D764" i="2"/>
  <c r="E764" i="2" s="1"/>
  <c r="D765" i="2"/>
  <c r="E765" i="2" s="1"/>
  <c r="D766" i="2"/>
  <c r="E766" i="2" s="1"/>
  <c r="D767" i="2"/>
  <c r="E767" i="2" s="1"/>
  <c r="D768" i="2"/>
  <c r="E768" i="2" s="1"/>
  <c r="D769" i="2"/>
  <c r="E769" i="2" s="1"/>
  <c r="D770" i="2"/>
  <c r="E770" i="2" s="1"/>
  <c r="D771" i="2"/>
  <c r="E771" i="2" s="1"/>
  <c r="D772" i="2"/>
  <c r="E772" i="2" s="1"/>
  <c r="D773" i="2"/>
  <c r="E773" i="2" s="1"/>
  <c r="D774" i="2"/>
  <c r="E774" i="2" s="1"/>
  <c r="D775" i="2"/>
  <c r="E775" i="2" s="1"/>
  <c r="D776" i="2"/>
  <c r="E776" i="2" s="1"/>
  <c r="D777" i="2"/>
  <c r="E777" i="2" s="1"/>
  <c r="D778" i="2"/>
  <c r="E778" i="2" s="1"/>
  <c r="D779" i="2"/>
  <c r="E779" i="2" s="1"/>
  <c r="D780" i="2"/>
  <c r="E780" i="2" s="1"/>
  <c r="D781" i="2"/>
  <c r="E781" i="2" s="1"/>
  <c r="D782" i="2"/>
  <c r="E782" i="2" s="1"/>
  <c r="D783" i="2"/>
  <c r="E783" i="2" s="1"/>
  <c r="D784" i="2"/>
  <c r="E784" i="2" s="1"/>
  <c r="D785" i="2"/>
  <c r="E785" i="2" s="1"/>
  <c r="D786" i="2"/>
  <c r="E786" i="2" s="1"/>
  <c r="D787" i="2"/>
  <c r="E787" i="2" s="1"/>
  <c r="D788" i="2"/>
  <c r="E788" i="2" s="1"/>
  <c r="D789" i="2"/>
  <c r="E789" i="2" s="1"/>
  <c r="D790" i="2"/>
  <c r="E790" i="2" s="1"/>
  <c r="D791" i="2"/>
  <c r="E791" i="2" s="1"/>
  <c r="D792" i="2"/>
  <c r="E792" i="2" s="1"/>
  <c r="D793" i="2"/>
  <c r="E793" i="2" s="1"/>
  <c r="D794" i="2"/>
  <c r="E794" i="2" s="1"/>
  <c r="D795" i="2"/>
  <c r="E795" i="2" s="1"/>
  <c r="D796" i="2"/>
  <c r="E796" i="2" s="1"/>
  <c r="D797" i="2"/>
  <c r="E797" i="2" s="1"/>
  <c r="D798" i="2"/>
  <c r="E798" i="2" s="1"/>
  <c r="D799" i="2"/>
  <c r="E799" i="2" s="1"/>
  <c r="D800" i="2"/>
  <c r="E800" i="2" s="1"/>
  <c r="D801" i="2"/>
  <c r="E801" i="2" s="1"/>
  <c r="D802" i="2"/>
  <c r="E802" i="2" s="1"/>
  <c r="D803" i="2"/>
  <c r="E803" i="2" s="1"/>
  <c r="D804" i="2"/>
  <c r="E804" i="2" s="1"/>
  <c r="D805" i="2"/>
  <c r="E805" i="2" s="1"/>
  <c r="D806" i="2"/>
  <c r="E806" i="2" s="1"/>
  <c r="D807" i="2"/>
  <c r="E807" i="2" s="1"/>
  <c r="D808" i="2"/>
  <c r="E808" i="2" s="1"/>
  <c r="D809" i="2"/>
  <c r="E809" i="2" s="1"/>
  <c r="D810" i="2"/>
  <c r="E810" i="2" s="1"/>
  <c r="D811" i="2"/>
  <c r="E811" i="2" s="1"/>
  <c r="D812" i="2"/>
  <c r="E812" i="2" s="1"/>
  <c r="D813" i="2"/>
  <c r="E813" i="2" s="1"/>
  <c r="D814" i="2"/>
  <c r="E814" i="2" s="1"/>
  <c r="D815" i="2"/>
  <c r="E815" i="2" s="1"/>
  <c r="D816" i="2"/>
  <c r="E816" i="2" s="1"/>
  <c r="D817" i="2"/>
  <c r="E817" i="2" s="1"/>
  <c r="D818" i="2"/>
  <c r="E818" i="2" s="1"/>
  <c r="D819" i="2"/>
  <c r="E819" i="2" s="1"/>
  <c r="D820" i="2"/>
  <c r="E820" i="2" s="1"/>
  <c r="D821" i="2"/>
  <c r="E821" i="2" s="1"/>
  <c r="D822" i="2"/>
  <c r="E822" i="2" s="1"/>
  <c r="D823" i="2"/>
  <c r="E823" i="2" s="1"/>
  <c r="D824" i="2"/>
  <c r="E824" i="2" s="1"/>
  <c r="D825" i="2"/>
  <c r="E825" i="2" s="1"/>
  <c r="D826" i="2"/>
  <c r="E826" i="2" s="1"/>
  <c r="D827" i="2"/>
  <c r="E827" i="2" s="1"/>
  <c r="D828" i="2"/>
  <c r="E828" i="2" s="1"/>
  <c r="D829" i="2"/>
  <c r="E829" i="2" s="1"/>
  <c r="D830" i="2"/>
  <c r="E830" i="2" s="1"/>
  <c r="D831" i="2"/>
  <c r="E831" i="2" s="1"/>
  <c r="D832" i="2"/>
  <c r="E832" i="2" s="1"/>
  <c r="D833" i="2"/>
  <c r="E833" i="2" s="1"/>
  <c r="D834" i="2"/>
  <c r="E834" i="2" s="1"/>
  <c r="D835" i="2"/>
  <c r="E835" i="2" s="1"/>
  <c r="D836" i="2"/>
  <c r="E836" i="2" s="1"/>
  <c r="D837" i="2"/>
  <c r="E837" i="2" s="1"/>
  <c r="D838" i="2"/>
  <c r="E838" i="2" s="1"/>
  <c r="D839" i="2"/>
  <c r="E839" i="2" s="1"/>
  <c r="D840" i="2"/>
  <c r="E840" i="2" s="1"/>
  <c r="D841" i="2"/>
  <c r="E841" i="2" s="1"/>
  <c r="D842" i="2"/>
  <c r="E842" i="2" s="1"/>
  <c r="D843" i="2"/>
  <c r="E843" i="2" s="1"/>
  <c r="D844" i="2"/>
  <c r="E844" i="2" s="1"/>
  <c r="D845" i="2"/>
  <c r="E845" i="2" s="1"/>
  <c r="D846" i="2"/>
  <c r="E846" i="2" s="1"/>
  <c r="D847" i="2"/>
  <c r="E847" i="2" s="1"/>
  <c r="D848" i="2"/>
  <c r="E848" i="2" s="1"/>
  <c r="D849" i="2"/>
  <c r="E849" i="2" s="1"/>
  <c r="D850" i="2"/>
  <c r="E850" i="2" s="1"/>
  <c r="D851" i="2"/>
  <c r="E851" i="2" s="1"/>
  <c r="D852" i="2"/>
  <c r="E852" i="2" s="1"/>
  <c r="D853" i="2"/>
  <c r="E853" i="2" s="1"/>
  <c r="D854" i="2"/>
  <c r="E854" i="2" s="1"/>
  <c r="D855" i="2"/>
  <c r="E855" i="2" s="1"/>
  <c r="D856" i="2"/>
  <c r="E856" i="2" s="1"/>
  <c r="D857" i="2"/>
  <c r="E857" i="2" s="1"/>
  <c r="D858" i="2"/>
  <c r="E858" i="2" s="1"/>
  <c r="D859" i="2"/>
  <c r="E859" i="2" s="1"/>
  <c r="D860" i="2"/>
  <c r="E860" i="2" s="1"/>
  <c r="D861" i="2"/>
  <c r="E861" i="2" s="1"/>
  <c r="D862" i="2"/>
  <c r="E862" i="2" s="1"/>
  <c r="D863" i="2"/>
  <c r="E863" i="2" s="1"/>
  <c r="D864" i="2"/>
  <c r="E864" i="2" s="1"/>
  <c r="D865" i="2"/>
  <c r="E865" i="2" s="1"/>
  <c r="D866" i="2"/>
  <c r="E866" i="2" s="1"/>
  <c r="D867" i="2"/>
  <c r="E867" i="2" s="1"/>
  <c r="D868" i="2"/>
  <c r="E868" i="2" s="1"/>
  <c r="D869" i="2"/>
  <c r="E869" i="2" s="1"/>
  <c r="D870" i="2"/>
  <c r="E870" i="2" s="1"/>
  <c r="D871" i="2"/>
  <c r="E871" i="2" s="1"/>
  <c r="D872" i="2"/>
  <c r="E872" i="2" s="1"/>
  <c r="D873" i="2"/>
  <c r="E873" i="2" s="1"/>
  <c r="D874" i="2"/>
  <c r="E874" i="2" s="1"/>
  <c r="D875" i="2"/>
  <c r="E875" i="2" s="1"/>
  <c r="D876" i="2"/>
  <c r="E876" i="2" s="1"/>
  <c r="D877" i="2"/>
  <c r="E877" i="2" s="1"/>
  <c r="D878" i="2"/>
  <c r="E878" i="2" s="1"/>
  <c r="D879" i="2"/>
  <c r="E879" i="2" s="1"/>
  <c r="D880" i="2"/>
  <c r="E880" i="2" s="1"/>
  <c r="D881" i="2"/>
  <c r="E881" i="2" s="1"/>
  <c r="D882" i="2"/>
  <c r="E882" i="2" s="1"/>
  <c r="D883" i="2"/>
  <c r="E883" i="2" s="1"/>
  <c r="D884" i="2"/>
  <c r="E884" i="2" s="1"/>
  <c r="D885" i="2"/>
  <c r="E885" i="2" s="1"/>
  <c r="D886" i="2"/>
  <c r="E886" i="2" s="1"/>
  <c r="D887" i="2"/>
  <c r="E887" i="2" s="1"/>
  <c r="D888" i="2"/>
  <c r="E888" i="2" s="1"/>
  <c r="D889" i="2"/>
  <c r="E889" i="2" s="1"/>
  <c r="D890" i="2"/>
  <c r="E890" i="2" s="1"/>
  <c r="D891" i="2"/>
  <c r="E891" i="2" s="1"/>
  <c r="D892" i="2"/>
  <c r="E892" i="2" s="1"/>
  <c r="D893" i="2"/>
  <c r="E893" i="2" s="1"/>
  <c r="D894" i="2"/>
  <c r="E894" i="2" s="1"/>
  <c r="D895" i="2"/>
  <c r="E895" i="2" s="1"/>
  <c r="D896" i="2"/>
  <c r="E896" i="2" s="1"/>
  <c r="D897" i="2"/>
  <c r="E897" i="2" s="1"/>
  <c r="D898" i="2"/>
  <c r="E898" i="2" s="1"/>
  <c r="D899" i="2"/>
  <c r="E899" i="2" s="1"/>
  <c r="D900" i="2"/>
  <c r="E900" i="2" s="1"/>
  <c r="D901" i="2"/>
  <c r="E901" i="2" s="1"/>
  <c r="D902" i="2"/>
  <c r="E902" i="2" s="1"/>
  <c r="D903" i="2"/>
  <c r="E903" i="2" s="1"/>
  <c r="D904" i="2"/>
  <c r="E904" i="2" s="1"/>
  <c r="D905" i="2"/>
  <c r="E905" i="2" s="1"/>
  <c r="D906" i="2"/>
  <c r="E906" i="2" s="1"/>
  <c r="D907" i="2"/>
  <c r="E907" i="2" s="1"/>
  <c r="D908" i="2"/>
  <c r="E908" i="2" s="1"/>
  <c r="D909" i="2"/>
  <c r="E909" i="2" s="1"/>
  <c r="D910" i="2"/>
  <c r="E910" i="2" s="1"/>
  <c r="D911" i="2"/>
  <c r="E911" i="2" s="1"/>
  <c r="D912" i="2"/>
  <c r="E912" i="2" s="1"/>
  <c r="D913" i="2"/>
  <c r="E913" i="2" s="1"/>
  <c r="D914" i="2"/>
  <c r="E914" i="2" s="1"/>
  <c r="D915" i="2"/>
  <c r="E915" i="2" s="1"/>
  <c r="D916" i="2"/>
  <c r="E916" i="2" s="1"/>
  <c r="D917" i="2"/>
  <c r="E917" i="2" s="1"/>
  <c r="D918" i="2"/>
  <c r="E918" i="2" s="1"/>
  <c r="D919" i="2"/>
  <c r="E919" i="2" s="1"/>
  <c r="D920" i="2"/>
  <c r="E920" i="2" s="1"/>
  <c r="D921" i="2"/>
  <c r="E921" i="2" s="1"/>
  <c r="D922" i="2"/>
  <c r="E922" i="2" s="1"/>
  <c r="D923" i="2"/>
  <c r="E923" i="2" s="1"/>
  <c r="D924" i="2"/>
  <c r="E924" i="2" s="1"/>
  <c r="D925" i="2"/>
  <c r="E925" i="2" s="1"/>
  <c r="D926" i="2"/>
  <c r="E926" i="2" s="1"/>
  <c r="D927" i="2"/>
  <c r="E927" i="2" s="1"/>
  <c r="D928" i="2"/>
  <c r="E928" i="2" s="1"/>
  <c r="D929" i="2"/>
  <c r="E929" i="2" s="1"/>
  <c r="D930" i="2"/>
  <c r="E930" i="2" s="1"/>
  <c r="D931" i="2"/>
  <c r="E931" i="2" s="1"/>
  <c r="D932" i="2"/>
  <c r="E932" i="2" s="1"/>
  <c r="D933" i="2"/>
  <c r="E933" i="2" s="1"/>
  <c r="D934" i="2"/>
  <c r="E934" i="2" s="1"/>
  <c r="D935" i="2"/>
  <c r="E935" i="2" s="1"/>
  <c r="D936" i="2"/>
  <c r="E936" i="2" s="1"/>
  <c r="D937" i="2"/>
  <c r="E937" i="2" s="1"/>
  <c r="D938" i="2"/>
  <c r="E938" i="2" s="1"/>
  <c r="D939" i="2"/>
  <c r="E939" i="2" s="1"/>
  <c r="D940" i="2"/>
  <c r="E940" i="2" s="1"/>
  <c r="D941" i="2"/>
  <c r="E941" i="2" s="1"/>
  <c r="D942" i="2"/>
  <c r="E942" i="2" s="1"/>
  <c r="D943" i="2"/>
  <c r="E943" i="2" s="1"/>
  <c r="D944" i="2"/>
  <c r="E944" i="2" s="1"/>
  <c r="D945" i="2"/>
  <c r="E945" i="2" s="1"/>
  <c r="D946" i="2"/>
  <c r="E946" i="2" s="1"/>
  <c r="D947" i="2"/>
  <c r="E947" i="2" s="1"/>
  <c r="D948" i="2"/>
  <c r="E948" i="2" s="1"/>
  <c r="D949" i="2"/>
  <c r="E949" i="2" s="1"/>
  <c r="D950" i="2"/>
  <c r="E950" i="2" s="1"/>
  <c r="D951" i="2"/>
  <c r="E951" i="2" s="1"/>
  <c r="D952" i="2"/>
  <c r="E952" i="2" s="1"/>
  <c r="D953" i="2"/>
  <c r="E953" i="2" s="1"/>
  <c r="D954" i="2"/>
  <c r="E954" i="2" s="1"/>
  <c r="D955" i="2"/>
  <c r="E955" i="2" s="1"/>
  <c r="D956" i="2"/>
  <c r="E956" i="2" s="1"/>
  <c r="D957" i="2"/>
  <c r="E957" i="2" s="1"/>
  <c r="D958" i="2"/>
  <c r="E958" i="2" s="1"/>
  <c r="D959" i="2"/>
  <c r="E959" i="2" s="1"/>
  <c r="D960" i="2"/>
  <c r="E960" i="2" s="1"/>
  <c r="D961" i="2"/>
  <c r="E961" i="2" s="1"/>
  <c r="D962" i="2"/>
  <c r="E962" i="2" s="1"/>
  <c r="D963" i="2"/>
  <c r="E963" i="2" s="1"/>
  <c r="D964" i="2"/>
  <c r="E964" i="2" s="1"/>
  <c r="D965" i="2"/>
  <c r="E965" i="2" s="1"/>
  <c r="D966" i="2"/>
  <c r="E966" i="2" s="1"/>
  <c r="D967" i="2"/>
  <c r="E967" i="2" s="1"/>
  <c r="D968" i="2"/>
  <c r="E968" i="2" s="1"/>
  <c r="D969" i="2"/>
  <c r="E969" i="2" s="1"/>
  <c r="D970" i="2"/>
  <c r="E970" i="2" s="1"/>
  <c r="D971" i="2"/>
  <c r="E971" i="2" s="1"/>
  <c r="D972" i="2"/>
  <c r="E972" i="2" s="1"/>
  <c r="D973" i="2"/>
  <c r="E973" i="2" s="1"/>
  <c r="D974" i="2"/>
  <c r="E974" i="2" s="1"/>
  <c r="D975" i="2"/>
  <c r="E975" i="2" s="1"/>
  <c r="D976" i="2"/>
  <c r="E976" i="2" s="1"/>
  <c r="D977" i="2"/>
  <c r="E977" i="2" s="1"/>
  <c r="D978" i="2"/>
  <c r="E978" i="2" s="1"/>
  <c r="D979" i="2"/>
  <c r="E979" i="2" s="1"/>
  <c r="D980" i="2"/>
  <c r="E980" i="2" s="1"/>
  <c r="D981" i="2"/>
  <c r="E981" i="2" s="1"/>
  <c r="D982" i="2"/>
  <c r="E982" i="2" s="1"/>
  <c r="D983" i="2"/>
  <c r="E983" i="2" s="1"/>
  <c r="D984" i="2"/>
  <c r="E984" i="2" s="1"/>
  <c r="D985" i="2"/>
  <c r="E985" i="2" s="1"/>
  <c r="D986" i="2"/>
  <c r="E986" i="2" s="1"/>
  <c r="D987" i="2"/>
  <c r="E987" i="2" s="1"/>
  <c r="D988" i="2"/>
  <c r="E988" i="2" s="1"/>
  <c r="D989" i="2"/>
  <c r="E989" i="2" s="1"/>
  <c r="D990" i="2"/>
  <c r="E990" i="2" s="1"/>
  <c r="D991" i="2"/>
  <c r="E991" i="2" s="1"/>
  <c r="D992" i="2"/>
  <c r="E992" i="2" s="1"/>
  <c r="D993" i="2"/>
  <c r="E993" i="2" s="1"/>
  <c r="D994" i="2"/>
  <c r="E994" i="2" s="1"/>
  <c r="D995" i="2"/>
  <c r="E995" i="2" s="1"/>
  <c r="D996" i="2"/>
  <c r="E996" i="2" s="1"/>
  <c r="D997" i="2"/>
  <c r="E997" i="2" s="1"/>
  <c r="D998" i="2"/>
  <c r="E998" i="2" s="1"/>
  <c r="D999" i="2"/>
  <c r="E999" i="2" s="1"/>
  <c r="D1000" i="2"/>
  <c r="E1000" i="2" s="1"/>
  <c r="D1001" i="2"/>
  <c r="E1001" i="2" s="1"/>
  <c r="D1002" i="2"/>
  <c r="E1002" i="2" s="1"/>
  <c r="D1003" i="2"/>
  <c r="E1003" i="2" s="1"/>
  <c r="D1004" i="2"/>
  <c r="E1004" i="2" s="1"/>
  <c r="D1005" i="2"/>
  <c r="E1005" i="2" s="1"/>
  <c r="D1006" i="2"/>
  <c r="E1006" i="2" s="1"/>
  <c r="D1007" i="2"/>
  <c r="E1007" i="2" s="1"/>
  <c r="D1008" i="2"/>
  <c r="E1008" i="2" s="1"/>
  <c r="D1009" i="2"/>
  <c r="E1009" i="2" s="1"/>
  <c r="D1010" i="2"/>
  <c r="E1010" i="2" s="1"/>
  <c r="D1011" i="2"/>
  <c r="E1011" i="2" s="1"/>
  <c r="D1012" i="2"/>
  <c r="E1012" i="2" s="1"/>
  <c r="D1013" i="2"/>
  <c r="E1013" i="2" s="1"/>
  <c r="D1014" i="2"/>
  <c r="E1014" i="2" s="1"/>
  <c r="D1015" i="2"/>
  <c r="E1015" i="2" s="1"/>
  <c r="D1016" i="2"/>
  <c r="E1016" i="2" s="1"/>
  <c r="D1017" i="2"/>
  <c r="E1017" i="2" s="1"/>
  <c r="D1018" i="2"/>
  <c r="E1018" i="2" s="1"/>
  <c r="D1019" i="2"/>
  <c r="E1019" i="2" s="1"/>
  <c r="D1020" i="2"/>
  <c r="E1020" i="2" s="1"/>
  <c r="D1021" i="2"/>
  <c r="E1021" i="2" s="1"/>
  <c r="D1022" i="2"/>
  <c r="E1022" i="2" s="1"/>
  <c r="D1023" i="2"/>
  <c r="E1023" i="2" s="1"/>
  <c r="D1024" i="2"/>
  <c r="E1024" i="2" s="1"/>
  <c r="D1025" i="2"/>
  <c r="E1025" i="2" s="1"/>
  <c r="D1026" i="2"/>
  <c r="E1026" i="2" s="1"/>
  <c r="D1027" i="2"/>
  <c r="E1027" i="2" s="1"/>
  <c r="D1028" i="2"/>
  <c r="E1028" i="2" s="1"/>
  <c r="D1029" i="2"/>
  <c r="E1029" i="2" s="1"/>
  <c r="D1030" i="2"/>
  <c r="E1030" i="2" s="1"/>
  <c r="D1031" i="2"/>
  <c r="E1031" i="2" s="1"/>
  <c r="D1032" i="2"/>
  <c r="E1032" i="2" s="1"/>
  <c r="D1033" i="2"/>
  <c r="E1033" i="2" s="1"/>
  <c r="D1034" i="2"/>
  <c r="E1034" i="2" s="1"/>
  <c r="D1035" i="2"/>
  <c r="E1035" i="2" s="1"/>
  <c r="D1036" i="2"/>
  <c r="E1036" i="2" s="1"/>
  <c r="D1037" i="2"/>
  <c r="E1037" i="2" s="1"/>
  <c r="D1038" i="2"/>
  <c r="E1038" i="2" s="1"/>
  <c r="D1039" i="2"/>
  <c r="E1039" i="2" s="1"/>
  <c r="D1040" i="2"/>
  <c r="E1040" i="2" s="1"/>
  <c r="D1041" i="2"/>
  <c r="E1041" i="2" s="1"/>
  <c r="D1042" i="2"/>
  <c r="E1042" i="2" s="1"/>
  <c r="D1043" i="2"/>
  <c r="E1043" i="2" s="1"/>
  <c r="D1044" i="2"/>
  <c r="E1044" i="2" s="1"/>
  <c r="D1045" i="2"/>
  <c r="E1045" i="2" s="1"/>
  <c r="D1046" i="2"/>
  <c r="E1046" i="2" s="1"/>
  <c r="D1047" i="2"/>
  <c r="E1047" i="2" s="1"/>
  <c r="D1048" i="2"/>
  <c r="E1048" i="2" s="1"/>
  <c r="D1049" i="2"/>
  <c r="E1049" i="2" s="1"/>
  <c r="D1050" i="2"/>
  <c r="E1050" i="2" s="1"/>
  <c r="D1051" i="2"/>
  <c r="E1051" i="2" s="1"/>
  <c r="D1052" i="2"/>
  <c r="E1052" i="2" s="1"/>
  <c r="D1053" i="2"/>
  <c r="E1053" i="2" s="1"/>
  <c r="D1054" i="2"/>
  <c r="E1054" i="2" s="1"/>
  <c r="D1055" i="2"/>
  <c r="E1055" i="2" s="1"/>
  <c r="D1056" i="2"/>
  <c r="E1056" i="2" s="1"/>
  <c r="D1057" i="2"/>
  <c r="E1057" i="2" s="1"/>
  <c r="D1058" i="2"/>
  <c r="E1058" i="2" s="1"/>
  <c r="D1059" i="2"/>
  <c r="E1059" i="2" s="1"/>
  <c r="D1060" i="2"/>
  <c r="E1060" i="2" s="1"/>
  <c r="D1061" i="2"/>
  <c r="E1061" i="2" s="1"/>
  <c r="D1062" i="2"/>
  <c r="E1062" i="2" s="1"/>
  <c r="D1063" i="2"/>
  <c r="E1063" i="2" s="1"/>
  <c r="D1064" i="2"/>
  <c r="E1064" i="2" s="1"/>
  <c r="D1065" i="2"/>
  <c r="E1065" i="2" s="1"/>
  <c r="D1066" i="2"/>
  <c r="E1066" i="2" s="1"/>
  <c r="D1067" i="2"/>
  <c r="E1067" i="2" s="1"/>
  <c r="D1068" i="2"/>
  <c r="E1068" i="2" s="1"/>
  <c r="D1069" i="2"/>
  <c r="E1069" i="2" s="1"/>
  <c r="D1070" i="2"/>
  <c r="E1070" i="2" s="1"/>
  <c r="D1071" i="2"/>
  <c r="E1071" i="2" s="1"/>
  <c r="D1072" i="2"/>
  <c r="E1072" i="2" s="1"/>
  <c r="D1073" i="2"/>
  <c r="E1073" i="2" s="1"/>
  <c r="D1074" i="2"/>
  <c r="E1074" i="2" s="1"/>
  <c r="D1075" i="2"/>
  <c r="E1075" i="2" s="1"/>
  <c r="D1076" i="2"/>
  <c r="E1076" i="2" s="1"/>
  <c r="D1077" i="2"/>
  <c r="E1077" i="2" s="1"/>
  <c r="D1078" i="2"/>
  <c r="E1078" i="2" s="1"/>
  <c r="D1079" i="2"/>
  <c r="E1079" i="2" s="1"/>
  <c r="D1080" i="2"/>
  <c r="E1080" i="2" s="1"/>
  <c r="D1081" i="2"/>
  <c r="E1081" i="2" s="1"/>
  <c r="D1082" i="2"/>
  <c r="E1082" i="2" s="1"/>
  <c r="D1083" i="2"/>
  <c r="E1083" i="2" s="1"/>
  <c r="D1084" i="2"/>
  <c r="E1084" i="2" s="1"/>
  <c r="D1085" i="2"/>
  <c r="E1085" i="2" s="1"/>
  <c r="D1086" i="2"/>
  <c r="E1086" i="2" s="1"/>
  <c r="D1087" i="2"/>
  <c r="E1087" i="2" s="1"/>
  <c r="D1088" i="2"/>
  <c r="E1088" i="2" s="1"/>
  <c r="D1089" i="2"/>
  <c r="E1089" i="2" s="1"/>
  <c r="D1090" i="2"/>
  <c r="E1090" i="2" s="1"/>
  <c r="D1091" i="2"/>
  <c r="E1091" i="2" s="1"/>
  <c r="D1092" i="2"/>
  <c r="E1092" i="2" s="1"/>
  <c r="D1093" i="2"/>
  <c r="E1093" i="2" s="1"/>
  <c r="D1094" i="2"/>
  <c r="E1094" i="2" s="1"/>
  <c r="D1095" i="2"/>
  <c r="E1095" i="2" s="1"/>
  <c r="D1096" i="2"/>
  <c r="E1096" i="2" s="1"/>
  <c r="D1097" i="2"/>
  <c r="E1097" i="2" s="1"/>
  <c r="D1098" i="2"/>
  <c r="E1098" i="2" s="1"/>
  <c r="D1099" i="2"/>
  <c r="E1099" i="2" s="1"/>
  <c r="D1100" i="2"/>
  <c r="E1100" i="2" s="1"/>
  <c r="D1101" i="2"/>
  <c r="E1101" i="2" s="1"/>
  <c r="D1102" i="2"/>
  <c r="E1102" i="2" s="1"/>
  <c r="D1103" i="2"/>
  <c r="E1103" i="2" s="1"/>
  <c r="D1104" i="2"/>
  <c r="E1104" i="2" s="1"/>
  <c r="D1105" i="2"/>
  <c r="E1105" i="2" s="1"/>
  <c r="D1106" i="2"/>
  <c r="E1106" i="2" s="1"/>
  <c r="D1107" i="2"/>
  <c r="E1107" i="2" s="1"/>
  <c r="D1108" i="2"/>
  <c r="E1108" i="2" s="1"/>
  <c r="D1109" i="2"/>
  <c r="E1109" i="2" s="1"/>
  <c r="D1110" i="2"/>
  <c r="E1110" i="2" s="1"/>
  <c r="D1111" i="2"/>
  <c r="E1111" i="2" s="1"/>
  <c r="D1112" i="2"/>
  <c r="E1112" i="2" s="1"/>
  <c r="D1113" i="2"/>
  <c r="E1113" i="2" s="1"/>
  <c r="D1114" i="2"/>
  <c r="E1114" i="2" s="1"/>
  <c r="D1115" i="2"/>
  <c r="E1115" i="2" s="1"/>
  <c r="D1116" i="2"/>
  <c r="E1116" i="2" s="1"/>
  <c r="D1117" i="2"/>
  <c r="E1117" i="2" s="1"/>
  <c r="D1118" i="2"/>
  <c r="E1118" i="2" s="1"/>
  <c r="D1119" i="2"/>
  <c r="E1119" i="2" s="1"/>
  <c r="D1120" i="2"/>
  <c r="E1120" i="2" s="1"/>
  <c r="D1121" i="2"/>
  <c r="E1121" i="2" s="1"/>
  <c r="D1122" i="2"/>
  <c r="E1122" i="2" s="1"/>
  <c r="D1123" i="2"/>
  <c r="E1123" i="2" s="1"/>
  <c r="D1124" i="2"/>
  <c r="E1124" i="2" s="1"/>
  <c r="D1125" i="2"/>
  <c r="E1125" i="2" s="1"/>
  <c r="D1126" i="2"/>
  <c r="E1126" i="2" s="1"/>
  <c r="D1127" i="2"/>
  <c r="E1127" i="2" s="1"/>
  <c r="D1128" i="2"/>
  <c r="E1128" i="2" s="1"/>
  <c r="D1129" i="2"/>
  <c r="E1129" i="2" s="1"/>
  <c r="D1130" i="2"/>
  <c r="E1130" i="2" s="1"/>
  <c r="D1131" i="2"/>
  <c r="E1131" i="2" s="1"/>
  <c r="D1132" i="2"/>
  <c r="E1132" i="2" s="1"/>
  <c r="D1133" i="2"/>
  <c r="E1133" i="2" s="1"/>
  <c r="D1134" i="2"/>
  <c r="E1134" i="2" s="1"/>
  <c r="D1135" i="2"/>
  <c r="E1135" i="2" s="1"/>
  <c r="D1136" i="2"/>
  <c r="E1136" i="2" s="1"/>
  <c r="D1137" i="2"/>
  <c r="E1137" i="2" s="1"/>
  <c r="D1138" i="2"/>
  <c r="E1138" i="2" s="1"/>
  <c r="D1139" i="2"/>
  <c r="E1139" i="2" s="1"/>
  <c r="D1140" i="2"/>
  <c r="E1140" i="2" s="1"/>
  <c r="D1141" i="2"/>
  <c r="E1141" i="2" s="1"/>
  <c r="D1142" i="2"/>
  <c r="E1142" i="2" s="1"/>
  <c r="D1143" i="2"/>
  <c r="E1143" i="2" s="1"/>
  <c r="D1144" i="2"/>
  <c r="E1144" i="2" s="1"/>
  <c r="D1145" i="2"/>
  <c r="E1145" i="2" s="1"/>
  <c r="D1146" i="2"/>
  <c r="E1146" i="2" s="1"/>
  <c r="D1147" i="2"/>
  <c r="E1147" i="2" s="1"/>
  <c r="D1148" i="2"/>
  <c r="E1148" i="2" s="1"/>
  <c r="D1149" i="2"/>
  <c r="E1149" i="2" s="1"/>
  <c r="D1150" i="2"/>
  <c r="E1150" i="2" s="1"/>
  <c r="D1151" i="2"/>
  <c r="E1151" i="2" s="1"/>
  <c r="D1152" i="2"/>
  <c r="E1152" i="2" s="1"/>
  <c r="D1153" i="2"/>
  <c r="E1153" i="2" s="1"/>
  <c r="D1154" i="2"/>
  <c r="E1154" i="2" s="1"/>
  <c r="D1155" i="2"/>
  <c r="E1155" i="2" s="1"/>
  <c r="D1156" i="2"/>
  <c r="E1156" i="2" s="1"/>
  <c r="D1157" i="2"/>
  <c r="E1157" i="2" s="1"/>
  <c r="D1158" i="2"/>
  <c r="E1158" i="2" s="1"/>
  <c r="D1159" i="2"/>
  <c r="E1159" i="2" s="1"/>
  <c r="D1160" i="2"/>
  <c r="E1160" i="2" s="1"/>
  <c r="D1161" i="2"/>
  <c r="E1161" i="2" s="1"/>
  <c r="D1162" i="2"/>
  <c r="E1162" i="2" s="1"/>
  <c r="D1163" i="2"/>
  <c r="E1163" i="2" s="1"/>
  <c r="D1164" i="2"/>
  <c r="E1164" i="2" s="1"/>
  <c r="D1165" i="2"/>
  <c r="E1165" i="2" s="1"/>
  <c r="D1166" i="2"/>
  <c r="E1166" i="2" s="1"/>
  <c r="D1167" i="2"/>
  <c r="E1167" i="2" s="1"/>
  <c r="D1168" i="2"/>
  <c r="E1168" i="2" s="1"/>
  <c r="D1169" i="2"/>
  <c r="E1169" i="2" s="1"/>
  <c r="D1170" i="2"/>
  <c r="E1170" i="2" s="1"/>
  <c r="D1171" i="2"/>
  <c r="E1171" i="2" s="1"/>
  <c r="D1172" i="2"/>
  <c r="E1172" i="2" s="1"/>
  <c r="D1173" i="2"/>
  <c r="E1173" i="2" s="1"/>
  <c r="D1174" i="2"/>
  <c r="E1174" i="2" s="1"/>
  <c r="D1175" i="2"/>
  <c r="E1175" i="2" s="1"/>
  <c r="D1176" i="2"/>
  <c r="E1176" i="2" s="1"/>
  <c r="D1177" i="2"/>
  <c r="E1177" i="2" s="1"/>
  <c r="D1178" i="2"/>
  <c r="E1178" i="2" s="1"/>
  <c r="D1179" i="2"/>
  <c r="E1179" i="2" s="1"/>
  <c r="D1180" i="2"/>
  <c r="E1180" i="2" s="1"/>
  <c r="D1181" i="2"/>
  <c r="E1181" i="2" s="1"/>
  <c r="D1182" i="2"/>
  <c r="E1182" i="2" s="1"/>
  <c r="D1183" i="2"/>
  <c r="E1183" i="2" s="1"/>
  <c r="D1184" i="2"/>
  <c r="E1184" i="2" s="1"/>
  <c r="D1185" i="2"/>
  <c r="E1185" i="2" s="1"/>
  <c r="D1186" i="2"/>
  <c r="E1186" i="2" s="1"/>
  <c r="D1187" i="2"/>
  <c r="E1187" i="2" s="1"/>
  <c r="D1188" i="2"/>
  <c r="E1188" i="2" s="1"/>
  <c r="D1189" i="2"/>
  <c r="E1189" i="2" s="1"/>
  <c r="D1190" i="2"/>
  <c r="E1190" i="2" s="1"/>
  <c r="D1191" i="2"/>
  <c r="E1191" i="2" s="1"/>
  <c r="D1192" i="2"/>
  <c r="E1192" i="2" s="1"/>
  <c r="D1193" i="2"/>
  <c r="E1193" i="2" s="1"/>
  <c r="D1194" i="2"/>
  <c r="E1194" i="2" s="1"/>
  <c r="D1195" i="2"/>
  <c r="E1195" i="2" s="1"/>
  <c r="D1196" i="2"/>
  <c r="E1196" i="2" s="1"/>
  <c r="D1197" i="2"/>
  <c r="E1197" i="2" s="1"/>
  <c r="D1198" i="2"/>
  <c r="E1198" i="2" s="1"/>
  <c r="D1199" i="2"/>
  <c r="E1199" i="2" s="1"/>
  <c r="D1200" i="2"/>
  <c r="E1200" i="2" s="1"/>
  <c r="D1201" i="2"/>
  <c r="E1201" i="2" s="1"/>
  <c r="D1202" i="2"/>
  <c r="E1202" i="2" s="1"/>
  <c r="D1203" i="2"/>
  <c r="E1203" i="2" s="1"/>
  <c r="D1204" i="2"/>
  <c r="E1204" i="2" s="1"/>
  <c r="D1205" i="2"/>
  <c r="E1205" i="2" s="1"/>
  <c r="D1206" i="2"/>
  <c r="E1206" i="2" s="1"/>
  <c r="D1207" i="2"/>
  <c r="E1207" i="2" s="1"/>
  <c r="D1208" i="2"/>
  <c r="E1208" i="2" s="1"/>
  <c r="D1209" i="2"/>
  <c r="E1209" i="2" s="1"/>
  <c r="D1210" i="2"/>
  <c r="E1210" i="2" s="1"/>
  <c r="D1211" i="2"/>
  <c r="E1211" i="2" s="1"/>
  <c r="D1212" i="2"/>
  <c r="E1212" i="2" s="1"/>
  <c r="D1213" i="2"/>
  <c r="E1213" i="2" s="1"/>
  <c r="D1214" i="2"/>
  <c r="E1214" i="2" s="1"/>
  <c r="D1215" i="2"/>
  <c r="E1215" i="2" s="1"/>
  <c r="D1216" i="2"/>
  <c r="E1216" i="2" s="1"/>
  <c r="D1217" i="2"/>
  <c r="E1217" i="2" s="1"/>
  <c r="D1218" i="2"/>
  <c r="E1218" i="2" s="1"/>
  <c r="D1219" i="2"/>
  <c r="E1219" i="2" s="1"/>
  <c r="D1220" i="2"/>
  <c r="E1220" i="2" s="1"/>
  <c r="D1221" i="2"/>
  <c r="E1221" i="2" s="1"/>
  <c r="D1222" i="2"/>
  <c r="E1222" i="2" s="1"/>
  <c r="D1223" i="2"/>
  <c r="E1223" i="2" s="1"/>
  <c r="D1224" i="2"/>
  <c r="E1224" i="2" s="1"/>
  <c r="D1225" i="2"/>
  <c r="E1225" i="2" s="1"/>
  <c r="D1226" i="2"/>
  <c r="E1226" i="2" s="1"/>
  <c r="D1227" i="2"/>
  <c r="E1227" i="2" s="1"/>
  <c r="D1228" i="2"/>
  <c r="E1228" i="2" s="1"/>
  <c r="D1229" i="2"/>
  <c r="E1229" i="2" s="1"/>
  <c r="D1230" i="2"/>
  <c r="E1230" i="2" s="1"/>
  <c r="D1231" i="2"/>
  <c r="E1231" i="2" s="1"/>
  <c r="D1232" i="2"/>
  <c r="E1232" i="2" s="1"/>
  <c r="D1233" i="2"/>
  <c r="E1233" i="2" s="1"/>
  <c r="D1234" i="2"/>
  <c r="E1234" i="2" s="1"/>
  <c r="D1235" i="2"/>
  <c r="E1235" i="2" s="1"/>
  <c r="D1236" i="2"/>
  <c r="E1236" i="2" s="1"/>
  <c r="D1237" i="2"/>
  <c r="E1237" i="2" s="1"/>
  <c r="D1238" i="2"/>
  <c r="E1238" i="2" s="1"/>
  <c r="D1239" i="2"/>
  <c r="E1239" i="2" s="1"/>
  <c r="D1240" i="2"/>
  <c r="E1240" i="2" s="1"/>
  <c r="D1241" i="2"/>
  <c r="E1241" i="2" s="1"/>
  <c r="D1242" i="2"/>
  <c r="E1242" i="2" s="1"/>
  <c r="D1243" i="2"/>
  <c r="E1243" i="2" s="1"/>
  <c r="D1244" i="2"/>
  <c r="E1244" i="2" s="1"/>
  <c r="D1245" i="2"/>
  <c r="E1245" i="2" s="1"/>
  <c r="D1246" i="2"/>
  <c r="E1246" i="2" s="1"/>
  <c r="D1247" i="2"/>
  <c r="E1247" i="2" s="1"/>
  <c r="D1248" i="2"/>
  <c r="E1248" i="2" s="1"/>
  <c r="D1249" i="2"/>
  <c r="E1249" i="2" s="1"/>
  <c r="D1250" i="2"/>
  <c r="E1250" i="2" s="1"/>
  <c r="D1251" i="2"/>
  <c r="E1251" i="2" s="1"/>
  <c r="D1252" i="2"/>
  <c r="E1252" i="2" s="1"/>
  <c r="D1253" i="2"/>
  <c r="E1253" i="2" s="1"/>
  <c r="D1254" i="2"/>
  <c r="E1254" i="2" s="1"/>
  <c r="D1255" i="2"/>
  <c r="E1255" i="2" s="1"/>
  <c r="D1256" i="2"/>
  <c r="E1256" i="2" s="1"/>
  <c r="D1257" i="2"/>
  <c r="E1257" i="2" s="1"/>
  <c r="D1258" i="2"/>
  <c r="E1258" i="2" s="1"/>
  <c r="D1259" i="2"/>
  <c r="E1259" i="2" s="1"/>
  <c r="D1260" i="2"/>
  <c r="E1260" i="2" s="1"/>
  <c r="D1261" i="2"/>
  <c r="E1261" i="2" s="1"/>
  <c r="D1262" i="2"/>
  <c r="E1262" i="2" s="1"/>
  <c r="D1263" i="2"/>
  <c r="E1263" i="2" s="1"/>
  <c r="D1264" i="2"/>
  <c r="E1264" i="2" s="1"/>
  <c r="D1265" i="2"/>
  <c r="E1265" i="2" s="1"/>
  <c r="D1266" i="2"/>
  <c r="E1266" i="2" s="1"/>
  <c r="D1267" i="2"/>
  <c r="E1267" i="2" s="1"/>
  <c r="D1268" i="2"/>
  <c r="E1268" i="2" s="1"/>
  <c r="D1269" i="2"/>
  <c r="E1269" i="2" s="1"/>
  <c r="D1270" i="2"/>
  <c r="E1270" i="2" s="1"/>
  <c r="D1271" i="2"/>
  <c r="E1271" i="2" s="1"/>
  <c r="D1272" i="2"/>
  <c r="E1272" i="2" s="1"/>
  <c r="D1273" i="2"/>
  <c r="E1273" i="2" s="1"/>
  <c r="D1274" i="2"/>
  <c r="E1274" i="2" s="1"/>
  <c r="D1275" i="2"/>
  <c r="E1275" i="2" s="1"/>
  <c r="D1276" i="2"/>
  <c r="E1276" i="2" s="1"/>
  <c r="D1277" i="2"/>
  <c r="E1277" i="2" s="1"/>
  <c r="D1278" i="2"/>
  <c r="E1278" i="2" s="1"/>
  <c r="D1279" i="2"/>
  <c r="E1279" i="2" s="1"/>
  <c r="D1280" i="2"/>
  <c r="E1280" i="2" s="1"/>
  <c r="D1281" i="2"/>
  <c r="E1281" i="2" s="1"/>
  <c r="D1282" i="2"/>
  <c r="E1282" i="2" s="1"/>
  <c r="D1283" i="2"/>
  <c r="E1283" i="2" s="1"/>
  <c r="D1284" i="2"/>
  <c r="E1284" i="2" s="1"/>
  <c r="D1285" i="2"/>
  <c r="E1285" i="2" s="1"/>
  <c r="D1286" i="2"/>
  <c r="E1286" i="2" s="1"/>
  <c r="D1287" i="2"/>
  <c r="E1287" i="2" s="1"/>
  <c r="D1288" i="2"/>
  <c r="E1288" i="2" s="1"/>
  <c r="D1289" i="2"/>
  <c r="E1289" i="2" s="1"/>
  <c r="D1290" i="2"/>
  <c r="E1290" i="2" s="1"/>
  <c r="D1291" i="2"/>
  <c r="E1291" i="2" s="1"/>
  <c r="D1292" i="2"/>
  <c r="E1292" i="2" s="1"/>
  <c r="D1293" i="2"/>
  <c r="E1293" i="2" s="1"/>
  <c r="D1294" i="2"/>
  <c r="E1294" i="2" s="1"/>
  <c r="D1295" i="2"/>
  <c r="E1295" i="2" s="1"/>
  <c r="D1296" i="2"/>
  <c r="E1296" i="2" s="1"/>
  <c r="D1297" i="2"/>
  <c r="E1297" i="2" s="1"/>
  <c r="D1298" i="2"/>
  <c r="E1298" i="2" s="1"/>
  <c r="D1299" i="2"/>
  <c r="E1299" i="2" s="1"/>
  <c r="D1300" i="2"/>
  <c r="E1300" i="2" s="1"/>
  <c r="D1301" i="2"/>
  <c r="E1301" i="2" s="1"/>
  <c r="D1302" i="2"/>
  <c r="E1302" i="2" s="1"/>
  <c r="D1303" i="2"/>
  <c r="E1303" i="2" s="1"/>
  <c r="D1304" i="2"/>
  <c r="E1304" i="2" s="1"/>
  <c r="D1305" i="2"/>
  <c r="E1305" i="2" s="1"/>
  <c r="D1306" i="2"/>
  <c r="E1306" i="2" s="1"/>
  <c r="D1307" i="2"/>
  <c r="E1307" i="2" s="1"/>
  <c r="D1308" i="2"/>
  <c r="E1308" i="2" s="1"/>
  <c r="D1309" i="2"/>
  <c r="E1309" i="2" s="1"/>
  <c r="D1310" i="2"/>
  <c r="E1310" i="2" s="1"/>
  <c r="D1311" i="2"/>
  <c r="E1311" i="2" s="1"/>
  <c r="D1312" i="2"/>
  <c r="E1312" i="2" s="1"/>
  <c r="D1313" i="2"/>
  <c r="E1313" i="2" s="1"/>
  <c r="D1314" i="2"/>
  <c r="E1314" i="2" s="1"/>
  <c r="D1315" i="2"/>
  <c r="E1315" i="2" s="1"/>
  <c r="D1316" i="2"/>
  <c r="E1316" i="2" s="1"/>
  <c r="D1317" i="2"/>
  <c r="E1317" i="2" s="1"/>
  <c r="D1318" i="2"/>
  <c r="E1318" i="2" s="1"/>
  <c r="D1319" i="2"/>
  <c r="E1319" i="2" s="1"/>
  <c r="D1320" i="2"/>
  <c r="E1320" i="2" s="1"/>
  <c r="D1321" i="2"/>
  <c r="E1321" i="2" s="1"/>
  <c r="D1322" i="2"/>
  <c r="E1322" i="2" s="1"/>
  <c r="D1323" i="2"/>
  <c r="E1323" i="2" s="1"/>
  <c r="D1324" i="2"/>
  <c r="E1324" i="2" s="1"/>
  <c r="D1325" i="2"/>
  <c r="E1325" i="2" s="1"/>
  <c r="D1326" i="2"/>
  <c r="E1326" i="2" s="1"/>
  <c r="D1327" i="2"/>
  <c r="E1327" i="2" s="1"/>
  <c r="D1328" i="2"/>
  <c r="E1328" i="2" s="1"/>
  <c r="D1329" i="2"/>
  <c r="E1329" i="2" s="1"/>
  <c r="D1330" i="2"/>
  <c r="E1330" i="2" s="1"/>
  <c r="D1331" i="2"/>
  <c r="E1331" i="2" s="1"/>
  <c r="D1332" i="2"/>
  <c r="E1332" i="2" s="1"/>
  <c r="D1333" i="2"/>
  <c r="E1333" i="2" s="1"/>
  <c r="D1334" i="2"/>
  <c r="E1334" i="2" s="1"/>
  <c r="D1335" i="2"/>
  <c r="E1335" i="2" s="1"/>
  <c r="D1336" i="2"/>
  <c r="E1336" i="2" s="1"/>
  <c r="D1337" i="2"/>
  <c r="E1337" i="2" s="1"/>
  <c r="D1338" i="2"/>
  <c r="E1338" i="2" s="1"/>
  <c r="D1339" i="2"/>
  <c r="E1339" i="2" s="1"/>
  <c r="D1340" i="2"/>
  <c r="E1340" i="2" s="1"/>
  <c r="D1341" i="2"/>
  <c r="E1341" i="2" s="1"/>
  <c r="D1342" i="2"/>
  <c r="E1342" i="2" s="1"/>
  <c r="D1343" i="2"/>
  <c r="E1343" i="2" s="1"/>
  <c r="D1344" i="2"/>
  <c r="E1344" i="2" s="1"/>
  <c r="D1345" i="2"/>
  <c r="E1345" i="2" s="1"/>
  <c r="D1346" i="2"/>
  <c r="E1346" i="2" s="1"/>
  <c r="D1347" i="2"/>
  <c r="E1347" i="2" s="1"/>
  <c r="D1348" i="2"/>
  <c r="E1348" i="2" s="1"/>
  <c r="D1349" i="2"/>
  <c r="E1349" i="2" s="1"/>
  <c r="D1350" i="2"/>
  <c r="E1350" i="2" s="1"/>
  <c r="D1351" i="2"/>
  <c r="E1351" i="2" s="1"/>
  <c r="D1352" i="2"/>
  <c r="E1352" i="2" s="1"/>
  <c r="D1353" i="2"/>
  <c r="E1353" i="2" s="1"/>
  <c r="D1354" i="2"/>
  <c r="E1354" i="2" s="1"/>
  <c r="D1355" i="2"/>
  <c r="E1355" i="2" s="1"/>
  <c r="D1356" i="2"/>
  <c r="E1356" i="2" s="1"/>
  <c r="D1357" i="2"/>
  <c r="E1357" i="2" s="1"/>
  <c r="D1358" i="2"/>
  <c r="E1358" i="2" s="1"/>
  <c r="D1359" i="2"/>
  <c r="E1359" i="2" s="1"/>
  <c r="D1360" i="2"/>
  <c r="E1360" i="2" s="1"/>
  <c r="D1361" i="2"/>
  <c r="E1361" i="2" s="1"/>
  <c r="D1362" i="2"/>
  <c r="E1362" i="2" s="1"/>
  <c r="D1363" i="2"/>
  <c r="E1363" i="2" s="1"/>
  <c r="D1364" i="2"/>
  <c r="E1364" i="2" s="1"/>
  <c r="D1365" i="2"/>
  <c r="E1365" i="2" s="1"/>
  <c r="D1366" i="2"/>
  <c r="E1366" i="2" s="1"/>
  <c r="D1367" i="2"/>
  <c r="E1367" i="2" s="1"/>
  <c r="D1368" i="2"/>
  <c r="E1368" i="2" s="1"/>
  <c r="D1369" i="2"/>
  <c r="E1369" i="2" s="1"/>
  <c r="D1370" i="2"/>
  <c r="E1370" i="2" s="1"/>
  <c r="D1371" i="2"/>
  <c r="E1371" i="2" s="1"/>
  <c r="D1372" i="2"/>
  <c r="E1372" i="2" s="1"/>
  <c r="D1373" i="2"/>
  <c r="E1373" i="2" s="1"/>
  <c r="D1374" i="2"/>
  <c r="E1374" i="2" s="1"/>
  <c r="D1375" i="2"/>
  <c r="E1375" i="2" s="1"/>
  <c r="D1376" i="2"/>
  <c r="E1376" i="2" s="1"/>
  <c r="D1377" i="2"/>
  <c r="E1377" i="2" s="1"/>
  <c r="D1378" i="2"/>
  <c r="E1378" i="2" s="1"/>
  <c r="D1379" i="2"/>
  <c r="E1379" i="2" s="1"/>
  <c r="D1380" i="2"/>
  <c r="E1380" i="2" s="1"/>
  <c r="D1381" i="2"/>
  <c r="E1381" i="2" s="1"/>
  <c r="D1382" i="2"/>
  <c r="E1382" i="2" s="1"/>
  <c r="D1383" i="2"/>
  <c r="E1383" i="2" s="1"/>
  <c r="D1384" i="2"/>
  <c r="E1384" i="2" s="1"/>
  <c r="D1385" i="2"/>
  <c r="E1385" i="2" s="1"/>
  <c r="D1386" i="2"/>
  <c r="E1386" i="2" s="1"/>
  <c r="D1387" i="2"/>
  <c r="E1387" i="2" s="1"/>
  <c r="D1388" i="2"/>
  <c r="E1388" i="2" s="1"/>
  <c r="D1389" i="2"/>
  <c r="E1389" i="2" s="1"/>
  <c r="D1390" i="2"/>
  <c r="E1390" i="2" s="1"/>
  <c r="D1391" i="2"/>
  <c r="E1391" i="2" s="1"/>
  <c r="D1392" i="2"/>
  <c r="E1392" i="2" s="1"/>
  <c r="D1393" i="2"/>
  <c r="E1393" i="2" s="1"/>
  <c r="D1394" i="2"/>
  <c r="E1394" i="2" s="1"/>
  <c r="D1395" i="2"/>
  <c r="E1395" i="2" s="1"/>
  <c r="D1396" i="2"/>
  <c r="E1396" i="2" s="1"/>
  <c r="D1397" i="2"/>
  <c r="E1397" i="2" s="1"/>
  <c r="D1398" i="2"/>
  <c r="E1398" i="2" s="1"/>
  <c r="D1399" i="2"/>
  <c r="E1399" i="2" s="1"/>
  <c r="D1400" i="2"/>
  <c r="E1400" i="2" s="1"/>
  <c r="D1401" i="2"/>
  <c r="E1401" i="2" s="1"/>
  <c r="D1402" i="2"/>
  <c r="E1402" i="2" s="1"/>
  <c r="D1403" i="2"/>
  <c r="E1403" i="2" s="1"/>
  <c r="D1404" i="2"/>
  <c r="E1404" i="2" s="1"/>
  <c r="D1405" i="2"/>
  <c r="E1405" i="2" s="1"/>
  <c r="D1406" i="2"/>
  <c r="E1406" i="2" s="1"/>
  <c r="D1407" i="2"/>
  <c r="E1407" i="2" s="1"/>
  <c r="D1408" i="2"/>
  <c r="E1408" i="2" s="1"/>
  <c r="D1409" i="2"/>
  <c r="E1409" i="2" s="1"/>
  <c r="D1410" i="2"/>
  <c r="E1410" i="2" s="1"/>
  <c r="D1411" i="2"/>
  <c r="E1411" i="2" s="1"/>
  <c r="D1412" i="2"/>
  <c r="E1412" i="2" s="1"/>
  <c r="D1413" i="2"/>
  <c r="E1413" i="2" s="1"/>
  <c r="D1414" i="2"/>
  <c r="E1414" i="2" s="1"/>
  <c r="D1415" i="2"/>
  <c r="E1415" i="2" s="1"/>
  <c r="D1416" i="2"/>
  <c r="E1416" i="2" s="1"/>
  <c r="D1417" i="2"/>
  <c r="E1417" i="2" s="1"/>
  <c r="D1418" i="2"/>
  <c r="E1418" i="2" s="1"/>
  <c r="D1419" i="2"/>
  <c r="E1419" i="2" s="1"/>
  <c r="D1420" i="2"/>
  <c r="E1420" i="2" s="1"/>
  <c r="D1421" i="2"/>
  <c r="E1421" i="2" s="1"/>
  <c r="D1422" i="2"/>
  <c r="E1422" i="2" s="1"/>
  <c r="D1423" i="2"/>
  <c r="E1423" i="2" s="1"/>
  <c r="D1424" i="2"/>
  <c r="E1424" i="2" s="1"/>
  <c r="D1425" i="2"/>
  <c r="E1425" i="2" s="1"/>
  <c r="D1426" i="2"/>
  <c r="E1426" i="2" s="1"/>
  <c r="D1427" i="2"/>
  <c r="E1427" i="2" s="1"/>
  <c r="D1428" i="2"/>
  <c r="E1428" i="2" s="1"/>
  <c r="D1429" i="2"/>
  <c r="E1429" i="2" s="1"/>
  <c r="D1430" i="2"/>
  <c r="E1430" i="2" s="1"/>
  <c r="D1431" i="2"/>
  <c r="E1431" i="2" s="1"/>
  <c r="D1432" i="2"/>
  <c r="E1432" i="2" s="1"/>
  <c r="D1433" i="2"/>
  <c r="E1433" i="2" s="1"/>
  <c r="D1434" i="2"/>
  <c r="E1434" i="2" s="1"/>
  <c r="D1435" i="2"/>
  <c r="E1435" i="2" s="1"/>
  <c r="D1436" i="2"/>
  <c r="E1436" i="2" s="1"/>
  <c r="D1437" i="2"/>
  <c r="E1437" i="2" s="1"/>
  <c r="D1438" i="2"/>
  <c r="E1438" i="2" s="1"/>
  <c r="D1439" i="2"/>
  <c r="E1439" i="2" s="1"/>
  <c r="D1440" i="2"/>
  <c r="E1440" i="2" s="1"/>
  <c r="D1441" i="2"/>
  <c r="E1441" i="2" s="1"/>
  <c r="D1442" i="2"/>
  <c r="E1442" i="2" s="1"/>
  <c r="D1443" i="2"/>
  <c r="E1443" i="2" s="1"/>
  <c r="D1444" i="2"/>
  <c r="E1444" i="2" s="1"/>
  <c r="D1445" i="2"/>
  <c r="E1445" i="2" s="1"/>
  <c r="D1446" i="2"/>
  <c r="E1446" i="2" s="1"/>
  <c r="D1447" i="2"/>
  <c r="E1447" i="2" s="1"/>
  <c r="D1448" i="2"/>
  <c r="E1448" i="2" s="1"/>
  <c r="D1449" i="2"/>
  <c r="E1449" i="2" s="1"/>
  <c r="D1450" i="2"/>
  <c r="E1450" i="2" s="1"/>
  <c r="D1451" i="2"/>
  <c r="E1451" i="2" s="1"/>
  <c r="D1452" i="2"/>
  <c r="E1452" i="2" s="1"/>
  <c r="D1453" i="2"/>
  <c r="E1453" i="2" s="1"/>
  <c r="D1454" i="2"/>
  <c r="E1454" i="2" s="1"/>
  <c r="D1455" i="2"/>
  <c r="E1455" i="2" s="1"/>
  <c r="D1456" i="2"/>
  <c r="E1456" i="2" s="1"/>
  <c r="D1457" i="2"/>
  <c r="E1457" i="2" s="1"/>
  <c r="D1458" i="2"/>
  <c r="E1458" i="2" s="1"/>
  <c r="D1459" i="2"/>
  <c r="E1459" i="2" s="1"/>
  <c r="D1460" i="2"/>
  <c r="E1460" i="2" s="1"/>
  <c r="D1461" i="2"/>
  <c r="E1461" i="2" s="1"/>
  <c r="D1462" i="2"/>
  <c r="E1462" i="2" s="1"/>
  <c r="D1463" i="2"/>
  <c r="E1463" i="2" s="1"/>
  <c r="D1464" i="2"/>
  <c r="E1464" i="2" s="1"/>
  <c r="D1465" i="2"/>
  <c r="E1465" i="2" s="1"/>
  <c r="D1466" i="2"/>
  <c r="E1466" i="2" s="1"/>
  <c r="D1467" i="2"/>
  <c r="E1467" i="2" s="1"/>
  <c r="D1468" i="2"/>
  <c r="E1468" i="2" s="1"/>
  <c r="D1469" i="2"/>
  <c r="E1469" i="2" s="1"/>
  <c r="D1470" i="2"/>
  <c r="E1470" i="2" s="1"/>
  <c r="D1471" i="2"/>
  <c r="E1471" i="2" s="1"/>
  <c r="D1472" i="2"/>
  <c r="E1472" i="2" s="1"/>
  <c r="D1473" i="2"/>
  <c r="E1473" i="2" s="1"/>
  <c r="D1474" i="2"/>
  <c r="E1474" i="2" s="1"/>
  <c r="D1475" i="2"/>
  <c r="E1475" i="2" s="1"/>
  <c r="D1476" i="2"/>
  <c r="E1476" i="2" s="1"/>
  <c r="D1477" i="2"/>
  <c r="E1477" i="2" s="1"/>
  <c r="D1478" i="2"/>
  <c r="E1478" i="2" s="1"/>
  <c r="D1479" i="2"/>
  <c r="E1479" i="2" s="1"/>
  <c r="D1480" i="2"/>
  <c r="E1480" i="2" s="1"/>
  <c r="D1481" i="2"/>
  <c r="E1481" i="2" s="1"/>
  <c r="D1482" i="2"/>
  <c r="E1482" i="2" s="1"/>
  <c r="D1483" i="2"/>
  <c r="E1483" i="2" s="1"/>
  <c r="D1484" i="2"/>
  <c r="E1484" i="2" s="1"/>
  <c r="D1485" i="2"/>
  <c r="E1485" i="2" s="1"/>
  <c r="D1486" i="2"/>
  <c r="E1486" i="2" s="1"/>
  <c r="D1487" i="2"/>
  <c r="E1487" i="2" s="1"/>
  <c r="D1488" i="2"/>
  <c r="E1488" i="2" s="1"/>
  <c r="D1489" i="2"/>
  <c r="E1489" i="2" s="1"/>
  <c r="D1490" i="2"/>
  <c r="E1490" i="2" s="1"/>
  <c r="D1491" i="2"/>
  <c r="E1491" i="2" s="1"/>
  <c r="D1492" i="2"/>
  <c r="E1492" i="2" s="1"/>
  <c r="D1493" i="2"/>
  <c r="E1493" i="2" s="1"/>
  <c r="D1494" i="2"/>
  <c r="E1494" i="2" s="1"/>
  <c r="D1495" i="2"/>
  <c r="E1495" i="2" s="1"/>
  <c r="D1496" i="2"/>
  <c r="E1496" i="2" s="1"/>
  <c r="D1497" i="2"/>
  <c r="E1497" i="2" s="1"/>
  <c r="D1498" i="2"/>
  <c r="E1498" i="2" s="1"/>
  <c r="D1499" i="2"/>
  <c r="E1499" i="2" s="1"/>
  <c r="D1500" i="2"/>
  <c r="E1500" i="2" s="1"/>
  <c r="D1501" i="2"/>
  <c r="E1501" i="2" s="1"/>
  <c r="D1502" i="2"/>
  <c r="E1502" i="2" s="1"/>
  <c r="D1503" i="2"/>
  <c r="E1503" i="2" s="1"/>
  <c r="D1504" i="2"/>
  <c r="E1504" i="2" s="1"/>
  <c r="D1505" i="2"/>
  <c r="E1505" i="2" s="1"/>
  <c r="D1506" i="2"/>
  <c r="E1506" i="2" s="1"/>
  <c r="D1507" i="2"/>
  <c r="E1507" i="2" s="1"/>
  <c r="D1508" i="2"/>
  <c r="E1508" i="2" s="1"/>
  <c r="D1509" i="2"/>
  <c r="E1509" i="2" s="1"/>
  <c r="D1510" i="2"/>
  <c r="E1510" i="2" s="1"/>
  <c r="D1511" i="2"/>
  <c r="E1511" i="2" s="1"/>
  <c r="D1512" i="2"/>
  <c r="E1512" i="2" s="1"/>
  <c r="D1513" i="2"/>
  <c r="E1513" i="2" s="1"/>
  <c r="D1514" i="2"/>
  <c r="E1514" i="2" s="1"/>
  <c r="D1515" i="2"/>
  <c r="E1515" i="2" s="1"/>
  <c r="D1516" i="2"/>
  <c r="E1516" i="2" s="1"/>
  <c r="D1517" i="2"/>
  <c r="E1517" i="2" s="1"/>
  <c r="D1518" i="2"/>
  <c r="E1518" i="2" s="1"/>
  <c r="D1519" i="2"/>
  <c r="E1519" i="2" s="1"/>
  <c r="D1520" i="2"/>
  <c r="E1520" i="2" s="1"/>
  <c r="D1521" i="2"/>
  <c r="E1521" i="2" s="1"/>
  <c r="D1522" i="2"/>
  <c r="E1522" i="2" s="1"/>
  <c r="D1523" i="2"/>
  <c r="E1523" i="2" s="1"/>
  <c r="D1524" i="2"/>
  <c r="E1524" i="2" s="1"/>
  <c r="D1525" i="2"/>
  <c r="E1525" i="2" s="1"/>
  <c r="D1526" i="2"/>
  <c r="E1526" i="2" s="1"/>
  <c r="D1527" i="2"/>
  <c r="E1527" i="2" s="1"/>
  <c r="D1528" i="2"/>
  <c r="E1528" i="2" s="1"/>
  <c r="D1529" i="2"/>
  <c r="E1529" i="2" s="1"/>
  <c r="D1530" i="2"/>
  <c r="E1530" i="2" s="1"/>
  <c r="D1531" i="2"/>
  <c r="E1531" i="2" s="1"/>
  <c r="D1532" i="2"/>
  <c r="E1532" i="2" s="1"/>
  <c r="D1533" i="2"/>
  <c r="E1533" i="2" s="1"/>
  <c r="D1534" i="2"/>
  <c r="E1534" i="2" s="1"/>
  <c r="D1535" i="2"/>
  <c r="E1535" i="2" s="1"/>
  <c r="D1536" i="2"/>
  <c r="E1536" i="2" s="1"/>
  <c r="D1537" i="2"/>
  <c r="E1537" i="2" s="1"/>
  <c r="D1538" i="2"/>
  <c r="E1538" i="2" s="1"/>
  <c r="D1539" i="2"/>
  <c r="E1539" i="2" s="1"/>
  <c r="D1540" i="2"/>
  <c r="E1540" i="2" s="1"/>
  <c r="D1541" i="2"/>
  <c r="E1541" i="2" s="1"/>
  <c r="D1542" i="2"/>
  <c r="E1542" i="2" s="1"/>
  <c r="D1543" i="2"/>
  <c r="E1543" i="2" s="1"/>
  <c r="D1544" i="2"/>
  <c r="E1544" i="2" s="1"/>
  <c r="D1545" i="2"/>
  <c r="E1545" i="2" s="1"/>
  <c r="D1546" i="2"/>
  <c r="E1546" i="2" s="1"/>
  <c r="D1547" i="2"/>
  <c r="E1547" i="2" s="1"/>
  <c r="D1548" i="2"/>
  <c r="E1548" i="2" s="1"/>
  <c r="D1549" i="2"/>
  <c r="E1549" i="2" s="1"/>
  <c r="D1550" i="2"/>
  <c r="E1550" i="2" s="1"/>
  <c r="D1551" i="2"/>
  <c r="E1551" i="2" s="1"/>
  <c r="D1552" i="2"/>
  <c r="E1552" i="2" s="1"/>
  <c r="D1553" i="2"/>
  <c r="E1553" i="2" s="1"/>
  <c r="D1554" i="2"/>
  <c r="E1554" i="2" s="1"/>
  <c r="D1555" i="2"/>
  <c r="E1555" i="2" s="1"/>
  <c r="D1556" i="2"/>
  <c r="E1556" i="2" s="1"/>
  <c r="D1557" i="2"/>
  <c r="E1557" i="2" s="1"/>
  <c r="D1558" i="2"/>
  <c r="E1558" i="2" s="1"/>
  <c r="D1559" i="2"/>
  <c r="E1559" i="2" s="1"/>
  <c r="D1560" i="2"/>
  <c r="E1560" i="2" s="1"/>
  <c r="D1561" i="2"/>
  <c r="E1561" i="2" s="1"/>
  <c r="D1562" i="2"/>
  <c r="E1562" i="2" s="1"/>
  <c r="D1563" i="2"/>
  <c r="E1563" i="2" s="1"/>
  <c r="D1564" i="2"/>
  <c r="E1564" i="2" s="1"/>
  <c r="D1565" i="2"/>
  <c r="E1565" i="2" s="1"/>
  <c r="D1566" i="2"/>
  <c r="E1566" i="2" s="1"/>
  <c r="D1567" i="2"/>
  <c r="E1567" i="2" s="1"/>
  <c r="D1568" i="2"/>
  <c r="E1568" i="2" s="1"/>
  <c r="D1569" i="2"/>
  <c r="E1569" i="2" s="1"/>
  <c r="D1570" i="2"/>
  <c r="E1570" i="2" s="1"/>
  <c r="D1571" i="2"/>
  <c r="E1571" i="2" s="1"/>
  <c r="D1572" i="2"/>
  <c r="E1572" i="2" s="1"/>
  <c r="D1573" i="2"/>
  <c r="E1573" i="2" s="1"/>
  <c r="D1574" i="2"/>
  <c r="E1574" i="2" s="1"/>
  <c r="D1575" i="2"/>
  <c r="E1575" i="2" s="1"/>
  <c r="D1576" i="2"/>
  <c r="E1576" i="2" s="1"/>
  <c r="D1577" i="2"/>
  <c r="E1577" i="2" s="1"/>
  <c r="D1578" i="2"/>
  <c r="E1578" i="2" s="1"/>
  <c r="D1579" i="2"/>
  <c r="E1579" i="2" s="1"/>
  <c r="D1580" i="2"/>
  <c r="E1580" i="2" s="1"/>
  <c r="D1581" i="2"/>
  <c r="E1581" i="2" s="1"/>
  <c r="D1582" i="2"/>
  <c r="E1582" i="2" s="1"/>
  <c r="D1583" i="2"/>
  <c r="E1583" i="2" s="1"/>
  <c r="D1584" i="2"/>
  <c r="E1584" i="2" s="1"/>
  <c r="D1585" i="2"/>
  <c r="E1585" i="2" s="1"/>
  <c r="D1586" i="2"/>
  <c r="E1586" i="2" s="1"/>
  <c r="D1587" i="2"/>
  <c r="E1587" i="2" s="1"/>
  <c r="D1588" i="2"/>
  <c r="E1588" i="2" s="1"/>
  <c r="D1589" i="2"/>
  <c r="E1589" i="2" s="1"/>
  <c r="D1590" i="2"/>
  <c r="E1590" i="2" s="1"/>
  <c r="D1591" i="2"/>
  <c r="E1591" i="2" s="1"/>
  <c r="D1592" i="2"/>
  <c r="E1592" i="2" s="1"/>
  <c r="D1593" i="2"/>
  <c r="E1593" i="2" s="1"/>
  <c r="D1594" i="2"/>
  <c r="E1594" i="2" s="1"/>
  <c r="D1595" i="2"/>
  <c r="E1595" i="2" s="1"/>
  <c r="D1596" i="2"/>
  <c r="E1596" i="2" s="1"/>
  <c r="D1597" i="2"/>
  <c r="E1597" i="2" s="1"/>
  <c r="D1598" i="2"/>
  <c r="E1598" i="2" s="1"/>
  <c r="D1599" i="2"/>
  <c r="E1599" i="2" s="1"/>
  <c r="D1600" i="2"/>
  <c r="E1600" i="2" s="1"/>
  <c r="D1601" i="2"/>
  <c r="E1601" i="2" s="1"/>
  <c r="D1602" i="2"/>
  <c r="E1602" i="2" s="1"/>
  <c r="D1603" i="2"/>
  <c r="E1603" i="2" s="1"/>
  <c r="D1604" i="2"/>
  <c r="E1604" i="2" s="1"/>
  <c r="D1605" i="2"/>
  <c r="E1605" i="2" s="1"/>
  <c r="D1606" i="2"/>
  <c r="E1606" i="2" s="1"/>
  <c r="D1607" i="2"/>
  <c r="E1607" i="2" s="1"/>
  <c r="D1608" i="2"/>
  <c r="E1608" i="2" s="1"/>
  <c r="D1609" i="2"/>
  <c r="E1609" i="2" s="1"/>
  <c r="D1610" i="2"/>
  <c r="E1610" i="2" s="1"/>
  <c r="D1611" i="2"/>
  <c r="E1611" i="2" s="1"/>
  <c r="D1612" i="2"/>
  <c r="E1612" i="2" s="1"/>
  <c r="D1613" i="2"/>
  <c r="E1613" i="2" s="1"/>
  <c r="D1614" i="2"/>
  <c r="E1614" i="2" s="1"/>
  <c r="D1615" i="2"/>
  <c r="E1615" i="2" s="1"/>
  <c r="D1616" i="2"/>
  <c r="E1616" i="2" s="1"/>
  <c r="D1617" i="2"/>
  <c r="E1617" i="2" s="1"/>
  <c r="D1618" i="2"/>
  <c r="E1618" i="2" s="1"/>
  <c r="D1619" i="2"/>
  <c r="E1619" i="2" s="1"/>
  <c r="D1620" i="2"/>
  <c r="E1620" i="2" s="1"/>
  <c r="D1621" i="2"/>
  <c r="E1621" i="2" s="1"/>
  <c r="D1622" i="2"/>
  <c r="E1622" i="2" s="1"/>
  <c r="D1623" i="2"/>
  <c r="E1623" i="2" s="1"/>
  <c r="D1624" i="2"/>
  <c r="E1624" i="2" s="1"/>
  <c r="D1625" i="2"/>
  <c r="E1625" i="2" s="1"/>
  <c r="D1626" i="2"/>
  <c r="E1626" i="2" s="1"/>
  <c r="D1627" i="2"/>
  <c r="E1627" i="2" s="1"/>
  <c r="D1628" i="2"/>
  <c r="E1628" i="2" s="1"/>
  <c r="D1629" i="2"/>
  <c r="E1629" i="2" s="1"/>
  <c r="D1630" i="2"/>
  <c r="E1630" i="2" s="1"/>
  <c r="D1631" i="2"/>
  <c r="E1631" i="2" s="1"/>
  <c r="D1632" i="2"/>
  <c r="E1632" i="2" s="1"/>
  <c r="D1633" i="2"/>
  <c r="E1633" i="2" s="1"/>
  <c r="D1634" i="2"/>
  <c r="E1634" i="2" s="1"/>
  <c r="D1635" i="2"/>
  <c r="E1635" i="2" s="1"/>
  <c r="D1636" i="2"/>
  <c r="E1636" i="2" s="1"/>
  <c r="D1637" i="2"/>
  <c r="E1637" i="2" s="1"/>
  <c r="D1638" i="2"/>
  <c r="E1638" i="2" s="1"/>
  <c r="D1639" i="2"/>
  <c r="E1639" i="2" s="1"/>
  <c r="D1640" i="2"/>
  <c r="E1640" i="2" s="1"/>
  <c r="D1641" i="2"/>
  <c r="E1641" i="2" s="1"/>
  <c r="D1642" i="2"/>
  <c r="E1642" i="2" s="1"/>
  <c r="D1643" i="2"/>
  <c r="E1643" i="2" s="1"/>
  <c r="D1644" i="2"/>
  <c r="E1644" i="2" s="1"/>
  <c r="D1645" i="2"/>
  <c r="E1645" i="2" s="1"/>
  <c r="D1646" i="2"/>
  <c r="E1646" i="2" s="1"/>
  <c r="D1647" i="2"/>
  <c r="E1647" i="2" s="1"/>
  <c r="D1648" i="2"/>
  <c r="E1648" i="2" s="1"/>
  <c r="D1649" i="2"/>
  <c r="E1649" i="2" s="1"/>
  <c r="D1650" i="2"/>
  <c r="E1650" i="2" s="1"/>
  <c r="D1651" i="2"/>
  <c r="E1651" i="2" s="1"/>
  <c r="D1652" i="2"/>
  <c r="E1652" i="2" s="1"/>
  <c r="D1653" i="2"/>
  <c r="E1653" i="2" s="1"/>
  <c r="D1654" i="2"/>
  <c r="E1654" i="2" s="1"/>
  <c r="D1655" i="2"/>
  <c r="E1655" i="2" s="1"/>
  <c r="D1656" i="2"/>
  <c r="E1656" i="2" s="1"/>
  <c r="D1657" i="2"/>
  <c r="E1657" i="2" s="1"/>
  <c r="D1658" i="2"/>
  <c r="E1658" i="2" s="1"/>
  <c r="D1659" i="2"/>
  <c r="E1659" i="2" s="1"/>
  <c r="D1660" i="2"/>
  <c r="E1660" i="2" s="1"/>
  <c r="D1661" i="2"/>
  <c r="E1661" i="2" s="1"/>
  <c r="D1662" i="2"/>
  <c r="E1662" i="2" s="1"/>
  <c r="D1663" i="2"/>
  <c r="E1663" i="2" s="1"/>
  <c r="D1664" i="2"/>
  <c r="E1664" i="2" s="1"/>
  <c r="D1665" i="2"/>
  <c r="E1665" i="2" s="1"/>
  <c r="D1666" i="2"/>
  <c r="E1666" i="2" s="1"/>
  <c r="D1667" i="2"/>
  <c r="E1667" i="2" s="1"/>
  <c r="D1668" i="2"/>
  <c r="E1668" i="2" s="1"/>
  <c r="D1669" i="2"/>
  <c r="E1669" i="2" s="1"/>
  <c r="D1670" i="2"/>
  <c r="E1670" i="2" s="1"/>
  <c r="D1671" i="2"/>
  <c r="E1671" i="2" s="1"/>
  <c r="D1672" i="2"/>
  <c r="E1672" i="2" s="1"/>
  <c r="D1673" i="2"/>
  <c r="E1673" i="2" s="1"/>
  <c r="D1674" i="2"/>
  <c r="E1674" i="2" s="1"/>
  <c r="D1675" i="2"/>
  <c r="E1675" i="2" s="1"/>
  <c r="D1676" i="2"/>
  <c r="E1676" i="2" s="1"/>
  <c r="D1677" i="2"/>
  <c r="E1677" i="2" s="1"/>
  <c r="D1678" i="2"/>
  <c r="E1678" i="2" s="1"/>
  <c r="D1679" i="2"/>
  <c r="E1679" i="2" s="1"/>
  <c r="D1680" i="2"/>
  <c r="E1680" i="2" s="1"/>
  <c r="D1681" i="2"/>
  <c r="E1681" i="2" s="1"/>
  <c r="D1682" i="2"/>
  <c r="E1682" i="2" s="1"/>
  <c r="D1683" i="2"/>
  <c r="E1683" i="2" s="1"/>
  <c r="D1684" i="2"/>
  <c r="E1684" i="2" s="1"/>
  <c r="D1685" i="2"/>
  <c r="E1685" i="2" s="1"/>
  <c r="D1686" i="2"/>
  <c r="E1686" i="2" s="1"/>
  <c r="D1687" i="2"/>
  <c r="E1687" i="2" s="1"/>
  <c r="D1688" i="2"/>
  <c r="E1688" i="2" s="1"/>
  <c r="D1689" i="2"/>
  <c r="E1689" i="2" s="1"/>
  <c r="D1690" i="2"/>
  <c r="E1690" i="2" s="1"/>
  <c r="D1691" i="2"/>
  <c r="E1691" i="2" s="1"/>
  <c r="D1692" i="2"/>
  <c r="E1692" i="2" s="1"/>
  <c r="D1693" i="2"/>
  <c r="E1693" i="2" s="1"/>
  <c r="D1694" i="2"/>
  <c r="E1694" i="2" s="1"/>
  <c r="D1695" i="2"/>
  <c r="E1695" i="2" s="1"/>
  <c r="D1696" i="2"/>
  <c r="E1696" i="2" s="1"/>
  <c r="D1697" i="2"/>
  <c r="E1697" i="2" s="1"/>
  <c r="D1698" i="2"/>
  <c r="E1698" i="2" s="1"/>
  <c r="D1699" i="2"/>
  <c r="E1699" i="2" s="1"/>
  <c r="D1700" i="2"/>
  <c r="E1700" i="2" s="1"/>
  <c r="D1701" i="2"/>
  <c r="E1701" i="2" s="1"/>
  <c r="D1702" i="2"/>
  <c r="E1702" i="2" s="1"/>
  <c r="D1703" i="2"/>
  <c r="E1703" i="2" s="1"/>
  <c r="D1704" i="2"/>
  <c r="E1704" i="2" s="1"/>
  <c r="D1705" i="2"/>
  <c r="E1705" i="2" s="1"/>
  <c r="D1706" i="2"/>
  <c r="E1706" i="2" s="1"/>
  <c r="D1707" i="2"/>
  <c r="E1707" i="2" s="1"/>
  <c r="D1708" i="2"/>
  <c r="E1708" i="2" s="1"/>
  <c r="D1709" i="2"/>
  <c r="E1709" i="2" s="1"/>
  <c r="D1710" i="2"/>
  <c r="E1710" i="2" s="1"/>
  <c r="D1711" i="2"/>
  <c r="E1711" i="2" s="1"/>
  <c r="D1712" i="2"/>
  <c r="E1712" i="2" s="1"/>
  <c r="D1713" i="2"/>
  <c r="E1713" i="2" s="1"/>
  <c r="D1714" i="2"/>
  <c r="E1714" i="2" s="1"/>
  <c r="D1715" i="2"/>
  <c r="E1715" i="2" s="1"/>
  <c r="D1716" i="2"/>
  <c r="E1716" i="2" s="1"/>
  <c r="D1717" i="2"/>
  <c r="E1717" i="2" s="1"/>
  <c r="D1718" i="2"/>
  <c r="E1718" i="2" s="1"/>
  <c r="D1719" i="2"/>
  <c r="E1719" i="2" s="1"/>
  <c r="D1720" i="2"/>
  <c r="E1720" i="2" s="1"/>
  <c r="D1721" i="2"/>
  <c r="E1721" i="2" s="1"/>
  <c r="D1722" i="2"/>
  <c r="E1722" i="2" s="1"/>
  <c r="D1723" i="2"/>
  <c r="E1723" i="2" s="1"/>
  <c r="D1724" i="2"/>
  <c r="E1724" i="2" s="1"/>
  <c r="D1725" i="2"/>
  <c r="E1725" i="2" s="1"/>
  <c r="D1726" i="2"/>
  <c r="E1726" i="2" s="1"/>
  <c r="D1727" i="2"/>
  <c r="E1727" i="2" s="1"/>
  <c r="D1728" i="2"/>
  <c r="E1728" i="2" s="1"/>
  <c r="D1729" i="2"/>
  <c r="E1729" i="2" s="1"/>
  <c r="D1730" i="2"/>
  <c r="E1730" i="2" s="1"/>
  <c r="D1731" i="2"/>
  <c r="E1731" i="2" s="1"/>
  <c r="D1732" i="2"/>
  <c r="E1732" i="2" s="1"/>
  <c r="D1733" i="2"/>
  <c r="E1733" i="2" s="1"/>
  <c r="D1734" i="2"/>
  <c r="E1734" i="2" s="1"/>
  <c r="D1735" i="2"/>
  <c r="E1735" i="2" s="1"/>
  <c r="D1736" i="2"/>
  <c r="E1736" i="2" s="1"/>
  <c r="D1737" i="2"/>
  <c r="E1737" i="2" s="1"/>
  <c r="D1738" i="2"/>
  <c r="E1738" i="2" s="1"/>
  <c r="D1739" i="2"/>
  <c r="E1739" i="2" s="1"/>
  <c r="D1740" i="2"/>
  <c r="E1740" i="2" s="1"/>
  <c r="D1741" i="2"/>
  <c r="E1741" i="2" s="1"/>
  <c r="D1742" i="2"/>
  <c r="E1742" i="2" s="1"/>
  <c r="D1743" i="2"/>
  <c r="E1743" i="2" s="1"/>
  <c r="D1744" i="2"/>
  <c r="E1744" i="2" s="1"/>
  <c r="D1745" i="2"/>
  <c r="E1745" i="2" s="1"/>
  <c r="D1746" i="2"/>
  <c r="E1746" i="2" s="1"/>
  <c r="D1747" i="2"/>
  <c r="E1747" i="2" s="1"/>
  <c r="D1748" i="2"/>
  <c r="E1748" i="2" s="1"/>
  <c r="D1749" i="2"/>
  <c r="E1749" i="2" s="1"/>
  <c r="D1750" i="2"/>
  <c r="E1750" i="2" s="1"/>
  <c r="D1751" i="2"/>
  <c r="E1751" i="2" s="1"/>
  <c r="D1752" i="2"/>
  <c r="E1752" i="2" s="1"/>
  <c r="D1753" i="2"/>
  <c r="E1753" i="2" s="1"/>
  <c r="D1754" i="2"/>
  <c r="E1754" i="2" s="1"/>
  <c r="D1755" i="2"/>
  <c r="E1755" i="2" s="1"/>
  <c r="D1756" i="2"/>
  <c r="E1756" i="2" s="1"/>
  <c r="D1757" i="2"/>
  <c r="E1757" i="2" s="1"/>
  <c r="D1758" i="2"/>
  <c r="E1758" i="2" s="1"/>
  <c r="D1759" i="2"/>
  <c r="E1759" i="2" s="1"/>
  <c r="D1760" i="2"/>
  <c r="E1760" i="2" s="1"/>
  <c r="D1761" i="2"/>
  <c r="E1761" i="2" s="1"/>
  <c r="D1762" i="2"/>
  <c r="E1762" i="2" s="1"/>
  <c r="D1763" i="2"/>
  <c r="E1763" i="2" s="1"/>
  <c r="D1764" i="2"/>
  <c r="E1764" i="2" s="1"/>
  <c r="D1765" i="2"/>
  <c r="E1765" i="2" s="1"/>
  <c r="D1766" i="2"/>
  <c r="E1766" i="2" s="1"/>
  <c r="D1767" i="2"/>
  <c r="E1767" i="2" s="1"/>
  <c r="D1768" i="2"/>
  <c r="E1768" i="2" s="1"/>
  <c r="D1769" i="2"/>
  <c r="E1769" i="2" s="1"/>
  <c r="D1770" i="2"/>
  <c r="E1770" i="2" s="1"/>
  <c r="D1771" i="2"/>
  <c r="E1771" i="2" s="1"/>
  <c r="D1772" i="2"/>
  <c r="E1772" i="2" s="1"/>
  <c r="D1773" i="2"/>
  <c r="E1773" i="2" s="1"/>
  <c r="D1774" i="2"/>
  <c r="E1774" i="2" s="1"/>
  <c r="D1775" i="2"/>
  <c r="E1775" i="2" s="1"/>
  <c r="D1776" i="2"/>
  <c r="E1776" i="2" s="1"/>
  <c r="D1777" i="2"/>
  <c r="E1777" i="2" s="1"/>
  <c r="D1778" i="2"/>
  <c r="E1778" i="2" s="1"/>
  <c r="D1779" i="2"/>
  <c r="E1779" i="2" s="1"/>
  <c r="D1780" i="2"/>
  <c r="E1780" i="2" s="1"/>
  <c r="D1781" i="2"/>
  <c r="E1781" i="2" s="1"/>
  <c r="D1782" i="2"/>
  <c r="E1782" i="2" s="1"/>
  <c r="D1783" i="2"/>
  <c r="E1783" i="2" s="1"/>
  <c r="D1784" i="2"/>
  <c r="E1784" i="2" s="1"/>
  <c r="D1785" i="2"/>
  <c r="E1785" i="2" s="1"/>
  <c r="D1786" i="2"/>
  <c r="E1786" i="2" s="1"/>
  <c r="D1787" i="2"/>
  <c r="E1787" i="2" s="1"/>
  <c r="D1788" i="2"/>
  <c r="E1788" i="2" s="1"/>
  <c r="D1789" i="2"/>
  <c r="E1789" i="2" s="1"/>
  <c r="D1790" i="2"/>
  <c r="E1790" i="2" s="1"/>
  <c r="D1791" i="2"/>
  <c r="E1791" i="2" s="1"/>
  <c r="D1792" i="2"/>
  <c r="E1792" i="2" s="1"/>
  <c r="D1793" i="2"/>
  <c r="E1793" i="2" s="1"/>
  <c r="D1794" i="2"/>
  <c r="E1794" i="2" s="1"/>
  <c r="D1795" i="2"/>
  <c r="E1795" i="2" s="1"/>
  <c r="D1796" i="2"/>
  <c r="E1796" i="2" s="1"/>
  <c r="D1797" i="2"/>
  <c r="E1797" i="2" s="1"/>
  <c r="D1798" i="2"/>
  <c r="E1798" i="2" s="1"/>
  <c r="D1799" i="2"/>
  <c r="E1799" i="2" s="1"/>
  <c r="D1800" i="2"/>
  <c r="E1800" i="2" s="1"/>
  <c r="D1801" i="2"/>
  <c r="E1801" i="2" s="1"/>
  <c r="D1802" i="2"/>
  <c r="E1802" i="2" s="1"/>
  <c r="D1803" i="2"/>
  <c r="E1803" i="2" s="1"/>
  <c r="D1804" i="2"/>
  <c r="E1804" i="2" s="1"/>
  <c r="D1805" i="2"/>
  <c r="E1805" i="2" s="1"/>
  <c r="D1806" i="2"/>
  <c r="E1806" i="2" s="1"/>
  <c r="D1807" i="2"/>
  <c r="E1807" i="2" s="1"/>
  <c r="D1808" i="2"/>
  <c r="E1808" i="2" s="1"/>
  <c r="D1809" i="2"/>
  <c r="E1809" i="2" s="1"/>
  <c r="D1810" i="2"/>
  <c r="E1810" i="2" s="1"/>
  <c r="D1811" i="2"/>
  <c r="E1811" i="2" s="1"/>
  <c r="D1812" i="2"/>
  <c r="E1812" i="2" s="1"/>
  <c r="D1813" i="2"/>
  <c r="E1813" i="2" s="1"/>
  <c r="D1814" i="2"/>
  <c r="E1814" i="2" s="1"/>
  <c r="D1815" i="2"/>
  <c r="E1815" i="2" s="1"/>
  <c r="D1816" i="2"/>
  <c r="E1816" i="2" s="1"/>
  <c r="D1817" i="2"/>
  <c r="E1817" i="2" s="1"/>
  <c r="D1818" i="2"/>
  <c r="E1818" i="2" s="1"/>
  <c r="D1819" i="2"/>
  <c r="E1819" i="2" s="1"/>
  <c r="D1820" i="2"/>
  <c r="E1820" i="2" s="1"/>
  <c r="D1821" i="2"/>
  <c r="E1821" i="2" s="1"/>
  <c r="D1822" i="2"/>
  <c r="E1822" i="2" s="1"/>
  <c r="D1823" i="2"/>
  <c r="E1823" i="2" s="1"/>
  <c r="D1824" i="2"/>
  <c r="E1824" i="2" s="1"/>
  <c r="D1825" i="2"/>
  <c r="E1825" i="2" s="1"/>
  <c r="D1826" i="2"/>
  <c r="E1826" i="2" s="1"/>
  <c r="D1827" i="2"/>
  <c r="E1827" i="2" s="1"/>
  <c r="D1828" i="2"/>
  <c r="E1828" i="2" s="1"/>
  <c r="D1829" i="2"/>
  <c r="E1829" i="2" s="1"/>
  <c r="D1830" i="2"/>
  <c r="E1830" i="2" s="1"/>
  <c r="D1831" i="2"/>
  <c r="E1831" i="2" s="1"/>
  <c r="D1832" i="2"/>
  <c r="E1832" i="2" s="1"/>
  <c r="D1833" i="2"/>
  <c r="E1833" i="2" s="1"/>
  <c r="D1834" i="2"/>
  <c r="E1834" i="2" s="1"/>
  <c r="D1835" i="2"/>
  <c r="E1835" i="2" s="1"/>
  <c r="D1836" i="2"/>
  <c r="E1836" i="2" s="1"/>
  <c r="D1837" i="2"/>
  <c r="E1837" i="2" s="1"/>
  <c r="D1838" i="2"/>
  <c r="E1838" i="2" s="1"/>
  <c r="D1839" i="2"/>
  <c r="E1839" i="2" s="1"/>
  <c r="D1840" i="2"/>
  <c r="E1840" i="2" s="1"/>
  <c r="D1841" i="2"/>
  <c r="E1841" i="2" s="1"/>
  <c r="D1842" i="2"/>
  <c r="E1842" i="2" s="1"/>
  <c r="D1843" i="2"/>
  <c r="E1843" i="2" s="1"/>
  <c r="D1844" i="2"/>
  <c r="E1844" i="2" s="1"/>
  <c r="D1845" i="2"/>
  <c r="E1845" i="2" s="1"/>
  <c r="D1846" i="2"/>
  <c r="E1846" i="2" s="1"/>
  <c r="D1847" i="2"/>
  <c r="E1847" i="2" s="1"/>
  <c r="D1848" i="2"/>
  <c r="E1848" i="2" s="1"/>
  <c r="D1849" i="2"/>
  <c r="E1849" i="2" s="1"/>
  <c r="D1850" i="2"/>
  <c r="E1850" i="2" s="1"/>
  <c r="D1851" i="2"/>
  <c r="E1851" i="2" s="1"/>
  <c r="D1852" i="2"/>
  <c r="E1852" i="2" s="1"/>
  <c r="D1853" i="2"/>
  <c r="E1853" i="2" s="1"/>
  <c r="D1854" i="2"/>
  <c r="E1854" i="2" s="1"/>
  <c r="D1855" i="2"/>
  <c r="E1855" i="2" s="1"/>
  <c r="D1856" i="2"/>
  <c r="E1856" i="2" s="1"/>
  <c r="D1857" i="2"/>
  <c r="E1857" i="2" s="1"/>
  <c r="D1858" i="2"/>
  <c r="E1858" i="2" s="1"/>
  <c r="D1859" i="2"/>
  <c r="E1859" i="2" s="1"/>
  <c r="D1860" i="2"/>
  <c r="E1860" i="2" s="1"/>
  <c r="D1861" i="2"/>
  <c r="E1861" i="2" s="1"/>
  <c r="D1862" i="2"/>
  <c r="E1862" i="2" s="1"/>
  <c r="D1863" i="2"/>
  <c r="E1863" i="2" s="1"/>
  <c r="D1864" i="2"/>
  <c r="E1864" i="2" s="1"/>
  <c r="D1865" i="2"/>
  <c r="E1865" i="2" s="1"/>
  <c r="D1866" i="2"/>
  <c r="E1866" i="2" s="1"/>
  <c r="D1867" i="2"/>
  <c r="E1867" i="2" s="1"/>
  <c r="D1868" i="2"/>
  <c r="E1868" i="2" s="1"/>
  <c r="D1869" i="2"/>
  <c r="E1869" i="2" s="1"/>
  <c r="D1870" i="2"/>
  <c r="E1870" i="2" s="1"/>
  <c r="D1871" i="2"/>
  <c r="E1871" i="2" s="1"/>
  <c r="D1872" i="2"/>
  <c r="E1872" i="2" s="1"/>
  <c r="D1873" i="2"/>
  <c r="E1873" i="2" s="1"/>
  <c r="D1874" i="2"/>
  <c r="E1874" i="2" s="1"/>
  <c r="D1875" i="2"/>
  <c r="E1875" i="2" s="1"/>
  <c r="D1876" i="2"/>
  <c r="E1876" i="2" s="1"/>
  <c r="D1877" i="2"/>
  <c r="E1877" i="2" s="1"/>
  <c r="D1878" i="2"/>
  <c r="E1878" i="2" s="1"/>
  <c r="D1879" i="2"/>
  <c r="E1879" i="2" s="1"/>
  <c r="D1880" i="2"/>
  <c r="E1880" i="2" s="1"/>
  <c r="D1881" i="2"/>
  <c r="E1881" i="2" s="1"/>
  <c r="D1882" i="2"/>
  <c r="E1882" i="2" s="1"/>
  <c r="D1883" i="2"/>
  <c r="E1883" i="2" s="1"/>
  <c r="D1884" i="2"/>
  <c r="E1884" i="2" s="1"/>
  <c r="D1885" i="2"/>
  <c r="E1885" i="2" s="1"/>
  <c r="D1886" i="2"/>
  <c r="E1886" i="2" s="1"/>
  <c r="D1887" i="2"/>
  <c r="E1887" i="2" s="1"/>
  <c r="D1888" i="2"/>
  <c r="E1888" i="2" s="1"/>
  <c r="D1889" i="2"/>
  <c r="E1889" i="2" s="1"/>
  <c r="D1890" i="2"/>
  <c r="E1890" i="2" s="1"/>
  <c r="D1891" i="2"/>
  <c r="E1891" i="2" s="1"/>
  <c r="D1892" i="2"/>
  <c r="E1892" i="2" s="1"/>
  <c r="D1893" i="2"/>
  <c r="E1893" i="2" s="1"/>
  <c r="D1894" i="2"/>
  <c r="E1894" i="2" s="1"/>
  <c r="D1895" i="2"/>
  <c r="E1895" i="2" s="1"/>
  <c r="D1896" i="2"/>
  <c r="E1896" i="2" s="1"/>
  <c r="D1897" i="2"/>
  <c r="E1897" i="2" s="1"/>
  <c r="D1898" i="2"/>
  <c r="E1898" i="2" s="1"/>
  <c r="D1899" i="2"/>
  <c r="E1899" i="2" s="1"/>
  <c r="D1900" i="2"/>
  <c r="E1900" i="2" s="1"/>
  <c r="D1901" i="2"/>
  <c r="E1901" i="2" s="1"/>
  <c r="D1902" i="2"/>
  <c r="E1902" i="2" s="1"/>
  <c r="D1903" i="2"/>
  <c r="E1903" i="2" s="1"/>
  <c r="D1904" i="2"/>
  <c r="E1904" i="2" s="1"/>
  <c r="D1905" i="2"/>
  <c r="E1905" i="2" s="1"/>
  <c r="D1906" i="2"/>
  <c r="E1906" i="2" s="1"/>
  <c r="D1907" i="2"/>
  <c r="E1907" i="2" s="1"/>
  <c r="D1908" i="2"/>
  <c r="E1908" i="2" s="1"/>
  <c r="D1909" i="2"/>
  <c r="E1909" i="2" s="1"/>
  <c r="D1910" i="2"/>
  <c r="E1910" i="2" s="1"/>
  <c r="D1911" i="2"/>
  <c r="E1911" i="2" s="1"/>
  <c r="D1912" i="2"/>
  <c r="E1912" i="2" s="1"/>
  <c r="D1913" i="2"/>
  <c r="E1913" i="2" s="1"/>
  <c r="D1914" i="2"/>
  <c r="E1914" i="2" s="1"/>
  <c r="D1915" i="2"/>
  <c r="E1915" i="2" s="1"/>
  <c r="D1916" i="2"/>
  <c r="E1916" i="2" s="1"/>
  <c r="D1917" i="2"/>
  <c r="E1917" i="2" s="1"/>
  <c r="D1918" i="2"/>
  <c r="E1918" i="2" s="1"/>
  <c r="D1919" i="2"/>
  <c r="E1919" i="2" s="1"/>
  <c r="D1920" i="2"/>
  <c r="E1920" i="2" s="1"/>
  <c r="D1921" i="2"/>
  <c r="E1921" i="2" s="1"/>
  <c r="D1922" i="2"/>
  <c r="E1922" i="2" s="1"/>
  <c r="D1923" i="2"/>
  <c r="E1923" i="2" s="1"/>
  <c r="D1924" i="2"/>
  <c r="E1924" i="2" s="1"/>
  <c r="D1925" i="2"/>
  <c r="E1925" i="2" s="1"/>
  <c r="D1926" i="2"/>
  <c r="E1926" i="2" s="1"/>
  <c r="D1927" i="2"/>
  <c r="E1927" i="2" s="1"/>
  <c r="D1928" i="2"/>
  <c r="E1928" i="2" s="1"/>
  <c r="D1929" i="2"/>
  <c r="E1929" i="2" s="1"/>
  <c r="D1930" i="2"/>
  <c r="E1930" i="2" s="1"/>
  <c r="D1931" i="2"/>
  <c r="E1931" i="2" s="1"/>
  <c r="D1932" i="2"/>
  <c r="E1932" i="2" s="1"/>
  <c r="D1933" i="2"/>
  <c r="E1933" i="2" s="1"/>
  <c r="D1934" i="2"/>
  <c r="E1934" i="2" s="1"/>
  <c r="D1935" i="2"/>
  <c r="E1935" i="2" s="1"/>
  <c r="D1936" i="2"/>
  <c r="E1936" i="2" s="1"/>
  <c r="D1937" i="2"/>
  <c r="E1937" i="2" s="1"/>
  <c r="D1938" i="2"/>
  <c r="E1938" i="2" s="1"/>
  <c r="D1939" i="2"/>
  <c r="E1939" i="2" s="1"/>
  <c r="D1940" i="2"/>
  <c r="E1940" i="2" s="1"/>
  <c r="D1941" i="2"/>
  <c r="E1941" i="2" s="1"/>
  <c r="D1942" i="2"/>
  <c r="E1942" i="2" s="1"/>
  <c r="D1943" i="2"/>
  <c r="E1943" i="2" s="1"/>
  <c r="D1944" i="2"/>
  <c r="E1944" i="2" s="1"/>
  <c r="D1945" i="2"/>
  <c r="E1945" i="2" s="1"/>
  <c r="D1946" i="2"/>
  <c r="E1946" i="2" s="1"/>
  <c r="D1947" i="2"/>
  <c r="E1947" i="2" s="1"/>
  <c r="D1948" i="2"/>
  <c r="E1948" i="2" s="1"/>
  <c r="D1949" i="2"/>
  <c r="E1949" i="2" s="1"/>
  <c r="D1950" i="2"/>
  <c r="E1950" i="2" s="1"/>
  <c r="D1951" i="2"/>
  <c r="E1951" i="2" s="1"/>
  <c r="D1952" i="2"/>
  <c r="E1952" i="2" s="1"/>
  <c r="D1953" i="2"/>
  <c r="E1953" i="2" s="1"/>
  <c r="D1954" i="2"/>
  <c r="E1954" i="2" s="1"/>
  <c r="D1955" i="2"/>
  <c r="E1955" i="2" s="1"/>
  <c r="D1956" i="2"/>
  <c r="E1956" i="2" s="1"/>
  <c r="D1957" i="2"/>
  <c r="E1957" i="2" s="1"/>
  <c r="D1958" i="2"/>
  <c r="E1958" i="2" s="1"/>
  <c r="D1959" i="2"/>
  <c r="E1959" i="2" s="1"/>
  <c r="D1960" i="2"/>
  <c r="E1960" i="2" s="1"/>
  <c r="D1961" i="2"/>
  <c r="E1961" i="2" s="1"/>
  <c r="D1962" i="2"/>
  <c r="E1962" i="2" s="1"/>
  <c r="D1963" i="2"/>
  <c r="E1963" i="2" s="1"/>
  <c r="D1964" i="2"/>
  <c r="E1964" i="2" s="1"/>
  <c r="D1965" i="2"/>
  <c r="E1965" i="2" s="1"/>
  <c r="D1966" i="2"/>
  <c r="E1966" i="2" s="1"/>
  <c r="D1967" i="2"/>
  <c r="E1967" i="2" s="1"/>
  <c r="D1968" i="2"/>
  <c r="E1968" i="2" s="1"/>
  <c r="D1969" i="2"/>
  <c r="E1969" i="2" s="1"/>
  <c r="D1970" i="2"/>
  <c r="E1970" i="2" s="1"/>
  <c r="D1971" i="2"/>
  <c r="E1971" i="2" s="1"/>
  <c r="D1972" i="2"/>
  <c r="E1972" i="2" s="1"/>
  <c r="D1973" i="2"/>
  <c r="E1973" i="2" s="1"/>
  <c r="D1974" i="2"/>
  <c r="E1974" i="2" s="1"/>
  <c r="D1975" i="2"/>
  <c r="E1975" i="2" s="1"/>
  <c r="D1976" i="2"/>
  <c r="E1976" i="2" s="1"/>
  <c r="D1977" i="2"/>
  <c r="E1977" i="2" s="1"/>
  <c r="D1978" i="2"/>
  <c r="E1978" i="2" s="1"/>
  <c r="D1979" i="2"/>
  <c r="E1979" i="2" s="1"/>
  <c r="D1980" i="2"/>
  <c r="E1980" i="2" s="1"/>
  <c r="D1981" i="2"/>
  <c r="E1981" i="2" s="1"/>
  <c r="D1982" i="2"/>
  <c r="E1982" i="2" s="1"/>
  <c r="D1983" i="2"/>
  <c r="E1983" i="2" s="1"/>
  <c r="D1984" i="2"/>
  <c r="E1984" i="2" s="1"/>
  <c r="D1985" i="2"/>
  <c r="E1985" i="2" s="1"/>
  <c r="D1986" i="2"/>
  <c r="E1986" i="2" s="1"/>
  <c r="D1987" i="2"/>
  <c r="E1987" i="2" s="1"/>
  <c r="D1988" i="2"/>
  <c r="E1988" i="2" s="1"/>
  <c r="D1989" i="2"/>
  <c r="E1989" i="2" s="1"/>
  <c r="D1990" i="2"/>
  <c r="E1990" i="2" s="1"/>
  <c r="D1991" i="2"/>
  <c r="E1991" i="2" s="1"/>
  <c r="D1992" i="2"/>
  <c r="E1992" i="2" s="1"/>
  <c r="D1993" i="2"/>
  <c r="E1993" i="2" s="1"/>
  <c r="D1994" i="2"/>
  <c r="E1994" i="2" s="1"/>
  <c r="D1995" i="2"/>
  <c r="E1995" i="2" s="1"/>
  <c r="D1996" i="2"/>
  <c r="E1996" i="2" s="1"/>
  <c r="D1997" i="2"/>
  <c r="E1997" i="2" s="1"/>
  <c r="D1998" i="2"/>
  <c r="E1998" i="2" s="1"/>
  <c r="D1999" i="2"/>
  <c r="E1999" i="2" s="1"/>
  <c r="D2000" i="2"/>
  <c r="E2000" i="2" s="1"/>
  <c r="D2001" i="2"/>
  <c r="E2001" i="2" s="1"/>
  <c r="D2002" i="2"/>
  <c r="E2002" i="2" s="1"/>
  <c r="D2003" i="2"/>
  <c r="E2003" i="2" s="1"/>
  <c r="D2004" i="2"/>
  <c r="E2004" i="2" s="1"/>
  <c r="D2005" i="2"/>
  <c r="E2005" i="2" s="1"/>
  <c r="D2006" i="2"/>
  <c r="E2006" i="2" s="1"/>
  <c r="D2007" i="2"/>
  <c r="E2007" i="2" s="1"/>
  <c r="D2008" i="2"/>
  <c r="E2008" i="2" s="1"/>
  <c r="B9" i="2"/>
  <c r="C21" i="1"/>
  <c r="B22" i="1" s="1"/>
  <c r="C20" i="1"/>
  <c r="B21" i="1" s="1"/>
  <c r="C22" i="1"/>
  <c r="K19" i="3"/>
  <c r="E17" i="3"/>
  <c r="F17" i="3"/>
  <c r="G17" i="3"/>
  <c r="H17" i="3"/>
  <c r="I17" i="3"/>
  <c r="D17" i="3"/>
  <c r="K11" i="3"/>
  <c r="K12" i="3"/>
  <c r="K13" i="3"/>
  <c r="K14" i="3"/>
  <c r="K15" i="3"/>
  <c r="K10" i="3"/>
  <c r="F9" i="2" l="1"/>
  <c r="K9" i="2" s="1"/>
  <c r="L9" i="2"/>
  <c r="G9" i="2"/>
  <c r="J9" i="2" l="1"/>
  <c r="M9" i="2" s="1"/>
  <c r="N9" i="2" s="1"/>
  <c r="H9" i="2"/>
  <c r="I9" i="2" s="1"/>
  <c r="C10" i="2" l="1"/>
  <c r="I10" i="2"/>
  <c r="C11" i="2" s="1"/>
  <c r="B10" i="2"/>
  <c r="G10" i="2" l="1"/>
  <c r="L10" i="2"/>
  <c r="F10" i="2"/>
  <c r="K10" i="2" l="1"/>
  <c r="B11" i="2"/>
  <c r="H10" i="2"/>
  <c r="J10" i="2"/>
  <c r="M10" i="2" l="1"/>
  <c r="N10" i="2" s="1"/>
  <c r="L11" i="2"/>
  <c r="G11" i="2"/>
  <c r="F11" i="2"/>
  <c r="K11" i="2" s="1"/>
  <c r="J11" i="2" l="1"/>
  <c r="M11" i="2" s="1"/>
  <c r="N11" i="2" s="1"/>
  <c r="H11" i="2"/>
  <c r="I11" i="2"/>
  <c r="C12" i="2" l="1"/>
  <c r="B12" i="2"/>
  <c r="F12" i="2" l="1"/>
  <c r="K12" i="2" s="1"/>
  <c r="L12" i="2"/>
  <c r="G12" i="2"/>
  <c r="H12" i="2" l="1"/>
  <c r="I12" i="2" s="1"/>
  <c r="J12" i="2"/>
  <c r="M12" i="2" s="1"/>
  <c r="N12" i="2" s="1"/>
  <c r="C13" i="2" l="1"/>
  <c r="B13" i="2"/>
  <c r="G13" i="2" l="1"/>
  <c r="L13" i="2"/>
  <c r="F13" i="2"/>
  <c r="K13" i="2" s="1"/>
  <c r="H13" i="2" l="1"/>
  <c r="I13" i="2" s="1"/>
  <c r="J13" i="2"/>
  <c r="M13" i="2" s="1"/>
  <c r="N13" i="2" s="1"/>
  <c r="C14" i="2" l="1"/>
  <c r="B14" i="2"/>
  <c r="G14" i="2" l="1"/>
  <c r="F14" i="2"/>
  <c r="K14" i="2" s="1"/>
  <c r="L14" i="2"/>
  <c r="J14" i="2" l="1"/>
  <c r="M14" i="2" s="1"/>
  <c r="N14" i="2" s="1"/>
  <c r="H14" i="2"/>
  <c r="I14" i="2" s="1"/>
  <c r="B15" i="2" l="1"/>
  <c r="C15" i="2"/>
  <c r="F15" i="2" l="1"/>
  <c r="K15" i="2" s="1"/>
  <c r="G15" i="2"/>
  <c r="L15" i="2"/>
  <c r="J15" i="2" l="1"/>
  <c r="M15" i="2" s="1"/>
  <c r="N15" i="2" s="1"/>
  <c r="I15" i="2"/>
  <c r="H15" i="2"/>
  <c r="B16" i="2" l="1"/>
  <c r="C16" i="2"/>
  <c r="F16" i="2" l="1"/>
  <c r="K16" i="2" s="1"/>
  <c r="G16" i="2"/>
  <c r="L16" i="2"/>
  <c r="H16" i="2" l="1"/>
  <c r="I16" i="2"/>
  <c r="J16" i="2"/>
  <c r="M16" i="2" s="1"/>
  <c r="N16" i="2" s="1"/>
  <c r="C17" i="2" l="1"/>
  <c r="B17" i="2"/>
  <c r="F17" i="2" l="1"/>
  <c r="K17" i="2" s="1"/>
  <c r="G17" i="2"/>
  <c r="L17" i="2"/>
  <c r="H17" i="2" l="1"/>
  <c r="I17" i="2" s="1"/>
  <c r="J17" i="2"/>
  <c r="M17" i="2" s="1"/>
  <c r="N17" i="2" s="1"/>
  <c r="B18" i="2" l="1"/>
  <c r="C18" i="2"/>
  <c r="F18" i="2" l="1"/>
  <c r="K18" i="2" s="1"/>
  <c r="L18" i="2"/>
  <c r="G18" i="2"/>
  <c r="H18" i="2" l="1"/>
  <c r="I18" i="2" s="1"/>
  <c r="J18" i="2"/>
  <c r="M18" i="2" s="1"/>
  <c r="N18" i="2" s="1"/>
  <c r="B19" i="2" l="1"/>
  <c r="C19" i="2"/>
  <c r="F19" i="2" l="1"/>
  <c r="K19" i="2" s="1"/>
  <c r="L19" i="2"/>
  <c r="G19" i="2"/>
  <c r="J19" i="2" l="1"/>
  <c r="M19" i="2" s="1"/>
  <c r="N19" i="2" s="1"/>
  <c r="I19" i="2"/>
  <c r="H19" i="2"/>
  <c r="B20" i="2" l="1"/>
  <c r="C20" i="2"/>
  <c r="G20" i="2" l="1"/>
  <c r="L20" i="2"/>
  <c r="F20" i="2"/>
  <c r="K20" i="2" s="1"/>
  <c r="J20" i="2" l="1"/>
  <c r="M20" i="2" s="1"/>
  <c r="N20" i="2" s="1"/>
  <c r="H20" i="2"/>
  <c r="I20" i="2"/>
  <c r="C21" i="2" l="1"/>
  <c r="B21" i="2"/>
  <c r="F21" i="2" l="1"/>
  <c r="K21" i="2" s="1"/>
  <c r="L21" i="2"/>
  <c r="G21" i="2"/>
  <c r="J21" i="2" l="1"/>
  <c r="M21" i="2" s="1"/>
  <c r="N21" i="2" s="1"/>
  <c r="H21" i="2"/>
  <c r="I21" i="2" s="1"/>
  <c r="C22" i="2" l="1"/>
  <c r="B22" i="2"/>
  <c r="G22" i="2" l="1"/>
  <c r="F22" i="2"/>
  <c r="K22" i="2" s="1"/>
  <c r="L22" i="2"/>
  <c r="H22" i="2" l="1"/>
  <c r="I22" i="2" s="1"/>
  <c r="J22" i="2"/>
  <c r="M22" i="2" s="1"/>
  <c r="N22" i="2" s="1"/>
  <c r="C23" i="2" l="1"/>
  <c r="B23" i="2"/>
  <c r="G23" i="2" l="1"/>
  <c r="L23" i="2"/>
  <c r="F23" i="2"/>
  <c r="K23" i="2" l="1"/>
  <c r="H23" i="2"/>
  <c r="I23" i="2" s="1"/>
  <c r="J23" i="2"/>
  <c r="C24" i="2" l="1"/>
  <c r="B24" i="2"/>
  <c r="G24" i="2" s="1"/>
  <c r="M23" i="2"/>
  <c r="N23" i="2" s="1"/>
  <c r="F24" i="2" l="1"/>
  <c r="K24" i="2" s="1"/>
  <c r="L24" i="2"/>
  <c r="H24" i="2"/>
  <c r="J24" i="2"/>
  <c r="I24" i="2"/>
  <c r="M24" i="2" l="1"/>
  <c r="N24" i="2" s="1"/>
  <c r="C25" i="2"/>
  <c r="B25" i="2"/>
  <c r="G25" i="2" l="1"/>
  <c r="F25" i="2"/>
  <c r="K25" i="2" s="1"/>
  <c r="L25" i="2"/>
  <c r="H25" i="2" l="1"/>
  <c r="I25" i="2" s="1"/>
  <c r="J25" i="2"/>
  <c r="M25" i="2" s="1"/>
  <c r="N25" i="2" s="1"/>
  <c r="B26" i="2" l="1"/>
  <c r="C26" i="2"/>
  <c r="F26" i="2" l="1"/>
  <c r="K26" i="2" s="1"/>
  <c r="L26" i="2"/>
  <c r="G26" i="2"/>
  <c r="J26" i="2" l="1"/>
  <c r="M26" i="2" s="1"/>
  <c r="N26" i="2" s="1"/>
  <c r="H26" i="2"/>
  <c r="I26" i="2" s="1"/>
  <c r="B27" i="2" l="1"/>
  <c r="C27" i="2"/>
  <c r="F27" i="2" l="1"/>
  <c r="L27" i="2"/>
  <c r="G27" i="2"/>
  <c r="H27" i="2" l="1"/>
  <c r="I27" i="2" s="1"/>
  <c r="J27" i="2"/>
  <c r="K27" i="2"/>
  <c r="C28" i="2" l="1"/>
  <c r="B28" i="2"/>
  <c r="G28" i="2" s="1"/>
  <c r="M27" i="2"/>
  <c r="N27" i="2" s="1"/>
  <c r="L28" i="2" l="1"/>
  <c r="F28" i="2"/>
  <c r="K28" i="2" s="1"/>
  <c r="H28" i="2"/>
  <c r="I28" i="2" s="1"/>
  <c r="J28" i="2"/>
  <c r="M28" i="2" l="1"/>
  <c r="N28" i="2" s="1"/>
  <c r="C29" i="2"/>
  <c r="B29" i="2"/>
  <c r="G29" i="2" l="1"/>
  <c r="L29" i="2"/>
  <c r="F29" i="2"/>
  <c r="K29" i="2" s="1"/>
  <c r="I29" i="2" l="1"/>
  <c r="H29" i="2"/>
  <c r="J29" i="2"/>
  <c r="M29" i="2" s="1"/>
  <c r="N29" i="2" s="1"/>
  <c r="C30" i="2" l="1"/>
  <c r="B30" i="2"/>
  <c r="F30" i="2" l="1"/>
  <c r="K30" i="2" s="1"/>
  <c r="G30" i="2"/>
  <c r="L30" i="2"/>
  <c r="H30" i="2" l="1"/>
  <c r="I30" i="2" s="1"/>
  <c r="J30" i="2"/>
  <c r="M30" i="2" s="1"/>
  <c r="N30" i="2" s="1"/>
  <c r="C31" i="2" l="1"/>
  <c r="B31" i="2"/>
  <c r="G31" i="2" l="1"/>
  <c r="F31" i="2"/>
  <c r="K31" i="2" s="1"/>
  <c r="L31" i="2"/>
  <c r="H31" i="2" l="1"/>
  <c r="I31" i="2" s="1"/>
  <c r="J31" i="2"/>
  <c r="M31" i="2" s="1"/>
  <c r="N31" i="2" s="1"/>
  <c r="B32" i="2" l="1"/>
  <c r="C32" i="2"/>
  <c r="G32" i="2" l="1"/>
  <c r="L32" i="2"/>
  <c r="F32" i="2"/>
  <c r="K32" i="2" l="1"/>
  <c r="J32" i="2"/>
  <c r="H32" i="2"/>
  <c r="I32" i="2" s="1"/>
  <c r="M32" i="2" l="1"/>
  <c r="N32" i="2" s="1"/>
  <c r="C33" i="2"/>
  <c r="B33" i="2"/>
  <c r="F33" i="2" l="1"/>
  <c r="K33" i="2" s="1"/>
  <c r="G33" i="2"/>
  <c r="J33" i="2" s="1"/>
  <c r="L33" i="2"/>
  <c r="I33" i="2" l="1"/>
  <c r="C34" i="2" s="1"/>
  <c r="H33" i="2"/>
  <c r="M33" i="2"/>
  <c r="N33" i="2" s="1"/>
  <c r="B34" i="2" l="1"/>
  <c r="G34" i="2" s="1"/>
  <c r="L34" i="2" l="1"/>
  <c r="F34" i="2"/>
  <c r="K34" i="2" s="1"/>
  <c r="H34" i="2"/>
  <c r="I34" i="2" s="1"/>
  <c r="J34" i="2"/>
  <c r="M34" i="2" l="1"/>
  <c r="N34" i="2" s="1"/>
  <c r="B35" i="2"/>
  <c r="C35" i="2"/>
  <c r="L35" i="2" l="1"/>
  <c r="F35" i="2"/>
  <c r="K35" i="2" s="1"/>
  <c r="G35" i="2"/>
  <c r="H35" i="2" l="1"/>
  <c r="I35" i="2" s="1"/>
  <c r="J35" i="2"/>
  <c r="M35" i="2" s="1"/>
  <c r="N35" i="2" s="1"/>
  <c r="C36" i="2" l="1"/>
  <c r="B36" i="2"/>
  <c r="F36" i="2" l="1"/>
  <c r="K36" i="2" s="1"/>
  <c r="L36" i="2"/>
  <c r="G36" i="2"/>
  <c r="H36" i="2" l="1"/>
  <c r="I36" i="2" s="1"/>
  <c r="J36" i="2"/>
  <c r="M36" i="2" s="1"/>
  <c r="N36" i="2" s="1"/>
  <c r="B37" i="2" l="1"/>
  <c r="C37" i="2"/>
  <c r="L37" i="2" l="1"/>
  <c r="F37" i="2"/>
  <c r="G37" i="2"/>
  <c r="J37" i="2" l="1"/>
  <c r="H37" i="2"/>
  <c r="I37" i="2" s="1"/>
  <c r="K37" i="2"/>
  <c r="C38" i="2" l="1"/>
  <c r="B38" i="2"/>
  <c r="M37" i="2"/>
  <c r="N37" i="2" s="1"/>
  <c r="F38" i="2" l="1"/>
  <c r="K38" i="2" s="1"/>
  <c r="G38" i="2"/>
  <c r="L38" i="2"/>
  <c r="J38" i="2" l="1"/>
  <c r="M38" i="2" s="1"/>
  <c r="N38" i="2" s="1"/>
  <c r="H38" i="2"/>
  <c r="I38" i="2" s="1"/>
  <c r="B39" i="2" l="1"/>
  <c r="G39" i="2" s="1"/>
  <c r="H39" i="2" s="1"/>
  <c r="I39" i="2" s="1"/>
  <c r="C40" i="2" s="1"/>
  <c r="C39" i="2"/>
  <c r="L39" i="2" l="1"/>
  <c r="F39" i="2"/>
  <c r="K39" i="2" s="1"/>
  <c r="J39" i="2"/>
  <c r="M39" i="2" l="1"/>
  <c r="N39" i="2" s="1"/>
  <c r="B40" i="2"/>
  <c r="F40" i="2" s="1"/>
  <c r="K40" i="2" s="1"/>
  <c r="G40" i="2" l="1"/>
  <c r="J40" i="2" s="1"/>
  <c r="L40" i="2"/>
  <c r="M40" i="2" l="1"/>
  <c r="N40" i="2" s="1"/>
  <c r="H40" i="2"/>
  <c r="I40" i="2" s="1"/>
  <c r="B41" i="2" s="1"/>
  <c r="G41" i="2" s="1"/>
  <c r="C41" i="2" l="1"/>
  <c r="F41" i="2" s="1"/>
  <c r="K41" i="2" s="1"/>
  <c r="J41" i="2"/>
  <c r="H41" i="2"/>
  <c r="I41" i="2" s="1"/>
  <c r="L41" i="2" l="1"/>
  <c r="M41" i="2"/>
  <c r="N41" i="2" s="1"/>
  <c r="C42" i="2"/>
  <c r="B42" i="2"/>
  <c r="G42" i="2" l="1"/>
  <c r="F42" i="2"/>
  <c r="K42" i="2" s="1"/>
  <c r="L42" i="2"/>
  <c r="H42" i="2" l="1"/>
  <c r="I42" i="2" s="1"/>
  <c r="J42" i="2"/>
  <c r="M42" i="2" s="1"/>
  <c r="N42" i="2" s="1"/>
  <c r="B43" i="2" l="1"/>
  <c r="G43" i="2" s="1"/>
  <c r="C43" i="2"/>
  <c r="F43" i="2" l="1"/>
  <c r="K43" i="2" s="1"/>
  <c r="L43" i="2"/>
  <c r="J43" i="2"/>
  <c r="H43" i="2"/>
  <c r="I43" i="2" s="1"/>
  <c r="C44" i="2" l="1"/>
  <c r="B44" i="2"/>
  <c r="G44" i="2" s="1"/>
  <c r="M43" i="2"/>
  <c r="N43" i="2" s="1"/>
  <c r="L44" i="2" l="1"/>
  <c r="F44" i="2"/>
  <c r="K44" i="2" s="1"/>
  <c r="J44" i="2"/>
  <c r="H44" i="2"/>
  <c r="I44" i="2" s="1"/>
  <c r="M44" i="2" l="1"/>
  <c r="N44" i="2" s="1"/>
  <c r="B45" i="2"/>
  <c r="C45" i="2"/>
  <c r="F45" i="2" l="1"/>
  <c r="K45" i="2" s="1"/>
  <c r="L45" i="2"/>
  <c r="G45" i="2"/>
  <c r="H45" i="2" l="1"/>
  <c r="I45" i="2" s="1"/>
  <c r="J45" i="2"/>
  <c r="M45" i="2" s="1"/>
  <c r="N45" i="2" s="1"/>
  <c r="B46" i="2" l="1"/>
  <c r="C46" i="2"/>
  <c r="G46" i="2" l="1"/>
  <c r="L46" i="2"/>
  <c r="F46" i="2"/>
  <c r="K46" i="2" s="1"/>
  <c r="H46" i="2" l="1"/>
  <c r="I46" i="2" s="1"/>
  <c r="J46" i="2"/>
  <c r="M46" i="2" s="1"/>
  <c r="N46" i="2" s="1"/>
  <c r="C47" i="2" l="1"/>
  <c r="B47" i="2"/>
  <c r="L47" i="2" l="1"/>
  <c r="G47" i="2"/>
  <c r="F47" i="2"/>
  <c r="K47" i="2" s="1"/>
  <c r="J47" i="2" l="1"/>
  <c r="M47" i="2" s="1"/>
  <c r="N47" i="2" s="1"/>
  <c r="H47" i="2"/>
  <c r="I47" i="2"/>
  <c r="B48" i="2" l="1"/>
  <c r="C48" i="2"/>
  <c r="L48" i="2" l="1"/>
  <c r="G48" i="2"/>
  <c r="F48" i="2"/>
  <c r="K48" i="2" s="1"/>
  <c r="H48" i="2" l="1"/>
  <c r="I48" i="2" s="1"/>
  <c r="J48" i="2"/>
  <c r="M48" i="2" s="1"/>
  <c r="N48" i="2" s="1"/>
  <c r="B49" i="2" l="1"/>
  <c r="C49" i="2"/>
  <c r="L49" i="2" l="1"/>
  <c r="F49" i="2"/>
  <c r="K49" i="2" s="1"/>
  <c r="G49" i="2"/>
  <c r="J49" i="2" l="1"/>
  <c r="M49" i="2" s="1"/>
  <c r="N49" i="2" s="1"/>
  <c r="H49" i="2"/>
  <c r="I49" i="2" s="1"/>
  <c r="B50" i="2" l="1"/>
  <c r="C50" i="2"/>
  <c r="G50" i="2" l="1"/>
  <c r="F50" i="2"/>
  <c r="K50" i="2" s="1"/>
  <c r="L50" i="2"/>
  <c r="H50" i="2" l="1"/>
  <c r="I50" i="2" s="1"/>
  <c r="J50" i="2"/>
  <c r="M50" i="2" s="1"/>
  <c r="N50" i="2" s="1"/>
  <c r="B51" i="2" l="1"/>
  <c r="C51" i="2"/>
  <c r="G51" i="2" l="1"/>
  <c r="F51" i="2"/>
  <c r="K51" i="2" s="1"/>
  <c r="L51" i="2"/>
  <c r="H51" i="2" l="1"/>
  <c r="I51" i="2" s="1"/>
  <c r="J51" i="2"/>
  <c r="M51" i="2" s="1"/>
  <c r="N51" i="2" s="1"/>
  <c r="C52" i="2" l="1"/>
  <c r="B52" i="2"/>
  <c r="L52" i="2" l="1"/>
  <c r="F52" i="2"/>
  <c r="K52" i="2" s="1"/>
  <c r="G52" i="2"/>
  <c r="J52" i="2" l="1"/>
  <c r="M52" i="2" s="1"/>
  <c r="N52" i="2" s="1"/>
  <c r="H52" i="2"/>
  <c r="I52" i="2" s="1"/>
  <c r="C53" i="2" l="1"/>
  <c r="B53" i="2"/>
  <c r="G53" i="2" l="1"/>
  <c r="F53" i="2"/>
  <c r="K53" i="2" s="1"/>
  <c r="L53" i="2"/>
  <c r="J53" i="2" l="1"/>
  <c r="M53" i="2" s="1"/>
  <c r="N53" i="2" s="1"/>
  <c r="H53" i="2"/>
  <c r="I53" i="2" s="1"/>
  <c r="C54" i="2" l="1"/>
  <c r="B54" i="2"/>
  <c r="L54" i="2" l="1"/>
  <c r="F54" i="2"/>
  <c r="K54" i="2" s="1"/>
  <c r="G54" i="2"/>
  <c r="H54" i="2" l="1"/>
  <c r="I54" i="2" s="1"/>
  <c r="J54" i="2"/>
  <c r="M54" i="2" s="1"/>
  <c r="N54" i="2" s="1"/>
  <c r="C55" i="2" l="1"/>
  <c r="B55" i="2"/>
  <c r="G55" i="2" l="1"/>
  <c r="F55" i="2"/>
  <c r="K55" i="2" s="1"/>
  <c r="L55" i="2"/>
  <c r="H55" i="2" l="1"/>
  <c r="I55" i="2" s="1"/>
  <c r="J55" i="2"/>
  <c r="M55" i="2" s="1"/>
  <c r="N55" i="2" s="1"/>
  <c r="C56" i="2" l="1"/>
  <c r="B56" i="2"/>
  <c r="F56" i="2" l="1"/>
  <c r="K56" i="2" s="1"/>
  <c r="G56" i="2"/>
  <c r="L56" i="2"/>
  <c r="J56" i="2" l="1"/>
  <c r="M56" i="2" s="1"/>
  <c r="N56" i="2" s="1"/>
  <c r="H56" i="2"/>
  <c r="I56" i="2" s="1"/>
  <c r="B57" i="2" l="1"/>
  <c r="C57" i="2"/>
  <c r="G57" i="2" l="1"/>
  <c r="L57" i="2"/>
  <c r="F57" i="2"/>
  <c r="K57" i="2" s="1"/>
  <c r="H57" i="2" l="1"/>
  <c r="I57" i="2" s="1"/>
  <c r="J57" i="2"/>
  <c r="M57" i="2" s="1"/>
  <c r="N57" i="2" s="1"/>
  <c r="C58" i="2" l="1"/>
  <c r="B58" i="2"/>
  <c r="F58" i="2" l="1"/>
  <c r="K58" i="2" s="1"/>
  <c r="G58" i="2"/>
  <c r="L58" i="2"/>
  <c r="J58" i="2" l="1"/>
  <c r="M58" i="2" s="1"/>
  <c r="N58" i="2" s="1"/>
  <c r="H58" i="2"/>
  <c r="I58" i="2" s="1"/>
  <c r="C59" i="2" l="1"/>
  <c r="B59" i="2"/>
  <c r="G59" i="2" l="1"/>
  <c r="L59" i="2"/>
  <c r="F59" i="2"/>
  <c r="K59" i="2" s="1"/>
  <c r="J59" i="2" l="1"/>
  <c r="M59" i="2" s="1"/>
  <c r="N59" i="2" s="1"/>
  <c r="H59" i="2"/>
  <c r="I59" i="2" s="1"/>
  <c r="C60" i="2" l="1"/>
  <c r="B60" i="2"/>
  <c r="L60" i="2" l="1"/>
  <c r="F60" i="2"/>
  <c r="K60" i="2" s="1"/>
  <c r="G60" i="2"/>
  <c r="H60" i="2" l="1"/>
  <c r="I60" i="2" s="1"/>
  <c r="J60" i="2"/>
  <c r="M60" i="2" s="1"/>
  <c r="N60" i="2" s="1"/>
  <c r="C61" i="2" l="1"/>
  <c r="B61" i="2"/>
  <c r="F61" i="2" s="1"/>
  <c r="L61" i="2" l="1"/>
  <c r="G61" i="2"/>
  <c r="K61" i="2"/>
  <c r="H61" i="2" l="1"/>
  <c r="I61" i="2" s="1"/>
  <c r="J61" i="2"/>
  <c r="M61" i="2" s="1"/>
  <c r="N61" i="2" s="1"/>
  <c r="C62" i="2" l="1"/>
  <c r="B62" i="2"/>
  <c r="G62" i="2" l="1"/>
  <c r="L62" i="2"/>
  <c r="F62" i="2"/>
  <c r="K62" i="2" s="1"/>
  <c r="H62" i="2" l="1"/>
  <c r="I62" i="2" s="1"/>
  <c r="J62" i="2"/>
  <c r="M62" i="2" s="1"/>
  <c r="N62" i="2" s="1"/>
  <c r="B63" i="2" l="1"/>
  <c r="C63" i="2"/>
  <c r="L63" i="2" l="1"/>
  <c r="F63" i="2"/>
  <c r="K63" i="2" s="1"/>
  <c r="G63" i="2"/>
  <c r="J63" i="2" l="1"/>
  <c r="M63" i="2" s="1"/>
  <c r="N63" i="2" s="1"/>
  <c r="H63" i="2"/>
  <c r="I63" i="2" s="1"/>
  <c r="B64" i="2" l="1"/>
  <c r="C64" i="2"/>
  <c r="F64" i="2" l="1"/>
  <c r="K64" i="2" s="1"/>
  <c r="L64" i="2"/>
  <c r="G64" i="2"/>
  <c r="H64" i="2" l="1"/>
  <c r="I64" i="2"/>
  <c r="J64" i="2"/>
  <c r="M64" i="2" s="1"/>
  <c r="N64" i="2" s="1"/>
  <c r="B65" i="2" l="1"/>
  <c r="C65" i="2"/>
  <c r="G65" i="2" l="1"/>
  <c r="F65" i="2"/>
  <c r="K65" i="2" s="1"/>
  <c r="L65" i="2"/>
  <c r="H65" i="2" l="1"/>
  <c r="I65" i="2" s="1"/>
  <c r="J65" i="2"/>
  <c r="M65" i="2" s="1"/>
  <c r="N65" i="2" s="1"/>
  <c r="C66" i="2" l="1"/>
  <c r="B66" i="2"/>
  <c r="F66" i="2" l="1"/>
  <c r="K66" i="2" s="1"/>
  <c r="L66" i="2"/>
  <c r="G66" i="2"/>
  <c r="J66" i="2" l="1"/>
  <c r="M66" i="2" s="1"/>
  <c r="N66" i="2" s="1"/>
  <c r="H66" i="2"/>
  <c r="I66" i="2" s="1"/>
  <c r="B67" i="2" l="1"/>
  <c r="C67" i="2"/>
  <c r="F67" i="2" l="1"/>
  <c r="K67" i="2" s="1"/>
  <c r="L67" i="2"/>
  <c r="G67" i="2"/>
  <c r="J67" i="2" l="1"/>
  <c r="M67" i="2" s="1"/>
  <c r="N67" i="2" s="1"/>
  <c r="H67" i="2"/>
  <c r="I67" i="2" s="1"/>
  <c r="C68" i="2" l="1"/>
  <c r="B68" i="2"/>
  <c r="G68" i="2" l="1"/>
  <c r="L68" i="2"/>
  <c r="F68" i="2"/>
  <c r="K68" i="2" s="1"/>
  <c r="H68" i="2" l="1"/>
  <c r="I68" i="2" s="1"/>
  <c r="J68" i="2"/>
  <c r="M68" i="2" s="1"/>
  <c r="N68" i="2" s="1"/>
  <c r="C69" i="2" l="1"/>
  <c r="B69" i="2"/>
  <c r="F69" i="2" l="1"/>
  <c r="K69" i="2" s="1"/>
  <c r="L69" i="2"/>
  <c r="G69" i="2"/>
  <c r="J69" i="2" l="1"/>
  <c r="M69" i="2" s="1"/>
  <c r="N69" i="2" s="1"/>
  <c r="H69" i="2"/>
  <c r="I69" i="2" s="1"/>
  <c r="B70" i="2" l="1"/>
  <c r="C70" i="2"/>
  <c r="G70" i="2" l="1"/>
  <c r="F70" i="2"/>
  <c r="K70" i="2" s="1"/>
  <c r="L70" i="2"/>
  <c r="J70" i="2" l="1"/>
  <c r="M70" i="2" s="1"/>
  <c r="N70" i="2" s="1"/>
  <c r="H70" i="2"/>
  <c r="I70" i="2" s="1"/>
  <c r="C71" i="2" l="1"/>
  <c r="B71" i="2"/>
  <c r="G71" i="2" l="1"/>
  <c r="L71" i="2"/>
  <c r="F71" i="2"/>
  <c r="K71" i="2" s="1"/>
  <c r="H71" i="2" l="1"/>
  <c r="I71" i="2" s="1"/>
  <c r="J71" i="2"/>
  <c r="M71" i="2" s="1"/>
  <c r="N71" i="2" s="1"/>
  <c r="C72" i="2" l="1"/>
  <c r="B72" i="2"/>
  <c r="G72" i="2" l="1"/>
  <c r="L72" i="2"/>
  <c r="F72" i="2"/>
  <c r="K72" i="2" s="1"/>
  <c r="H72" i="2" l="1"/>
  <c r="I72" i="2" s="1"/>
  <c r="J72" i="2"/>
  <c r="M72" i="2" s="1"/>
  <c r="N72" i="2" s="1"/>
  <c r="B73" i="2" l="1"/>
  <c r="C73" i="2"/>
  <c r="F73" i="2" l="1"/>
  <c r="K73" i="2" s="1"/>
  <c r="G73" i="2"/>
  <c r="L73" i="2"/>
  <c r="H73" i="2" l="1"/>
  <c r="I73" i="2" s="1"/>
  <c r="J73" i="2"/>
  <c r="M73" i="2" s="1"/>
  <c r="N73" i="2" s="1"/>
  <c r="B74" i="2" l="1"/>
  <c r="C74" i="2"/>
  <c r="L74" i="2" l="1"/>
  <c r="G74" i="2"/>
  <c r="F74" i="2"/>
  <c r="K74" i="2" s="1"/>
  <c r="H74" i="2" l="1"/>
  <c r="I74" i="2" s="1"/>
  <c r="J74" i="2"/>
  <c r="M74" i="2" s="1"/>
  <c r="N74" i="2" s="1"/>
  <c r="B75" i="2" l="1"/>
  <c r="C75" i="2"/>
  <c r="L75" i="2" l="1"/>
  <c r="G75" i="2"/>
  <c r="F75" i="2"/>
  <c r="K75" i="2" s="1"/>
  <c r="J75" i="2" l="1"/>
  <c r="M75" i="2" s="1"/>
  <c r="N75" i="2" s="1"/>
  <c r="H75" i="2"/>
  <c r="I75" i="2" s="1"/>
  <c r="B76" i="2" l="1"/>
  <c r="C76" i="2"/>
  <c r="L76" i="2" l="1"/>
  <c r="F76" i="2"/>
  <c r="K76" i="2" s="1"/>
  <c r="G76" i="2"/>
  <c r="J76" i="2" l="1"/>
  <c r="M76" i="2" s="1"/>
  <c r="N76" i="2" s="1"/>
  <c r="H76" i="2"/>
  <c r="I76" i="2" s="1"/>
  <c r="C77" i="2" l="1"/>
  <c r="B77" i="2"/>
  <c r="F77" i="2" l="1"/>
  <c r="K77" i="2" s="1"/>
  <c r="G77" i="2"/>
  <c r="J77" i="2" s="1"/>
  <c r="L77" i="2"/>
  <c r="M77" i="2" l="1"/>
  <c r="N77" i="2" s="1"/>
  <c r="H77" i="2"/>
  <c r="I77" i="2" s="1"/>
  <c r="B78" i="2" s="1"/>
  <c r="C78" i="2" l="1"/>
  <c r="F78" i="2" s="1"/>
  <c r="K78" i="2" s="1"/>
  <c r="G78" i="2"/>
  <c r="L78" i="2" l="1"/>
  <c r="H78" i="2"/>
  <c r="I78" i="2" s="1"/>
  <c r="J78" i="2"/>
  <c r="M78" i="2" l="1"/>
  <c r="N78" i="2" s="1"/>
  <c r="B79" i="2"/>
  <c r="C79" i="2"/>
  <c r="L79" i="2" l="1"/>
  <c r="F79" i="2"/>
  <c r="K79" i="2" s="1"/>
  <c r="G79" i="2"/>
  <c r="H79" i="2" l="1"/>
  <c r="I79" i="2" s="1"/>
  <c r="J79" i="2"/>
  <c r="M79" i="2" s="1"/>
  <c r="N79" i="2" s="1"/>
  <c r="C80" i="2" l="1"/>
  <c r="B80" i="2"/>
  <c r="F80" i="2" l="1"/>
  <c r="K80" i="2" s="1"/>
  <c r="G80" i="2"/>
  <c r="L80" i="2"/>
  <c r="J80" i="2" l="1"/>
  <c r="M80" i="2" s="1"/>
  <c r="N80" i="2" s="1"/>
  <c r="H80" i="2"/>
  <c r="I80" i="2" s="1"/>
  <c r="B81" i="2" l="1"/>
  <c r="C81" i="2"/>
  <c r="G81" i="2" l="1"/>
  <c r="L81" i="2"/>
  <c r="F81" i="2"/>
  <c r="K81" i="2" l="1"/>
  <c r="J81" i="2"/>
  <c r="H81" i="2"/>
  <c r="I81" i="2" s="1"/>
  <c r="M81" i="2" l="1"/>
  <c r="N81" i="2" s="1"/>
  <c r="C82" i="2"/>
  <c r="B82" i="2"/>
  <c r="F82" i="2" l="1"/>
  <c r="K82" i="2" s="1"/>
  <c r="G82" i="2"/>
  <c r="L82" i="2"/>
  <c r="H82" i="2" l="1"/>
  <c r="I82" i="2" s="1"/>
  <c r="J82" i="2"/>
  <c r="M82" i="2" s="1"/>
  <c r="N82" i="2" s="1"/>
  <c r="C83" i="2" l="1"/>
  <c r="B83" i="2"/>
  <c r="L83" i="2" l="1"/>
  <c r="G83" i="2"/>
  <c r="H83" i="2" s="1"/>
  <c r="I83" i="2" s="1"/>
  <c r="F83" i="2"/>
  <c r="K83" i="2" s="1"/>
  <c r="J83" i="2" l="1"/>
  <c r="M83" i="2" s="1"/>
  <c r="N83" i="2" s="1"/>
  <c r="C84" i="2"/>
  <c r="B84" i="2"/>
  <c r="G84" i="2" l="1"/>
  <c r="F84" i="2"/>
  <c r="K84" i="2" s="1"/>
  <c r="L84" i="2"/>
  <c r="J84" i="2" l="1"/>
  <c r="M84" i="2" s="1"/>
  <c r="N84" i="2" s="1"/>
  <c r="H84" i="2"/>
  <c r="I84" i="2" s="1"/>
  <c r="C85" i="2" l="1"/>
  <c r="B85" i="2"/>
  <c r="L85" i="2" l="1"/>
  <c r="G85" i="2"/>
  <c r="F85" i="2"/>
  <c r="K85" i="2" s="1"/>
  <c r="H85" i="2" l="1"/>
  <c r="I85" i="2" s="1"/>
  <c r="J85" i="2"/>
  <c r="M85" i="2" s="1"/>
  <c r="N85" i="2" s="1"/>
  <c r="C86" i="2" l="1"/>
  <c r="B86" i="2"/>
  <c r="G86" i="2" l="1"/>
  <c r="L86" i="2"/>
  <c r="F86" i="2"/>
  <c r="K86" i="2" s="1"/>
  <c r="J86" i="2" l="1"/>
  <c r="M86" i="2" s="1"/>
  <c r="N86" i="2" s="1"/>
  <c r="H86" i="2"/>
  <c r="I86" i="2" s="1"/>
  <c r="C87" i="2" l="1"/>
  <c r="B87" i="2"/>
  <c r="G87" i="2" l="1"/>
  <c r="F87" i="2"/>
  <c r="K87" i="2" s="1"/>
  <c r="L87" i="2"/>
  <c r="J87" i="2" l="1"/>
  <c r="M87" i="2" s="1"/>
  <c r="N87" i="2" s="1"/>
  <c r="H87" i="2"/>
  <c r="I87" i="2" s="1"/>
  <c r="C88" i="2" l="1"/>
  <c r="B88" i="2"/>
  <c r="F88" i="2" l="1"/>
  <c r="K88" i="2" s="1"/>
  <c r="G88" i="2"/>
  <c r="L88" i="2"/>
  <c r="J88" i="2" l="1"/>
  <c r="M88" i="2" s="1"/>
  <c r="N88" i="2" s="1"/>
  <c r="H88" i="2"/>
  <c r="I88" i="2" s="1"/>
  <c r="B89" i="2" l="1"/>
  <c r="C89" i="2"/>
  <c r="G89" i="2" l="1"/>
  <c r="F89" i="2"/>
  <c r="K89" i="2" s="1"/>
  <c r="L89" i="2"/>
  <c r="H89" i="2" l="1"/>
  <c r="I89" i="2" s="1"/>
  <c r="J89" i="2"/>
  <c r="M89" i="2" s="1"/>
  <c r="N89" i="2" s="1"/>
  <c r="B90" i="2" l="1"/>
  <c r="C90" i="2"/>
  <c r="G90" i="2" l="1"/>
  <c r="L90" i="2"/>
  <c r="F90" i="2"/>
  <c r="K90" i="2" s="1"/>
  <c r="H90" i="2" l="1"/>
  <c r="J90" i="2"/>
  <c r="M90" i="2" s="1"/>
  <c r="N90" i="2" s="1"/>
  <c r="I90" i="2"/>
  <c r="C91" i="2" l="1"/>
  <c r="B91" i="2"/>
  <c r="G91" i="2" l="1"/>
  <c r="F91" i="2"/>
  <c r="K91" i="2" s="1"/>
  <c r="L91" i="2"/>
  <c r="H91" i="2" l="1"/>
  <c r="I91" i="2" s="1"/>
  <c r="J91" i="2"/>
  <c r="M91" i="2" s="1"/>
  <c r="N91" i="2" s="1"/>
  <c r="B92" i="2" l="1"/>
  <c r="C92" i="2"/>
  <c r="G92" i="2" l="1"/>
  <c r="L92" i="2"/>
  <c r="F92" i="2"/>
  <c r="K92" i="2" s="1"/>
  <c r="J92" i="2" l="1"/>
  <c r="M92" i="2" s="1"/>
  <c r="N92" i="2" s="1"/>
  <c r="H92" i="2"/>
  <c r="I92" i="2"/>
  <c r="B93" i="2" l="1"/>
  <c r="C93" i="2"/>
  <c r="G93" i="2" l="1"/>
  <c r="L93" i="2"/>
  <c r="F93" i="2"/>
  <c r="K93" i="2" s="1"/>
  <c r="H93" i="2" l="1"/>
  <c r="I93" i="2" s="1"/>
  <c r="J93" i="2"/>
  <c r="M93" i="2" s="1"/>
  <c r="N93" i="2" s="1"/>
  <c r="C94" i="2" l="1"/>
  <c r="B94" i="2"/>
  <c r="F94" i="2" l="1"/>
  <c r="K94" i="2" s="1"/>
  <c r="G94" i="2"/>
  <c r="L94" i="2"/>
  <c r="H94" i="2" l="1"/>
  <c r="J94" i="2"/>
  <c r="M94" i="2" s="1"/>
  <c r="N94" i="2" s="1"/>
  <c r="I94" i="2"/>
  <c r="C95" i="2" l="1"/>
  <c r="B95" i="2"/>
  <c r="L95" i="2" l="1"/>
  <c r="F95" i="2"/>
  <c r="K95" i="2" s="1"/>
  <c r="G95" i="2"/>
  <c r="H95" i="2" l="1"/>
  <c r="I95" i="2" s="1"/>
  <c r="J95" i="2"/>
  <c r="M95" i="2" s="1"/>
  <c r="N95" i="2" s="1"/>
  <c r="B96" i="2" l="1"/>
  <c r="C96" i="2"/>
  <c r="G96" i="2" l="1"/>
  <c r="F96" i="2"/>
  <c r="K96" i="2" s="1"/>
  <c r="L96" i="2"/>
  <c r="J96" i="2" l="1"/>
  <c r="M96" i="2" s="1"/>
  <c r="N96" i="2" s="1"/>
  <c r="H96" i="2"/>
  <c r="I96" i="2" s="1"/>
  <c r="B97" i="2" l="1"/>
  <c r="C97" i="2"/>
  <c r="L97" i="2" l="1"/>
  <c r="G97" i="2"/>
  <c r="F97" i="2"/>
  <c r="K97" i="2" s="1"/>
  <c r="H97" i="2" l="1"/>
  <c r="I97" i="2" s="1"/>
  <c r="J97" i="2"/>
  <c r="M97" i="2" s="1"/>
  <c r="N97" i="2" s="1"/>
  <c r="C98" i="2" l="1"/>
  <c r="B98" i="2"/>
  <c r="L98" i="2" l="1"/>
  <c r="F98" i="2"/>
  <c r="K98" i="2" s="1"/>
  <c r="G98" i="2"/>
  <c r="H98" i="2" l="1"/>
  <c r="I98" i="2" s="1"/>
  <c r="J98" i="2"/>
  <c r="M98" i="2" s="1"/>
  <c r="N98" i="2" s="1"/>
  <c r="C99" i="2" l="1"/>
  <c r="B99" i="2"/>
  <c r="F99" i="2" l="1"/>
  <c r="K99" i="2" s="1"/>
  <c r="L99" i="2"/>
  <c r="G99" i="2"/>
  <c r="J99" i="2" l="1"/>
  <c r="M99" i="2" s="1"/>
  <c r="N99" i="2" s="1"/>
  <c r="H99" i="2"/>
  <c r="I99" i="2" s="1"/>
  <c r="C100" i="2" l="1"/>
  <c r="B100" i="2"/>
  <c r="G100" i="2" l="1"/>
  <c r="F100" i="2"/>
  <c r="K100" i="2" s="1"/>
  <c r="L100" i="2"/>
  <c r="H100" i="2" l="1"/>
  <c r="I100" i="2" s="1"/>
  <c r="J100" i="2"/>
  <c r="M100" i="2" s="1"/>
  <c r="N100" i="2" s="1"/>
  <c r="C101" i="2" l="1"/>
  <c r="B101" i="2"/>
  <c r="L101" i="2" l="1"/>
  <c r="F101" i="2"/>
  <c r="K101" i="2" s="1"/>
  <c r="G101" i="2"/>
  <c r="J101" i="2" l="1"/>
  <c r="M101" i="2" s="1"/>
  <c r="N101" i="2" s="1"/>
  <c r="H101" i="2"/>
  <c r="I101" i="2" s="1"/>
  <c r="C102" i="2" l="1"/>
  <c r="B102" i="2"/>
  <c r="G102" i="2" l="1"/>
  <c r="F102" i="2"/>
  <c r="K102" i="2" s="1"/>
  <c r="L102" i="2"/>
  <c r="J102" i="2" l="1"/>
  <c r="M102" i="2" s="1"/>
  <c r="N102" i="2" s="1"/>
  <c r="H102" i="2"/>
  <c r="I102" i="2" s="1"/>
  <c r="C103" i="2" l="1"/>
  <c r="B103" i="2"/>
  <c r="G103" i="2" l="1"/>
  <c r="F103" i="2"/>
  <c r="K103" i="2" s="1"/>
  <c r="L103" i="2"/>
  <c r="H103" i="2" l="1"/>
  <c r="I103" i="2" s="1"/>
  <c r="J103" i="2"/>
  <c r="M103" i="2" s="1"/>
  <c r="N103" i="2" s="1"/>
  <c r="C104" i="2" l="1"/>
  <c r="B104" i="2"/>
  <c r="L104" i="2" l="1"/>
  <c r="G104" i="2"/>
  <c r="F104" i="2"/>
  <c r="K104" i="2" s="1"/>
  <c r="H104" i="2" l="1"/>
  <c r="I104" i="2" s="1"/>
  <c r="J104" i="2"/>
  <c r="M104" i="2" s="1"/>
  <c r="N104" i="2" s="1"/>
  <c r="B105" i="2" l="1"/>
  <c r="C105" i="2"/>
  <c r="L105" i="2" l="1"/>
  <c r="F105" i="2"/>
  <c r="K105" i="2" s="1"/>
  <c r="G105" i="2"/>
  <c r="J105" i="2" l="1"/>
  <c r="M105" i="2" s="1"/>
  <c r="N105" i="2" s="1"/>
  <c r="H105" i="2"/>
  <c r="I105" i="2" s="1"/>
  <c r="B106" i="2" l="1"/>
  <c r="C106" i="2"/>
  <c r="G106" i="2" l="1"/>
  <c r="F106" i="2"/>
  <c r="K106" i="2" s="1"/>
  <c r="L106" i="2"/>
  <c r="J106" i="2" l="1"/>
  <c r="M106" i="2" s="1"/>
  <c r="N106" i="2" s="1"/>
  <c r="H106" i="2"/>
  <c r="I106" i="2" s="1"/>
  <c r="B107" i="2" l="1"/>
  <c r="C107" i="2"/>
  <c r="L107" i="2" l="1"/>
  <c r="G107" i="2"/>
  <c r="F107" i="2"/>
  <c r="K107" i="2" s="1"/>
  <c r="H107" i="2" l="1"/>
  <c r="I107" i="2" s="1"/>
  <c r="J107" i="2"/>
  <c r="M107" i="2" s="1"/>
  <c r="N107" i="2" s="1"/>
  <c r="C108" i="2" l="1"/>
  <c r="B108" i="2"/>
  <c r="L108" i="2" l="1"/>
  <c r="F108" i="2"/>
  <c r="K108" i="2" s="1"/>
  <c r="G108" i="2"/>
  <c r="J108" i="2" l="1"/>
  <c r="M108" i="2" s="1"/>
  <c r="N108" i="2" s="1"/>
  <c r="H108" i="2"/>
  <c r="I108" i="2" s="1"/>
  <c r="C109" i="2" l="1"/>
  <c r="B109" i="2"/>
  <c r="F109" i="2" l="1"/>
  <c r="K109" i="2" s="1"/>
  <c r="L109" i="2"/>
  <c r="G109" i="2"/>
  <c r="J109" i="2" l="1"/>
  <c r="M109" i="2" s="1"/>
  <c r="N109" i="2" s="1"/>
  <c r="H109" i="2"/>
  <c r="I109" i="2" s="1"/>
  <c r="C110" i="2" l="1"/>
  <c r="B110" i="2"/>
  <c r="G110" i="2" l="1"/>
  <c r="L110" i="2"/>
  <c r="F110" i="2"/>
  <c r="K110" i="2" s="1"/>
  <c r="J110" i="2" l="1"/>
  <c r="M110" i="2" s="1"/>
  <c r="N110" i="2" s="1"/>
  <c r="H110" i="2"/>
  <c r="I110" i="2" s="1"/>
  <c r="C111" i="2" l="1"/>
  <c r="B111" i="2"/>
  <c r="L111" i="2" s="1"/>
  <c r="F111" i="2" l="1"/>
  <c r="K111" i="2" s="1"/>
  <c r="G111" i="2"/>
  <c r="J111" i="2" s="1"/>
  <c r="M111" i="2" s="1"/>
  <c r="N111" i="2" s="1"/>
  <c r="H111" i="2" l="1"/>
  <c r="I111" i="2" s="1"/>
  <c r="B112" i="2" s="1"/>
  <c r="C112" i="2" l="1"/>
  <c r="L112" i="2" s="1"/>
  <c r="G112" i="2"/>
  <c r="F112" i="2" l="1"/>
  <c r="K112" i="2" s="1"/>
  <c r="H112" i="2"/>
  <c r="I112" i="2" s="1"/>
  <c r="J112" i="2"/>
  <c r="M112" i="2" s="1"/>
  <c r="N112" i="2" s="1"/>
  <c r="B113" i="2" l="1"/>
  <c r="C113" i="2"/>
  <c r="L113" i="2" l="1"/>
  <c r="F113" i="2"/>
  <c r="K113" i="2" s="1"/>
  <c r="G113" i="2"/>
  <c r="J113" i="2" l="1"/>
  <c r="M113" i="2" s="1"/>
  <c r="N113" i="2" s="1"/>
  <c r="H113" i="2"/>
  <c r="I113" i="2" s="1"/>
  <c r="B114" i="2" l="1"/>
  <c r="C114" i="2"/>
  <c r="L114" i="2" l="1"/>
  <c r="G114" i="2"/>
  <c r="F114" i="2"/>
  <c r="K114" i="2" s="1"/>
  <c r="H114" i="2" l="1"/>
  <c r="I114" i="2" s="1"/>
  <c r="J114" i="2"/>
  <c r="M114" i="2" s="1"/>
  <c r="N114" i="2" s="1"/>
  <c r="C115" i="2" l="1"/>
  <c r="B115" i="2"/>
  <c r="F115" i="2" l="1"/>
  <c r="K115" i="2" s="1"/>
  <c r="G115" i="2"/>
  <c r="L115" i="2"/>
  <c r="J115" i="2" l="1"/>
  <c r="M115" i="2" s="1"/>
  <c r="N115" i="2" s="1"/>
  <c r="H115" i="2"/>
  <c r="I115" i="2" s="1"/>
  <c r="C116" i="2" l="1"/>
  <c r="B116" i="2"/>
  <c r="G116" i="2" l="1"/>
  <c r="F116" i="2"/>
  <c r="K116" i="2" s="1"/>
  <c r="L116" i="2"/>
  <c r="J116" i="2" l="1"/>
  <c r="M116" i="2" s="1"/>
  <c r="N116" i="2" s="1"/>
  <c r="H116" i="2"/>
  <c r="I116" i="2" s="1"/>
  <c r="B117" i="2" l="1"/>
  <c r="C117" i="2"/>
  <c r="G117" i="2" l="1"/>
  <c r="F117" i="2"/>
  <c r="K117" i="2" s="1"/>
  <c r="L117" i="2"/>
  <c r="J117" i="2" l="1"/>
  <c r="M117" i="2" s="1"/>
  <c r="N117" i="2" s="1"/>
  <c r="H117" i="2"/>
  <c r="I117" i="2" s="1"/>
  <c r="B118" i="2" l="1"/>
  <c r="C118" i="2"/>
  <c r="L118" i="2" l="1"/>
  <c r="F118" i="2"/>
  <c r="K118" i="2" s="1"/>
  <c r="G118" i="2"/>
  <c r="J118" i="2" l="1"/>
  <c r="M118" i="2" s="1"/>
  <c r="N118" i="2" s="1"/>
  <c r="H118" i="2"/>
  <c r="I118" i="2" s="1"/>
  <c r="C119" i="2" l="1"/>
  <c r="B119" i="2"/>
  <c r="L119" i="2" l="1"/>
  <c r="G119" i="2"/>
  <c r="F119" i="2"/>
  <c r="K119" i="2" s="1"/>
  <c r="H119" i="2" l="1"/>
  <c r="I119" i="2" s="1"/>
  <c r="J119" i="2"/>
  <c r="M119" i="2" s="1"/>
  <c r="N119" i="2" s="1"/>
  <c r="B120" i="2" l="1"/>
  <c r="C120" i="2"/>
  <c r="G120" i="2" l="1"/>
  <c r="F120" i="2"/>
  <c r="K120" i="2" s="1"/>
  <c r="L120" i="2"/>
  <c r="J120" i="2" l="1"/>
  <c r="M120" i="2" s="1"/>
  <c r="N120" i="2" s="1"/>
  <c r="H120" i="2"/>
  <c r="I120" i="2" s="1"/>
  <c r="B121" i="2" l="1"/>
  <c r="C121" i="2"/>
  <c r="G121" i="2" l="1"/>
  <c r="F121" i="2"/>
  <c r="K121" i="2" s="1"/>
  <c r="L121" i="2"/>
  <c r="J121" i="2" l="1"/>
  <c r="M121" i="2" s="1"/>
  <c r="N121" i="2" s="1"/>
  <c r="H121" i="2"/>
  <c r="I121" i="2" s="1"/>
  <c r="C122" i="2" l="1"/>
  <c r="B122" i="2"/>
  <c r="G122" i="2" l="1"/>
  <c r="L122" i="2"/>
  <c r="F122" i="2"/>
  <c r="K122" i="2" s="1"/>
  <c r="H122" i="2" l="1"/>
  <c r="I122" i="2" s="1"/>
  <c r="J122" i="2"/>
  <c r="M122" i="2" s="1"/>
  <c r="N122" i="2" s="1"/>
  <c r="B123" i="2" l="1"/>
  <c r="C123" i="2"/>
  <c r="F123" i="2" l="1"/>
  <c r="K123" i="2" s="1"/>
  <c r="L123" i="2"/>
  <c r="G123" i="2"/>
  <c r="H123" i="2" l="1"/>
  <c r="I123" i="2" s="1"/>
  <c r="J123" i="2"/>
  <c r="M123" i="2" s="1"/>
  <c r="N123" i="2" s="1"/>
  <c r="B124" i="2" l="1"/>
  <c r="C124" i="2"/>
  <c r="L124" i="2" l="1"/>
  <c r="F124" i="2"/>
  <c r="K124" i="2" s="1"/>
  <c r="G124" i="2"/>
  <c r="J124" i="2" l="1"/>
  <c r="M124" i="2" s="1"/>
  <c r="N124" i="2" s="1"/>
  <c r="H124" i="2"/>
  <c r="I124" i="2" s="1"/>
  <c r="C125" i="2" l="1"/>
  <c r="B125" i="2"/>
  <c r="L125" i="2" l="1"/>
  <c r="F125" i="2"/>
  <c r="K125" i="2" s="1"/>
  <c r="G125" i="2"/>
  <c r="J125" i="2" l="1"/>
  <c r="M125" i="2" s="1"/>
  <c r="N125" i="2" s="1"/>
  <c r="H125" i="2"/>
  <c r="I125" i="2" s="1"/>
  <c r="B126" i="2" l="1"/>
  <c r="C126" i="2"/>
  <c r="G126" i="2" l="1"/>
  <c r="F126" i="2"/>
  <c r="K126" i="2" s="1"/>
  <c r="L126" i="2"/>
  <c r="J126" i="2" l="1"/>
  <c r="M126" i="2" s="1"/>
  <c r="N126" i="2" s="1"/>
  <c r="H126" i="2"/>
  <c r="I126" i="2" s="1"/>
  <c r="B127" i="2" l="1"/>
  <c r="C127" i="2"/>
  <c r="G127" i="2" l="1"/>
  <c r="L127" i="2"/>
  <c r="F127" i="2"/>
  <c r="K127" i="2" s="1"/>
  <c r="H127" i="2" l="1"/>
  <c r="I127" i="2" s="1"/>
  <c r="J127" i="2"/>
  <c r="M127" i="2" s="1"/>
  <c r="N127" i="2" s="1"/>
  <c r="C128" i="2" l="1"/>
  <c r="B128" i="2"/>
  <c r="L128" i="2" l="1"/>
  <c r="F128" i="2"/>
  <c r="K128" i="2" s="1"/>
  <c r="G128" i="2"/>
  <c r="J128" i="2" l="1"/>
  <c r="M128" i="2" s="1"/>
  <c r="N128" i="2" s="1"/>
  <c r="H128" i="2"/>
  <c r="I128" i="2" s="1"/>
  <c r="B129" i="2" l="1"/>
  <c r="C129" i="2"/>
  <c r="L129" i="2" l="1"/>
  <c r="F129" i="2"/>
  <c r="K129" i="2" s="1"/>
  <c r="G129" i="2"/>
  <c r="J129" i="2" l="1"/>
  <c r="M129" i="2" s="1"/>
  <c r="N129" i="2" s="1"/>
  <c r="H129" i="2"/>
  <c r="I129" i="2" s="1"/>
  <c r="C130" i="2" l="1"/>
  <c r="B130" i="2"/>
  <c r="G130" i="2" l="1"/>
  <c r="L130" i="2"/>
  <c r="F130" i="2"/>
  <c r="K130" i="2" s="1"/>
  <c r="J130" i="2" l="1"/>
  <c r="M130" i="2" s="1"/>
  <c r="N130" i="2" s="1"/>
  <c r="H130" i="2"/>
  <c r="I130" i="2" s="1"/>
  <c r="C131" i="2" l="1"/>
  <c r="B131" i="2"/>
  <c r="F131" i="2" l="1"/>
  <c r="K131" i="2" s="1"/>
  <c r="L131" i="2"/>
  <c r="G131" i="2"/>
  <c r="J131" i="2" l="1"/>
  <c r="M131" i="2" s="1"/>
  <c r="N131" i="2" s="1"/>
  <c r="H131" i="2"/>
  <c r="I131" i="2" s="1"/>
  <c r="C132" i="2" l="1"/>
  <c r="B132" i="2"/>
  <c r="G132" i="2" l="1"/>
  <c r="L132" i="2"/>
  <c r="F132" i="2"/>
  <c r="K132" i="2" s="1"/>
  <c r="H132" i="2" l="1"/>
  <c r="I132" i="2" s="1"/>
  <c r="J132" i="2"/>
  <c r="M132" i="2" s="1"/>
  <c r="N132" i="2" s="1"/>
  <c r="B133" i="2" l="1"/>
  <c r="C133" i="2"/>
  <c r="F133" i="2" l="1"/>
  <c r="K133" i="2" s="1"/>
  <c r="G133" i="2"/>
  <c r="L133" i="2"/>
  <c r="H133" i="2" l="1"/>
  <c r="I133" i="2" s="1"/>
  <c r="J133" i="2"/>
  <c r="M133" i="2" s="1"/>
  <c r="N133" i="2" s="1"/>
  <c r="B134" i="2" l="1"/>
  <c r="C134" i="2"/>
  <c r="F134" i="2" l="1"/>
  <c r="K134" i="2" s="1"/>
  <c r="L134" i="2"/>
  <c r="G134" i="2"/>
  <c r="H134" i="2" l="1"/>
  <c r="I134" i="2" s="1"/>
  <c r="J134" i="2"/>
  <c r="M134" i="2" s="1"/>
  <c r="N134" i="2" s="1"/>
  <c r="B135" i="2" l="1"/>
  <c r="C135" i="2"/>
  <c r="F135" i="2" l="1"/>
  <c r="K135" i="2" s="1"/>
  <c r="G135" i="2"/>
  <c r="L135" i="2"/>
  <c r="J135" i="2" l="1"/>
  <c r="M135" i="2" s="1"/>
  <c r="N135" i="2" s="1"/>
  <c r="H135" i="2"/>
  <c r="I135" i="2" s="1"/>
  <c r="B136" i="2" l="1"/>
  <c r="C136" i="2"/>
  <c r="F136" i="2" l="1"/>
  <c r="K136" i="2" s="1"/>
  <c r="G136" i="2"/>
  <c r="L136" i="2"/>
  <c r="J136" i="2" l="1"/>
  <c r="M136" i="2" s="1"/>
  <c r="N136" i="2" s="1"/>
  <c r="H136" i="2"/>
  <c r="I136" i="2" s="1"/>
  <c r="C137" i="2" l="1"/>
  <c r="B137" i="2"/>
  <c r="L137" i="2" l="1"/>
  <c r="F137" i="2"/>
  <c r="K137" i="2" s="1"/>
  <c r="G137" i="2"/>
  <c r="J137" i="2" l="1"/>
  <c r="M137" i="2" s="1"/>
  <c r="N137" i="2" s="1"/>
  <c r="H137" i="2"/>
  <c r="I137" i="2" s="1"/>
  <c r="C138" i="2" l="1"/>
  <c r="B138" i="2"/>
  <c r="F138" i="2" l="1"/>
  <c r="K138" i="2" s="1"/>
  <c r="G138" i="2"/>
  <c r="L138" i="2"/>
  <c r="H138" i="2" l="1"/>
  <c r="I138" i="2" s="1"/>
  <c r="J138" i="2"/>
  <c r="M138" i="2" s="1"/>
  <c r="N138" i="2" s="1"/>
  <c r="C139" i="2" l="1"/>
  <c r="B139" i="2"/>
  <c r="G139" i="2" l="1"/>
  <c r="L139" i="2"/>
  <c r="F139" i="2"/>
  <c r="K139" i="2" s="1"/>
  <c r="H139" i="2" l="1"/>
  <c r="I139" i="2" s="1"/>
  <c r="J139" i="2"/>
  <c r="M139" i="2" s="1"/>
  <c r="N139" i="2" s="1"/>
  <c r="C140" i="2" l="1"/>
  <c r="B140" i="2"/>
  <c r="L140" i="2" l="1"/>
  <c r="F140" i="2"/>
  <c r="K140" i="2" s="1"/>
  <c r="G140" i="2"/>
  <c r="H140" i="2" l="1"/>
  <c r="I140" i="2" s="1"/>
  <c r="J140" i="2"/>
  <c r="M140" i="2" s="1"/>
  <c r="N140" i="2" s="1"/>
  <c r="C141" i="2" l="1"/>
  <c r="B141" i="2"/>
  <c r="G141" i="2" l="1"/>
  <c r="F141" i="2"/>
  <c r="K141" i="2" s="1"/>
  <c r="L141" i="2"/>
  <c r="H141" i="2" l="1"/>
  <c r="I141" i="2" s="1"/>
  <c r="J141" i="2"/>
  <c r="M141" i="2" s="1"/>
  <c r="N141" i="2" s="1"/>
  <c r="C142" i="2" l="1"/>
  <c r="B142" i="2"/>
  <c r="G142" i="2" l="1"/>
  <c r="F142" i="2"/>
  <c r="K142" i="2" s="1"/>
  <c r="L142" i="2"/>
  <c r="J142" i="2" l="1"/>
  <c r="M142" i="2" s="1"/>
  <c r="N142" i="2" s="1"/>
  <c r="H142" i="2"/>
  <c r="I142" i="2" s="1"/>
  <c r="B143" i="2" l="1"/>
  <c r="C143" i="2"/>
  <c r="L143" i="2" l="1"/>
  <c r="G143" i="2"/>
  <c r="F143" i="2"/>
  <c r="K143" i="2" s="1"/>
  <c r="H143" i="2" l="1"/>
  <c r="I143" i="2" s="1"/>
  <c r="J143" i="2"/>
  <c r="M143" i="2" s="1"/>
  <c r="N143" i="2" s="1"/>
  <c r="C144" i="2" l="1"/>
  <c r="B144" i="2"/>
  <c r="G144" i="2" l="1"/>
  <c r="L144" i="2"/>
  <c r="F144" i="2"/>
  <c r="K144" i="2" s="1"/>
  <c r="H144" i="2" l="1"/>
  <c r="I144" i="2" s="1"/>
  <c r="J144" i="2"/>
  <c r="M144" i="2" s="1"/>
  <c r="N144" i="2" s="1"/>
  <c r="B145" i="2" l="1"/>
  <c r="C145" i="2"/>
  <c r="L145" i="2" l="1"/>
  <c r="G145" i="2"/>
  <c r="F145" i="2"/>
  <c r="K145" i="2" s="1"/>
  <c r="H145" i="2" l="1"/>
  <c r="I145" i="2" s="1"/>
  <c r="J145" i="2"/>
  <c r="M145" i="2" s="1"/>
  <c r="N145" i="2" s="1"/>
  <c r="C146" i="2" l="1"/>
  <c r="B146" i="2"/>
  <c r="G146" i="2" l="1"/>
  <c r="L146" i="2"/>
  <c r="F146" i="2"/>
  <c r="K146" i="2" s="1"/>
  <c r="J146" i="2" l="1"/>
  <c r="M146" i="2" s="1"/>
  <c r="N146" i="2" s="1"/>
  <c r="H146" i="2"/>
  <c r="I146" i="2" s="1"/>
  <c r="B147" i="2" l="1"/>
  <c r="C147" i="2"/>
  <c r="G147" i="2" l="1"/>
  <c r="L147" i="2"/>
  <c r="F147" i="2"/>
  <c r="K147" i="2" s="1"/>
  <c r="H147" i="2" l="1"/>
  <c r="I147" i="2" s="1"/>
  <c r="J147" i="2"/>
  <c r="M147" i="2" s="1"/>
  <c r="N147" i="2" s="1"/>
  <c r="B148" i="2" l="1"/>
  <c r="C148" i="2"/>
  <c r="F148" i="2" l="1"/>
  <c r="K148" i="2" s="1"/>
  <c r="G148" i="2"/>
  <c r="L148" i="2"/>
  <c r="H148" i="2" l="1"/>
  <c r="I148" i="2" s="1"/>
  <c r="J148" i="2"/>
  <c r="M148" i="2" s="1"/>
  <c r="N148" i="2" s="1"/>
  <c r="C149" i="2" l="1"/>
  <c r="B149" i="2"/>
  <c r="G149" i="2" l="1"/>
  <c r="L149" i="2"/>
  <c r="F149" i="2"/>
  <c r="K149" i="2" s="1"/>
  <c r="J149" i="2" l="1"/>
  <c r="M149" i="2" s="1"/>
  <c r="N149" i="2" s="1"/>
  <c r="H149" i="2"/>
  <c r="I149" i="2" s="1"/>
  <c r="C150" i="2" l="1"/>
  <c r="B150" i="2"/>
  <c r="F150" i="2" l="1"/>
  <c r="K150" i="2" s="1"/>
  <c r="G150" i="2"/>
  <c r="L150" i="2"/>
  <c r="J150" i="2" l="1"/>
  <c r="M150" i="2" s="1"/>
  <c r="N150" i="2" s="1"/>
  <c r="H150" i="2"/>
  <c r="I150" i="2" s="1"/>
  <c r="C151" i="2" l="1"/>
  <c r="B151" i="2"/>
  <c r="L151" i="2" l="1"/>
  <c r="G151" i="2"/>
  <c r="F151" i="2"/>
  <c r="K151" i="2" s="1"/>
  <c r="J151" i="2" l="1"/>
  <c r="M151" i="2" s="1"/>
  <c r="N151" i="2" s="1"/>
  <c r="H151" i="2"/>
  <c r="I151" i="2" s="1"/>
  <c r="B152" i="2" l="1"/>
  <c r="C152" i="2"/>
  <c r="F152" i="2" l="1"/>
  <c r="K152" i="2" s="1"/>
  <c r="G152" i="2"/>
  <c r="L152" i="2"/>
  <c r="J152" i="2" l="1"/>
  <c r="M152" i="2" s="1"/>
  <c r="N152" i="2" s="1"/>
  <c r="H152" i="2"/>
  <c r="I152" i="2" s="1"/>
  <c r="B153" i="2" l="1"/>
  <c r="C153" i="2"/>
  <c r="F153" i="2" l="1"/>
  <c r="K153" i="2" s="1"/>
  <c r="L153" i="2"/>
  <c r="G153" i="2"/>
  <c r="J153" i="2" l="1"/>
  <c r="M153" i="2" s="1"/>
  <c r="N153" i="2" s="1"/>
  <c r="H153" i="2"/>
  <c r="I153" i="2" s="1"/>
  <c r="B154" i="2" l="1"/>
  <c r="C154" i="2"/>
  <c r="F154" i="2" l="1"/>
  <c r="K154" i="2" s="1"/>
  <c r="G154" i="2"/>
  <c r="L154" i="2"/>
  <c r="H154" i="2" l="1"/>
  <c r="I154" i="2" s="1"/>
  <c r="J154" i="2"/>
  <c r="M154" i="2" s="1"/>
  <c r="N154" i="2" s="1"/>
  <c r="B155" i="2" l="1"/>
  <c r="C155" i="2"/>
  <c r="L155" i="2" l="1"/>
  <c r="F155" i="2"/>
  <c r="K155" i="2" s="1"/>
  <c r="G155" i="2"/>
  <c r="H155" i="2" l="1"/>
  <c r="I155" i="2" s="1"/>
  <c r="J155" i="2"/>
  <c r="M155" i="2" s="1"/>
  <c r="N155" i="2" s="1"/>
  <c r="C156" i="2" l="1"/>
  <c r="B156" i="2"/>
  <c r="L156" i="2" l="1"/>
  <c r="G156" i="2"/>
  <c r="F156" i="2"/>
  <c r="K156" i="2" s="1"/>
  <c r="H156" i="2" l="1"/>
  <c r="I156" i="2" s="1"/>
  <c r="J156" i="2"/>
  <c r="M156" i="2" s="1"/>
  <c r="N156" i="2" s="1"/>
  <c r="B157" i="2" l="1"/>
  <c r="C157" i="2"/>
  <c r="F157" i="2" l="1"/>
  <c r="K157" i="2" s="1"/>
  <c r="G157" i="2"/>
  <c r="L157" i="2"/>
  <c r="H157" i="2" l="1"/>
  <c r="I157" i="2" s="1"/>
  <c r="J157" i="2"/>
  <c r="M157" i="2" s="1"/>
  <c r="N157" i="2" s="1"/>
  <c r="B158" i="2" l="1"/>
  <c r="C158" i="2"/>
  <c r="G158" i="2" l="1"/>
  <c r="F158" i="2"/>
  <c r="K158" i="2" s="1"/>
  <c r="L158" i="2"/>
  <c r="H158" i="2" l="1"/>
  <c r="I158" i="2" s="1"/>
  <c r="J158" i="2"/>
  <c r="M158" i="2" s="1"/>
  <c r="N158" i="2" s="1"/>
  <c r="B159" i="2" l="1"/>
  <c r="C159" i="2"/>
  <c r="L159" i="2" l="1"/>
  <c r="F159" i="2"/>
  <c r="K159" i="2" s="1"/>
  <c r="G159" i="2"/>
  <c r="J159" i="2" l="1"/>
  <c r="M159" i="2" s="1"/>
  <c r="N159" i="2" s="1"/>
  <c r="H159" i="2"/>
  <c r="I159" i="2" s="1"/>
  <c r="B160" i="2" l="1"/>
  <c r="C160" i="2"/>
  <c r="L160" i="2" l="1"/>
  <c r="F160" i="2"/>
  <c r="K160" i="2" s="1"/>
  <c r="G160" i="2"/>
  <c r="J160" i="2" l="1"/>
  <c r="M160" i="2" s="1"/>
  <c r="N160" i="2" s="1"/>
  <c r="H160" i="2"/>
  <c r="I160" i="2" s="1"/>
  <c r="B161" i="2" l="1"/>
  <c r="C161" i="2"/>
  <c r="F161" i="2" l="1"/>
  <c r="K161" i="2" s="1"/>
  <c r="G161" i="2"/>
  <c r="L161" i="2"/>
  <c r="H161" i="2" l="1"/>
  <c r="I161" i="2" s="1"/>
  <c r="J161" i="2"/>
  <c r="M161" i="2" s="1"/>
  <c r="N161" i="2" s="1"/>
  <c r="B162" i="2" l="1"/>
  <c r="C162" i="2"/>
  <c r="G162" i="2" l="1"/>
  <c r="F162" i="2"/>
  <c r="K162" i="2" s="1"/>
  <c r="L162" i="2"/>
  <c r="H162" i="2" l="1"/>
  <c r="I162" i="2" s="1"/>
  <c r="J162" i="2"/>
  <c r="M162" i="2" s="1"/>
  <c r="N162" i="2" s="1"/>
  <c r="C163" i="2" l="1"/>
  <c r="B163" i="2"/>
  <c r="L163" i="2" l="1"/>
  <c r="F163" i="2"/>
  <c r="K163" i="2" s="1"/>
  <c r="G163" i="2"/>
  <c r="J163" i="2" l="1"/>
  <c r="M163" i="2" s="1"/>
  <c r="N163" i="2" s="1"/>
  <c r="H163" i="2"/>
  <c r="I163" i="2" s="1"/>
  <c r="C164" i="2" l="1"/>
  <c r="B164" i="2"/>
  <c r="G164" i="2" l="1"/>
  <c r="F164" i="2"/>
  <c r="K164" i="2" s="1"/>
  <c r="L164" i="2"/>
  <c r="H164" i="2" l="1"/>
  <c r="I164" i="2" s="1"/>
  <c r="J164" i="2"/>
  <c r="M164" i="2" s="1"/>
  <c r="N164" i="2" s="1"/>
  <c r="C165" i="2" l="1"/>
  <c r="B165" i="2"/>
  <c r="F165" i="2" l="1"/>
  <c r="K165" i="2" s="1"/>
  <c r="L165" i="2"/>
  <c r="G165" i="2"/>
  <c r="J165" i="2" l="1"/>
  <c r="M165" i="2" s="1"/>
  <c r="N165" i="2" s="1"/>
  <c r="H165" i="2"/>
  <c r="I165" i="2" s="1"/>
  <c r="B166" i="2" l="1"/>
  <c r="C166" i="2"/>
  <c r="L166" i="2" l="1"/>
  <c r="G166" i="2"/>
  <c r="F166" i="2"/>
  <c r="K166" i="2" s="1"/>
  <c r="H166" i="2" l="1"/>
  <c r="I166" i="2" s="1"/>
  <c r="J166" i="2"/>
  <c r="M166" i="2" s="1"/>
  <c r="N166" i="2" s="1"/>
  <c r="B167" i="2" l="1"/>
  <c r="C167" i="2"/>
  <c r="F167" i="2" l="1"/>
  <c r="K167" i="2" s="1"/>
  <c r="L167" i="2"/>
  <c r="G167" i="2"/>
  <c r="J167" i="2" l="1"/>
  <c r="M167" i="2" s="1"/>
  <c r="N167" i="2" s="1"/>
  <c r="H167" i="2"/>
  <c r="I167" i="2" s="1"/>
  <c r="C168" i="2" l="1"/>
  <c r="B168" i="2"/>
  <c r="F168" i="2" l="1"/>
  <c r="K168" i="2" s="1"/>
  <c r="G168" i="2"/>
  <c r="L168" i="2"/>
  <c r="H168" i="2" l="1"/>
  <c r="I168" i="2" s="1"/>
  <c r="J168" i="2"/>
  <c r="M168" i="2" s="1"/>
  <c r="N168" i="2" s="1"/>
  <c r="B169" i="2" l="1"/>
  <c r="C169" i="2"/>
  <c r="L169" i="2" l="1"/>
  <c r="G169" i="2"/>
  <c r="F169" i="2"/>
  <c r="K169" i="2" s="1"/>
  <c r="H169" i="2" l="1"/>
  <c r="I169" i="2" s="1"/>
  <c r="J169" i="2"/>
  <c r="M169" i="2" s="1"/>
  <c r="N169" i="2" s="1"/>
  <c r="B170" i="2" l="1"/>
  <c r="C170" i="2"/>
  <c r="L170" i="2" l="1"/>
  <c r="G170" i="2"/>
  <c r="F170" i="2"/>
  <c r="K170" i="2" s="1"/>
  <c r="H170" i="2" l="1"/>
  <c r="I170" i="2" s="1"/>
  <c r="J170" i="2"/>
  <c r="M170" i="2" s="1"/>
  <c r="N170" i="2" s="1"/>
  <c r="B171" i="2" l="1"/>
  <c r="C171" i="2"/>
  <c r="L171" i="2" l="1"/>
  <c r="F171" i="2"/>
  <c r="K171" i="2" s="1"/>
  <c r="G171" i="2"/>
  <c r="H171" i="2" l="1"/>
  <c r="I171" i="2" s="1"/>
  <c r="J171" i="2"/>
  <c r="M171" i="2" s="1"/>
  <c r="N171" i="2" s="1"/>
  <c r="C172" i="2" l="1"/>
  <c r="B172" i="2"/>
  <c r="G172" i="2" l="1"/>
  <c r="F172" i="2"/>
  <c r="K172" i="2" s="1"/>
  <c r="L172" i="2"/>
  <c r="J172" i="2" l="1"/>
  <c r="M172" i="2" s="1"/>
  <c r="N172" i="2" s="1"/>
  <c r="H172" i="2"/>
  <c r="I172" i="2" s="1"/>
  <c r="B173" i="2" l="1"/>
  <c r="C173" i="2"/>
  <c r="F173" i="2" l="1"/>
  <c r="K173" i="2" s="1"/>
  <c r="G173" i="2"/>
  <c r="L173" i="2"/>
  <c r="J173" i="2" l="1"/>
  <c r="M173" i="2" s="1"/>
  <c r="N173" i="2" s="1"/>
  <c r="H173" i="2"/>
  <c r="I173" i="2" s="1"/>
  <c r="B174" i="2" l="1"/>
  <c r="C174" i="2"/>
  <c r="L174" i="2" l="1"/>
  <c r="G174" i="2"/>
  <c r="F174" i="2"/>
  <c r="K174" i="2" s="1"/>
  <c r="J174" i="2" l="1"/>
  <c r="M174" i="2" s="1"/>
  <c r="N174" i="2" s="1"/>
  <c r="H174" i="2"/>
  <c r="I174" i="2" s="1"/>
  <c r="B175" i="2" l="1"/>
  <c r="C175" i="2"/>
  <c r="F175" i="2" l="1"/>
  <c r="K175" i="2" s="1"/>
  <c r="L175" i="2"/>
  <c r="G175" i="2"/>
  <c r="J175" i="2" l="1"/>
  <c r="M175" i="2" s="1"/>
  <c r="N175" i="2" s="1"/>
  <c r="H175" i="2"/>
  <c r="I175" i="2" s="1"/>
  <c r="C176" i="2" l="1"/>
  <c r="B176" i="2"/>
  <c r="L176" i="2" l="1"/>
  <c r="F176" i="2"/>
  <c r="K176" i="2" s="1"/>
  <c r="G176" i="2"/>
  <c r="H176" i="2" s="1"/>
  <c r="I176" i="2" s="1"/>
  <c r="J176" i="2" l="1"/>
  <c r="M176" i="2" s="1"/>
  <c r="N176" i="2" s="1"/>
  <c r="C177" i="2"/>
  <c r="B177" i="2"/>
  <c r="G177" i="2" l="1"/>
  <c r="F177" i="2"/>
  <c r="K177" i="2" s="1"/>
  <c r="L177" i="2"/>
  <c r="H177" i="2" l="1"/>
  <c r="I177" i="2" s="1"/>
  <c r="J177" i="2"/>
  <c r="M177" i="2" s="1"/>
  <c r="N177" i="2" s="1"/>
  <c r="B178" i="2" l="1"/>
  <c r="C178" i="2"/>
  <c r="F178" i="2" l="1"/>
  <c r="K178" i="2" s="1"/>
  <c r="L178" i="2"/>
  <c r="G178" i="2"/>
  <c r="J178" i="2" l="1"/>
  <c r="M178" i="2" s="1"/>
  <c r="N178" i="2" s="1"/>
  <c r="H178" i="2"/>
  <c r="I178" i="2" s="1"/>
  <c r="C179" i="2" l="1"/>
  <c r="B179" i="2"/>
  <c r="L179" i="2" l="1"/>
  <c r="F179" i="2"/>
  <c r="K179" i="2" s="1"/>
  <c r="G179" i="2"/>
  <c r="J179" i="2" l="1"/>
  <c r="M179" i="2" s="1"/>
  <c r="N179" i="2" s="1"/>
  <c r="H179" i="2"/>
  <c r="I179" i="2" s="1"/>
  <c r="C180" i="2" l="1"/>
  <c r="B180" i="2"/>
  <c r="G180" i="2" l="1"/>
  <c r="F180" i="2"/>
  <c r="K180" i="2" s="1"/>
  <c r="L180" i="2"/>
  <c r="J180" i="2" l="1"/>
  <c r="M180" i="2" s="1"/>
  <c r="N180" i="2" s="1"/>
  <c r="H180" i="2"/>
  <c r="I180" i="2"/>
  <c r="B181" i="2" l="1"/>
  <c r="C181" i="2"/>
  <c r="F181" i="2" l="1"/>
  <c r="K181" i="2" s="1"/>
  <c r="L181" i="2"/>
  <c r="G181" i="2"/>
  <c r="J181" i="2" l="1"/>
  <c r="M181" i="2" s="1"/>
  <c r="N181" i="2" s="1"/>
  <c r="H181" i="2"/>
  <c r="I181" i="2" s="1"/>
  <c r="C182" i="2" l="1"/>
  <c r="B182" i="2"/>
  <c r="F182" i="2" l="1"/>
  <c r="K182" i="2" s="1"/>
  <c r="L182" i="2"/>
  <c r="G182" i="2"/>
  <c r="J182" i="2" l="1"/>
  <c r="M182" i="2" s="1"/>
  <c r="N182" i="2" s="1"/>
  <c r="H182" i="2"/>
  <c r="I182" i="2" s="1"/>
  <c r="C183" i="2" l="1"/>
  <c r="B183" i="2"/>
  <c r="L183" i="2" l="1"/>
  <c r="G183" i="2"/>
  <c r="F183" i="2"/>
  <c r="K183" i="2" s="1"/>
  <c r="H183" i="2" l="1"/>
  <c r="I183" i="2" s="1"/>
  <c r="J183" i="2"/>
  <c r="M183" i="2" s="1"/>
  <c r="N183" i="2" s="1"/>
  <c r="B184" i="2" l="1"/>
  <c r="C184" i="2"/>
  <c r="L184" i="2" l="1"/>
  <c r="G184" i="2"/>
  <c r="F184" i="2"/>
  <c r="K184" i="2" s="1"/>
  <c r="H184" i="2" l="1"/>
  <c r="I184" i="2" s="1"/>
  <c r="J184" i="2"/>
  <c r="M184" i="2" s="1"/>
  <c r="N184" i="2" s="1"/>
  <c r="B185" i="2" l="1"/>
  <c r="C185" i="2"/>
  <c r="F185" i="2" l="1"/>
  <c r="K185" i="2" s="1"/>
  <c r="G185" i="2"/>
  <c r="L185" i="2"/>
  <c r="J185" i="2" l="1"/>
  <c r="M185" i="2" s="1"/>
  <c r="N185" i="2" s="1"/>
  <c r="H185" i="2"/>
  <c r="I185" i="2" s="1"/>
  <c r="C186" i="2" l="1"/>
  <c r="B186" i="2"/>
  <c r="G186" i="2" l="1"/>
  <c r="L186" i="2"/>
  <c r="F186" i="2"/>
  <c r="K186" i="2" s="1"/>
  <c r="H186" i="2" l="1"/>
  <c r="I186" i="2" s="1"/>
  <c r="J186" i="2"/>
  <c r="M186" i="2" s="1"/>
  <c r="N186" i="2" s="1"/>
  <c r="B187" i="2" l="1"/>
  <c r="C187" i="2"/>
  <c r="F187" i="2" l="1"/>
  <c r="K187" i="2" s="1"/>
  <c r="L187" i="2"/>
  <c r="G187" i="2"/>
  <c r="H187" i="2" l="1"/>
  <c r="I187" i="2" s="1"/>
  <c r="J187" i="2"/>
  <c r="M187" i="2" s="1"/>
  <c r="N187" i="2" s="1"/>
  <c r="C188" i="2" l="1"/>
  <c r="B188" i="2"/>
  <c r="G188" i="2" l="1"/>
  <c r="L188" i="2"/>
  <c r="F188" i="2"/>
  <c r="K188" i="2" s="1"/>
  <c r="J188" i="2" l="1"/>
  <c r="M188" i="2" s="1"/>
  <c r="N188" i="2" s="1"/>
  <c r="H188" i="2"/>
  <c r="I188" i="2" s="1"/>
  <c r="B189" i="2" l="1"/>
  <c r="C189" i="2"/>
  <c r="F189" i="2" l="1"/>
  <c r="K189" i="2" s="1"/>
  <c r="G189" i="2"/>
  <c r="L189" i="2"/>
  <c r="J189" i="2" l="1"/>
  <c r="M189" i="2" s="1"/>
  <c r="N189" i="2" s="1"/>
  <c r="H189" i="2"/>
  <c r="I189" i="2" s="1"/>
  <c r="C190" i="2" l="1"/>
  <c r="B190" i="2"/>
  <c r="F190" i="2" l="1"/>
  <c r="K190" i="2" s="1"/>
  <c r="G190" i="2"/>
  <c r="L190" i="2"/>
  <c r="J190" i="2" l="1"/>
  <c r="M190" i="2" s="1"/>
  <c r="N190" i="2" s="1"/>
  <c r="H190" i="2"/>
  <c r="I190" i="2" s="1"/>
  <c r="B191" i="2" l="1"/>
  <c r="C191" i="2"/>
  <c r="F191" i="2" l="1"/>
  <c r="K191" i="2" s="1"/>
  <c r="L191" i="2"/>
  <c r="G191" i="2"/>
  <c r="J191" i="2" l="1"/>
  <c r="M191" i="2" s="1"/>
  <c r="N191" i="2" s="1"/>
  <c r="H191" i="2"/>
  <c r="I191" i="2" s="1"/>
  <c r="B192" i="2" l="1"/>
  <c r="C192" i="2"/>
  <c r="G192" i="2" l="1"/>
  <c r="F192" i="2"/>
  <c r="K192" i="2" s="1"/>
  <c r="L192" i="2"/>
  <c r="H192" i="2" l="1"/>
  <c r="I192" i="2" s="1"/>
  <c r="J192" i="2"/>
  <c r="M192" i="2" s="1"/>
  <c r="N192" i="2" s="1"/>
  <c r="C193" i="2" l="1"/>
  <c r="B193" i="2"/>
  <c r="L193" i="2" l="1"/>
  <c r="G193" i="2"/>
  <c r="F193" i="2"/>
  <c r="K193" i="2" s="1"/>
  <c r="J193" i="2" l="1"/>
  <c r="M193" i="2" s="1"/>
  <c r="N193" i="2" s="1"/>
  <c r="H193" i="2"/>
  <c r="I193" i="2" s="1"/>
  <c r="B194" i="2" l="1"/>
  <c r="C194" i="2"/>
  <c r="F194" i="2" l="1"/>
  <c r="K194" i="2" s="1"/>
  <c r="G194" i="2"/>
  <c r="L194" i="2"/>
  <c r="J194" i="2" l="1"/>
  <c r="M194" i="2" s="1"/>
  <c r="N194" i="2" s="1"/>
  <c r="H194" i="2"/>
  <c r="I194" i="2" s="1"/>
  <c r="C195" i="2" l="1"/>
  <c r="B195" i="2"/>
  <c r="L195" i="2" l="1"/>
  <c r="F195" i="2"/>
  <c r="K195" i="2" s="1"/>
  <c r="G195" i="2"/>
  <c r="J195" i="2" l="1"/>
  <c r="M195" i="2" s="1"/>
  <c r="N195" i="2" s="1"/>
  <c r="H195" i="2"/>
  <c r="I195" i="2" s="1"/>
  <c r="C196" i="2" l="1"/>
  <c r="B196" i="2"/>
  <c r="G196" i="2" l="1"/>
  <c r="F196" i="2"/>
  <c r="K196" i="2" s="1"/>
  <c r="L196" i="2"/>
  <c r="J196" i="2" l="1"/>
  <c r="M196" i="2" s="1"/>
  <c r="N196" i="2" s="1"/>
  <c r="H196" i="2"/>
  <c r="I196" i="2" s="1"/>
  <c r="B197" i="2" l="1"/>
  <c r="C197" i="2"/>
  <c r="L197" i="2" l="1"/>
  <c r="G197" i="2"/>
  <c r="F197" i="2"/>
  <c r="K197" i="2" s="1"/>
  <c r="J197" i="2" l="1"/>
  <c r="M197" i="2" s="1"/>
  <c r="N197" i="2" s="1"/>
  <c r="H197" i="2"/>
  <c r="I197" i="2" s="1"/>
  <c r="C198" i="2" l="1"/>
  <c r="B198" i="2"/>
  <c r="L198" i="2" l="1"/>
  <c r="G198" i="2"/>
  <c r="H198" i="2" s="1"/>
  <c r="I198" i="2" s="1"/>
  <c r="F198" i="2"/>
  <c r="K198" i="2" s="1"/>
  <c r="J198" i="2" l="1"/>
  <c r="M198" i="2" s="1"/>
  <c r="N198" i="2" s="1"/>
  <c r="C199" i="2"/>
  <c r="B199" i="2"/>
  <c r="G199" i="2" l="1"/>
  <c r="L199" i="2"/>
  <c r="F199" i="2"/>
  <c r="K199" i="2" s="1"/>
  <c r="H199" i="2" l="1"/>
  <c r="I199" i="2" s="1"/>
  <c r="J199" i="2"/>
  <c r="M199" i="2" s="1"/>
  <c r="N199" i="2" s="1"/>
  <c r="C200" i="2" l="1"/>
  <c r="B200" i="2"/>
  <c r="G200" i="2" l="1"/>
  <c r="F200" i="2"/>
  <c r="K200" i="2" s="1"/>
  <c r="L200" i="2"/>
  <c r="H200" i="2" l="1"/>
  <c r="I200" i="2" s="1"/>
  <c r="J200" i="2"/>
  <c r="M200" i="2" s="1"/>
  <c r="N200" i="2" s="1"/>
  <c r="C201" i="2" l="1"/>
  <c r="B201" i="2"/>
  <c r="G201" i="2" l="1"/>
  <c r="L201" i="2"/>
  <c r="F201" i="2"/>
  <c r="K201" i="2" s="1"/>
  <c r="J201" i="2" l="1"/>
  <c r="M201" i="2" s="1"/>
  <c r="N201" i="2" s="1"/>
  <c r="H201" i="2"/>
  <c r="I201" i="2" s="1"/>
  <c r="C202" i="2" l="1"/>
  <c r="B202" i="2"/>
  <c r="L202" i="2" l="1"/>
  <c r="F202" i="2"/>
  <c r="K202" i="2" s="1"/>
  <c r="G202" i="2"/>
  <c r="H202" i="2" l="1"/>
  <c r="I202" i="2" s="1"/>
  <c r="J202" i="2"/>
  <c r="M202" i="2" s="1"/>
  <c r="N202" i="2" s="1"/>
  <c r="B203" i="2" l="1"/>
  <c r="C203" i="2"/>
  <c r="L203" i="2" l="1"/>
  <c r="G203" i="2"/>
  <c r="F203" i="2"/>
  <c r="K203" i="2" s="1"/>
  <c r="H203" i="2" l="1"/>
  <c r="I203" i="2" s="1"/>
  <c r="J203" i="2"/>
  <c r="M203" i="2" s="1"/>
  <c r="N203" i="2" s="1"/>
  <c r="B204" i="2" l="1"/>
  <c r="C204" i="2"/>
  <c r="F204" i="2" l="1"/>
  <c r="K204" i="2" s="1"/>
  <c r="G204" i="2"/>
  <c r="L204" i="2"/>
  <c r="J204" i="2" l="1"/>
  <c r="M204" i="2" s="1"/>
  <c r="N204" i="2" s="1"/>
  <c r="H204" i="2"/>
  <c r="I204" i="2" s="1"/>
  <c r="C205" i="2" l="1"/>
  <c r="B205" i="2"/>
  <c r="L205" i="2" l="1"/>
  <c r="G205" i="2"/>
  <c r="F205" i="2"/>
  <c r="K205" i="2" s="1"/>
  <c r="H205" i="2" l="1"/>
  <c r="I205" i="2" s="1"/>
  <c r="J205" i="2"/>
  <c r="M205" i="2" s="1"/>
  <c r="N205" i="2" s="1"/>
  <c r="B206" i="2" l="1"/>
  <c r="C206" i="2"/>
  <c r="L206" i="2" l="1"/>
  <c r="G206" i="2"/>
  <c r="F206" i="2"/>
  <c r="K206" i="2" s="1"/>
  <c r="H206" i="2" l="1"/>
  <c r="I206" i="2" s="1"/>
  <c r="J206" i="2"/>
  <c r="M206" i="2" s="1"/>
  <c r="N206" i="2" s="1"/>
  <c r="C207" i="2" l="1"/>
  <c r="B207" i="2"/>
  <c r="G207" i="2" l="1"/>
  <c r="L207" i="2"/>
  <c r="F207" i="2"/>
  <c r="K207" i="2" s="1"/>
  <c r="H207" i="2" l="1"/>
  <c r="I207" i="2" s="1"/>
  <c r="J207" i="2"/>
  <c r="M207" i="2" s="1"/>
  <c r="N207" i="2" s="1"/>
  <c r="C208" i="2" l="1"/>
  <c r="B208" i="2"/>
  <c r="L208" i="2" l="1"/>
  <c r="G208" i="2"/>
  <c r="F208" i="2"/>
  <c r="K208" i="2" s="1"/>
  <c r="H208" i="2" l="1"/>
  <c r="I208" i="2" s="1"/>
  <c r="J208" i="2"/>
  <c r="M208" i="2" s="1"/>
  <c r="N208" i="2" s="1"/>
  <c r="C209" i="2" l="1"/>
  <c r="B209" i="2"/>
  <c r="G209" i="2" l="1"/>
  <c r="F209" i="2"/>
  <c r="K209" i="2" s="1"/>
  <c r="L209" i="2"/>
  <c r="J209" i="2" l="1"/>
  <c r="M209" i="2" s="1"/>
  <c r="N209" i="2" s="1"/>
  <c r="H209" i="2"/>
  <c r="I209" i="2" s="1"/>
  <c r="C210" i="2" l="1"/>
  <c r="B210" i="2"/>
  <c r="G210" i="2" l="1"/>
  <c r="L210" i="2"/>
  <c r="F210" i="2"/>
  <c r="K210" i="2" s="1"/>
  <c r="H210" i="2" l="1"/>
  <c r="I210" i="2" s="1"/>
  <c r="J210" i="2"/>
  <c r="M210" i="2" s="1"/>
  <c r="N210" i="2" s="1"/>
  <c r="B211" i="2" l="1"/>
  <c r="C211" i="2"/>
  <c r="G211" i="2" l="1"/>
  <c r="F211" i="2"/>
  <c r="K211" i="2" s="1"/>
  <c r="L211" i="2"/>
  <c r="J211" i="2" l="1"/>
  <c r="M211" i="2" s="1"/>
  <c r="N211" i="2" s="1"/>
  <c r="H211" i="2"/>
  <c r="I211" i="2" s="1"/>
  <c r="B212" i="2" l="1"/>
  <c r="C212" i="2"/>
  <c r="F212" i="2" l="1"/>
  <c r="K212" i="2" s="1"/>
  <c r="L212" i="2"/>
  <c r="G212" i="2"/>
  <c r="H212" i="2" l="1"/>
  <c r="I212" i="2" s="1"/>
  <c r="J212" i="2"/>
  <c r="M212" i="2" s="1"/>
  <c r="N212" i="2" s="1"/>
  <c r="B213" i="2" l="1"/>
  <c r="C213" i="2"/>
  <c r="F213" i="2" l="1"/>
  <c r="K213" i="2" s="1"/>
  <c r="L213" i="2"/>
  <c r="G213" i="2"/>
  <c r="H213" i="2" l="1"/>
  <c r="I213" i="2" s="1"/>
  <c r="J213" i="2"/>
  <c r="M213" i="2" s="1"/>
  <c r="N213" i="2" s="1"/>
  <c r="B214" i="2" l="1"/>
  <c r="C214" i="2"/>
  <c r="G214" i="2" l="1"/>
  <c r="L214" i="2"/>
  <c r="F214" i="2"/>
  <c r="K214" i="2" s="1"/>
  <c r="H214" i="2" l="1"/>
  <c r="I214" i="2" s="1"/>
  <c r="J214" i="2"/>
  <c r="M214" i="2" s="1"/>
  <c r="N214" i="2" s="1"/>
  <c r="C215" i="2" l="1"/>
  <c r="B215" i="2"/>
  <c r="L215" i="2" l="1"/>
  <c r="G215" i="2"/>
  <c r="F215" i="2"/>
  <c r="K215" i="2" s="1"/>
  <c r="J215" i="2" l="1"/>
  <c r="M215" i="2" s="1"/>
  <c r="N215" i="2" s="1"/>
  <c r="H215" i="2"/>
  <c r="I215" i="2" s="1"/>
  <c r="C216" i="2" l="1"/>
  <c r="B216" i="2"/>
  <c r="F216" i="2" l="1"/>
  <c r="K216" i="2" s="1"/>
  <c r="L216" i="2"/>
  <c r="G216" i="2"/>
  <c r="J216" i="2" l="1"/>
  <c r="M216" i="2" s="1"/>
  <c r="N216" i="2" s="1"/>
  <c r="H216" i="2"/>
  <c r="I216" i="2" s="1"/>
  <c r="B217" i="2" l="1"/>
  <c r="C217" i="2"/>
  <c r="F217" i="2" l="1"/>
  <c r="K217" i="2" s="1"/>
  <c r="L217" i="2"/>
  <c r="G217" i="2"/>
  <c r="H217" i="2" l="1"/>
  <c r="I217" i="2" s="1"/>
  <c r="J217" i="2"/>
  <c r="M217" i="2" s="1"/>
  <c r="N217" i="2" s="1"/>
  <c r="B218" i="2" l="1"/>
  <c r="C218" i="2"/>
  <c r="G218" i="2" l="1"/>
  <c r="L218" i="2"/>
  <c r="F218" i="2"/>
  <c r="K218" i="2" s="1"/>
  <c r="J218" i="2" l="1"/>
  <c r="M218" i="2" s="1"/>
  <c r="N218" i="2" s="1"/>
  <c r="H218" i="2"/>
  <c r="I218" i="2" s="1"/>
  <c r="B219" i="2" l="1"/>
  <c r="C219" i="2"/>
  <c r="G219" i="2" l="1"/>
  <c r="F219" i="2"/>
  <c r="K219" i="2" s="1"/>
  <c r="L219" i="2"/>
  <c r="J219" i="2" l="1"/>
  <c r="M219" i="2" s="1"/>
  <c r="N219" i="2" s="1"/>
  <c r="H219" i="2"/>
  <c r="I219" i="2" s="1"/>
  <c r="B220" i="2" l="1"/>
  <c r="C220" i="2"/>
  <c r="L220" i="2" l="1"/>
  <c r="F220" i="2"/>
  <c r="K220" i="2" s="1"/>
  <c r="G220" i="2"/>
  <c r="J220" i="2" l="1"/>
  <c r="M220" i="2" s="1"/>
  <c r="N220" i="2" s="1"/>
  <c r="H220" i="2"/>
  <c r="I220" i="2" s="1"/>
  <c r="B221" i="2" l="1"/>
  <c r="C221" i="2"/>
  <c r="L221" i="2" l="1"/>
  <c r="G221" i="2"/>
  <c r="F221" i="2"/>
  <c r="K221" i="2" s="1"/>
  <c r="H221" i="2" l="1"/>
  <c r="I221" i="2" s="1"/>
  <c r="J221" i="2"/>
  <c r="M221" i="2" s="1"/>
  <c r="N221" i="2" s="1"/>
  <c r="B222" i="2" l="1"/>
  <c r="C222" i="2"/>
  <c r="G222" i="2" l="1"/>
  <c r="F222" i="2"/>
  <c r="K222" i="2" s="1"/>
  <c r="L222" i="2"/>
  <c r="J222" i="2" l="1"/>
  <c r="M222" i="2" s="1"/>
  <c r="N222" i="2" s="1"/>
  <c r="H222" i="2"/>
  <c r="I222" i="2" s="1"/>
  <c r="C223" i="2" l="1"/>
  <c r="B223" i="2"/>
  <c r="F223" i="2" l="1"/>
  <c r="K223" i="2" s="1"/>
  <c r="L223" i="2"/>
  <c r="G223" i="2"/>
  <c r="H223" i="2" l="1"/>
  <c r="I223" i="2" s="1"/>
  <c r="J223" i="2"/>
  <c r="M223" i="2" s="1"/>
  <c r="N223" i="2" s="1"/>
  <c r="C224" i="2" l="1"/>
  <c r="B224" i="2"/>
  <c r="F224" i="2" l="1"/>
  <c r="K224" i="2" s="1"/>
  <c r="L224" i="2"/>
  <c r="G224" i="2"/>
  <c r="J224" i="2" l="1"/>
  <c r="M224" i="2" s="1"/>
  <c r="N224" i="2" s="1"/>
  <c r="H224" i="2"/>
  <c r="I224" i="2" s="1"/>
  <c r="B225" i="2" l="1"/>
  <c r="C225" i="2"/>
  <c r="L225" i="2" l="1"/>
  <c r="F225" i="2"/>
  <c r="K225" i="2" s="1"/>
  <c r="G225" i="2"/>
  <c r="J225" i="2" l="1"/>
  <c r="M225" i="2" s="1"/>
  <c r="N225" i="2" s="1"/>
  <c r="H225" i="2"/>
  <c r="I225" i="2" s="1"/>
  <c r="C226" i="2" l="1"/>
  <c r="B226" i="2"/>
  <c r="G226" i="2" l="1"/>
  <c r="L226" i="2"/>
  <c r="F226" i="2"/>
  <c r="K226" i="2" s="1"/>
  <c r="J226" i="2" l="1"/>
  <c r="M226" i="2" s="1"/>
  <c r="N226" i="2" s="1"/>
  <c r="H226" i="2"/>
  <c r="I226" i="2" s="1"/>
  <c r="C227" i="2" l="1"/>
  <c r="B227" i="2"/>
  <c r="L227" i="2" l="1"/>
  <c r="F227" i="2"/>
  <c r="K227" i="2" s="1"/>
  <c r="G227" i="2"/>
  <c r="J227" i="2" l="1"/>
  <c r="M227" i="2" s="1"/>
  <c r="N227" i="2" s="1"/>
  <c r="H227" i="2"/>
  <c r="I227" i="2" s="1"/>
  <c r="B228" i="2" l="1"/>
  <c r="C228" i="2"/>
  <c r="G228" i="2" l="1"/>
  <c r="F228" i="2"/>
  <c r="K228" i="2" s="1"/>
  <c r="L228" i="2"/>
  <c r="J228" i="2" l="1"/>
  <c r="M228" i="2" s="1"/>
  <c r="N228" i="2" s="1"/>
  <c r="H228" i="2"/>
  <c r="I228" i="2" s="1"/>
  <c r="B229" i="2" l="1"/>
  <c r="C229" i="2"/>
  <c r="L229" i="2" l="1"/>
  <c r="F229" i="2"/>
  <c r="K229" i="2" s="1"/>
  <c r="G229" i="2"/>
  <c r="H229" i="2" l="1"/>
  <c r="I229" i="2" s="1"/>
  <c r="J229" i="2"/>
  <c r="M229" i="2" s="1"/>
  <c r="N229" i="2" s="1"/>
  <c r="B230" i="2" l="1"/>
  <c r="C230" i="2"/>
  <c r="F230" i="2" l="1"/>
  <c r="K230" i="2" s="1"/>
  <c r="L230" i="2"/>
  <c r="G230" i="2"/>
  <c r="H230" i="2" l="1"/>
  <c r="I230" i="2" s="1"/>
  <c r="J230" i="2"/>
  <c r="M230" i="2" s="1"/>
  <c r="N230" i="2" s="1"/>
  <c r="B231" i="2" l="1"/>
  <c r="C231" i="2"/>
  <c r="G231" i="2" l="1"/>
  <c r="L231" i="2"/>
  <c r="F231" i="2"/>
  <c r="K231" i="2" s="1"/>
  <c r="H231" i="2" l="1"/>
  <c r="I231" i="2" s="1"/>
  <c r="J231" i="2"/>
  <c r="M231" i="2" s="1"/>
  <c r="N231" i="2" s="1"/>
  <c r="C232" i="2" l="1"/>
  <c r="B232" i="2"/>
  <c r="G232" i="2" l="1"/>
  <c r="L232" i="2"/>
  <c r="F232" i="2"/>
  <c r="K232" i="2" s="1"/>
  <c r="J232" i="2" l="1"/>
  <c r="M232" i="2" s="1"/>
  <c r="N232" i="2" s="1"/>
  <c r="H232" i="2"/>
  <c r="I232" i="2" s="1"/>
  <c r="B233" i="2" l="1"/>
  <c r="C233" i="2"/>
  <c r="L233" i="2" l="1"/>
  <c r="F233" i="2"/>
  <c r="K233" i="2" s="1"/>
  <c r="G233" i="2"/>
  <c r="H233" i="2" l="1"/>
  <c r="I233" i="2" s="1"/>
  <c r="J233" i="2"/>
  <c r="M233" i="2" s="1"/>
  <c r="N233" i="2" s="1"/>
  <c r="C234" i="2" l="1"/>
  <c r="B234" i="2"/>
  <c r="F234" i="2" l="1"/>
  <c r="K234" i="2" s="1"/>
  <c r="L234" i="2"/>
  <c r="G234" i="2"/>
  <c r="H234" i="2" l="1"/>
  <c r="I234" i="2" s="1"/>
  <c r="J234" i="2"/>
  <c r="M234" i="2" s="1"/>
  <c r="N234" i="2" s="1"/>
  <c r="B235" i="2" l="1"/>
  <c r="C235" i="2"/>
  <c r="G235" i="2" l="1"/>
  <c r="F235" i="2"/>
  <c r="K235" i="2" s="1"/>
  <c r="L235" i="2"/>
  <c r="J235" i="2" l="1"/>
  <c r="M235" i="2" s="1"/>
  <c r="N235" i="2" s="1"/>
  <c r="H235" i="2"/>
  <c r="I235" i="2" s="1"/>
  <c r="C236" i="2" l="1"/>
  <c r="B236" i="2"/>
  <c r="L236" i="2" l="1"/>
  <c r="G236" i="2"/>
  <c r="F236" i="2"/>
  <c r="K236" i="2" s="1"/>
  <c r="H236" i="2" l="1"/>
  <c r="I236" i="2" s="1"/>
  <c r="J236" i="2"/>
  <c r="M236" i="2" s="1"/>
  <c r="N236" i="2" s="1"/>
  <c r="C237" i="2" l="1"/>
  <c r="B237" i="2"/>
  <c r="G237" i="2" l="1"/>
  <c r="L237" i="2"/>
  <c r="F237" i="2"/>
  <c r="K237" i="2" s="1"/>
  <c r="J237" i="2" l="1"/>
  <c r="M237" i="2" s="1"/>
  <c r="N237" i="2" s="1"/>
  <c r="H237" i="2"/>
  <c r="I237" i="2" s="1"/>
  <c r="C238" i="2" l="1"/>
  <c r="B238" i="2"/>
  <c r="F238" i="2" l="1"/>
  <c r="K238" i="2" s="1"/>
  <c r="L238" i="2"/>
  <c r="G238" i="2"/>
  <c r="H238" i="2" l="1"/>
  <c r="I238" i="2" s="1"/>
  <c r="J238" i="2"/>
  <c r="M238" i="2" s="1"/>
  <c r="N238" i="2" s="1"/>
  <c r="C239" i="2" l="1"/>
  <c r="B239" i="2"/>
  <c r="L239" i="2" l="1"/>
  <c r="G239" i="2"/>
  <c r="F239" i="2"/>
  <c r="K239" i="2" s="1"/>
  <c r="J239" i="2" l="1"/>
  <c r="M239" i="2" s="1"/>
  <c r="N239" i="2" s="1"/>
  <c r="H239" i="2"/>
  <c r="I239" i="2" s="1"/>
  <c r="B240" i="2" l="1"/>
  <c r="C240" i="2"/>
  <c r="G240" i="2" l="1"/>
  <c r="L240" i="2"/>
  <c r="F240" i="2"/>
  <c r="K240" i="2" s="1"/>
  <c r="H240" i="2" l="1"/>
  <c r="I240" i="2" s="1"/>
  <c r="J240" i="2"/>
  <c r="M240" i="2" s="1"/>
  <c r="N240" i="2" s="1"/>
  <c r="C241" i="2" l="1"/>
  <c r="B241" i="2"/>
  <c r="F241" i="2" l="1"/>
  <c r="K241" i="2" s="1"/>
  <c r="G241" i="2"/>
  <c r="L241" i="2"/>
  <c r="J241" i="2" l="1"/>
  <c r="M241" i="2" s="1"/>
  <c r="N241" i="2" s="1"/>
  <c r="H241" i="2"/>
  <c r="I241" i="2" s="1"/>
  <c r="B242" i="2" l="1"/>
  <c r="C242" i="2"/>
  <c r="L242" i="2" l="1"/>
  <c r="F242" i="2"/>
  <c r="K242" i="2" s="1"/>
  <c r="G242" i="2"/>
  <c r="H242" i="2" l="1"/>
  <c r="I242" i="2" s="1"/>
  <c r="J242" i="2"/>
  <c r="M242" i="2" s="1"/>
  <c r="N242" i="2" s="1"/>
  <c r="C243" i="2" l="1"/>
  <c r="B243" i="2"/>
  <c r="L243" i="2" l="1"/>
  <c r="F243" i="2"/>
  <c r="K243" i="2" s="1"/>
  <c r="G243" i="2"/>
  <c r="H243" i="2" l="1"/>
  <c r="I243" i="2" s="1"/>
  <c r="J243" i="2"/>
  <c r="M243" i="2" s="1"/>
  <c r="N243" i="2" s="1"/>
  <c r="C244" i="2" l="1"/>
  <c r="B244" i="2"/>
  <c r="G244" i="2" l="1"/>
  <c r="F244" i="2"/>
  <c r="K244" i="2" s="1"/>
  <c r="L244" i="2"/>
  <c r="H244" i="2" l="1"/>
  <c r="I244" i="2" s="1"/>
  <c r="J244" i="2"/>
  <c r="M244" i="2" s="1"/>
  <c r="N244" i="2" s="1"/>
  <c r="B245" i="2" l="1"/>
  <c r="C245" i="2"/>
  <c r="L245" i="2" l="1"/>
  <c r="F245" i="2"/>
  <c r="K245" i="2" s="1"/>
  <c r="G245" i="2"/>
  <c r="J245" i="2" l="1"/>
  <c r="M245" i="2" s="1"/>
  <c r="N245" i="2" s="1"/>
  <c r="H245" i="2"/>
  <c r="I245" i="2" s="1"/>
  <c r="C246" i="2" l="1"/>
  <c r="B246" i="2"/>
  <c r="G246" i="2" l="1"/>
  <c r="F246" i="2"/>
  <c r="K246" i="2" s="1"/>
  <c r="L246" i="2"/>
  <c r="H246" i="2" l="1"/>
  <c r="I246" i="2" s="1"/>
  <c r="J246" i="2"/>
  <c r="M246" i="2" s="1"/>
  <c r="N246" i="2" s="1"/>
  <c r="C247" i="2" l="1"/>
  <c r="B247" i="2"/>
  <c r="G247" i="2" l="1"/>
  <c r="F247" i="2"/>
  <c r="K247" i="2" s="1"/>
  <c r="L247" i="2"/>
  <c r="J247" i="2" l="1"/>
  <c r="M247" i="2" s="1"/>
  <c r="N247" i="2" s="1"/>
  <c r="H247" i="2"/>
  <c r="I247" i="2" s="1"/>
  <c r="C248" i="2" l="1"/>
  <c r="B248" i="2"/>
  <c r="F248" i="2" l="1"/>
  <c r="K248" i="2" s="1"/>
  <c r="G248" i="2"/>
  <c r="L248" i="2"/>
  <c r="H248" i="2" l="1"/>
  <c r="I248" i="2" s="1"/>
  <c r="J248" i="2"/>
  <c r="M248" i="2" s="1"/>
  <c r="N248" i="2" s="1"/>
  <c r="B249" i="2" l="1"/>
  <c r="C249" i="2"/>
  <c r="F249" i="2" l="1"/>
  <c r="K249" i="2" s="1"/>
  <c r="L249" i="2"/>
  <c r="G249" i="2"/>
  <c r="J249" i="2" l="1"/>
  <c r="M249" i="2" s="1"/>
  <c r="N249" i="2" s="1"/>
  <c r="H249" i="2"/>
  <c r="I249" i="2" s="1"/>
  <c r="B250" i="2" l="1"/>
  <c r="C250" i="2"/>
  <c r="G250" i="2" l="1"/>
  <c r="F250" i="2"/>
  <c r="K250" i="2" s="1"/>
  <c r="L250" i="2"/>
  <c r="H250" i="2" l="1"/>
  <c r="I250" i="2" s="1"/>
  <c r="J250" i="2"/>
  <c r="M250" i="2" s="1"/>
  <c r="N250" i="2" s="1"/>
  <c r="C251" i="2" l="1"/>
  <c r="B251" i="2"/>
  <c r="F251" i="2" l="1"/>
  <c r="K251" i="2" s="1"/>
  <c r="G251" i="2"/>
  <c r="L251" i="2"/>
  <c r="J251" i="2" l="1"/>
  <c r="M251" i="2" s="1"/>
  <c r="N251" i="2" s="1"/>
  <c r="H251" i="2"/>
  <c r="I251" i="2" s="1"/>
  <c r="B252" i="2" l="1"/>
  <c r="C252" i="2"/>
  <c r="L252" i="2" l="1"/>
  <c r="F252" i="2"/>
  <c r="K252" i="2" s="1"/>
  <c r="G252" i="2"/>
  <c r="J252" i="2" l="1"/>
  <c r="M252" i="2" s="1"/>
  <c r="N252" i="2" s="1"/>
  <c r="H252" i="2"/>
  <c r="I252" i="2" s="1"/>
  <c r="C253" i="2" l="1"/>
  <c r="B253" i="2"/>
  <c r="F253" i="2" l="1"/>
  <c r="K253" i="2" s="1"/>
  <c r="G253" i="2"/>
  <c r="L253" i="2"/>
  <c r="H253" i="2" l="1"/>
  <c r="I253" i="2" s="1"/>
  <c r="J253" i="2"/>
  <c r="M253" i="2" s="1"/>
  <c r="N253" i="2" s="1"/>
  <c r="B254" i="2" l="1"/>
  <c r="C254" i="2"/>
  <c r="G254" i="2" l="1"/>
  <c r="L254" i="2"/>
  <c r="F254" i="2"/>
  <c r="K254" i="2" s="1"/>
  <c r="H254" i="2" l="1"/>
  <c r="I254" i="2" s="1"/>
  <c r="J254" i="2"/>
  <c r="M254" i="2" s="1"/>
  <c r="N254" i="2" s="1"/>
  <c r="C255" i="2" l="1"/>
  <c r="B255" i="2"/>
  <c r="G255" i="2" l="1"/>
  <c r="L255" i="2"/>
  <c r="F255" i="2"/>
  <c r="K255" i="2" s="1"/>
  <c r="H255" i="2" l="1"/>
  <c r="J255" i="2"/>
  <c r="M255" i="2" s="1"/>
  <c r="N255" i="2" s="1"/>
  <c r="I255" i="2"/>
  <c r="C256" i="2" l="1"/>
  <c r="B256" i="2"/>
  <c r="G256" i="2" l="1"/>
  <c r="L256" i="2"/>
  <c r="F256" i="2"/>
  <c r="K256" i="2" s="1"/>
  <c r="J256" i="2" l="1"/>
  <c r="M256" i="2" s="1"/>
  <c r="N256" i="2" s="1"/>
  <c r="H256" i="2"/>
  <c r="I256" i="2" s="1"/>
  <c r="C257" i="2" l="1"/>
  <c r="B257" i="2"/>
  <c r="L257" i="2" l="1"/>
  <c r="F257" i="2"/>
  <c r="K257" i="2" s="1"/>
  <c r="G257" i="2"/>
  <c r="J257" i="2" l="1"/>
  <c r="M257" i="2" s="1"/>
  <c r="N257" i="2" s="1"/>
  <c r="H257" i="2"/>
  <c r="I257" i="2" s="1"/>
  <c r="C258" i="2" l="1"/>
  <c r="B258" i="2"/>
  <c r="G258" i="2" l="1"/>
  <c r="L258" i="2"/>
  <c r="F258" i="2"/>
  <c r="K258" i="2" s="1"/>
  <c r="H258" i="2" l="1"/>
  <c r="I258" i="2" s="1"/>
  <c r="J258" i="2"/>
  <c r="M258" i="2" s="1"/>
  <c r="N258" i="2" s="1"/>
  <c r="B259" i="2" l="1"/>
  <c r="C259" i="2"/>
  <c r="L259" i="2" l="1"/>
  <c r="F259" i="2"/>
  <c r="K259" i="2" s="1"/>
  <c r="G259" i="2"/>
  <c r="J259" i="2" l="1"/>
  <c r="M259" i="2" s="1"/>
  <c r="N259" i="2" s="1"/>
  <c r="H259" i="2"/>
  <c r="I259" i="2" s="1"/>
  <c r="B260" i="2" l="1"/>
  <c r="C260" i="2"/>
  <c r="G260" i="2" l="1"/>
  <c r="F260" i="2"/>
  <c r="K260" i="2" s="1"/>
  <c r="L260" i="2"/>
  <c r="J260" i="2" l="1"/>
  <c r="M260" i="2" s="1"/>
  <c r="N260" i="2" s="1"/>
  <c r="H260" i="2"/>
  <c r="I260" i="2" s="1"/>
  <c r="C261" i="2" l="1"/>
  <c r="B261" i="2"/>
  <c r="L261" i="2" l="1"/>
  <c r="F261" i="2"/>
  <c r="K261" i="2" s="1"/>
  <c r="G261" i="2"/>
  <c r="J261" i="2" l="1"/>
  <c r="M261" i="2" s="1"/>
  <c r="N261" i="2" s="1"/>
  <c r="H261" i="2"/>
  <c r="I261" i="2" s="1"/>
  <c r="C262" i="2" l="1"/>
  <c r="B262" i="2"/>
  <c r="G262" i="2" l="1"/>
  <c r="F262" i="2"/>
  <c r="K262" i="2" s="1"/>
  <c r="L262" i="2"/>
  <c r="H262" i="2" l="1"/>
  <c r="I262" i="2" s="1"/>
  <c r="J262" i="2"/>
  <c r="M262" i="2" s="1"/>
  <c r="N262" i="2" s="1"/>
  <c r="B263" i="2" l="1"/>
  <c r="C263" i="2"/>
  <c r="L263" i="2" l="1"/>
  <c r="G263" i="2"/>
  <c r="F263" i="2"/>
  <c r="K263" i="2" s="1"/>
  <c r="J263" i="2" l="1"/>
  <c r="M263" i="2" s="1"/>
  <c r="N263" i="2" s="1"/>
  <c r="H263" i="2"/>
  <c r="I263" i="2" s="1"/>
  <c r="B264" i="2" l="1"/>
  <c r="C264" i="2"/>
  <c r="F264" i="2" l="1"/>
  <c r="K264" i="2" s="1"/>
  <c r="L264" i="2"/>
  <c r="G264" i="2"/>
  <c r="H264" i="2" l="1"/>
  <c r="I264" i="2" s="1"/>
  <c r="J264" i="2"/>
  <c r="M264" i="2" s="1"/>
  <c r="N264" i="2" s="1"/>
  <c r="C265" i="2" l="1"/>
  <c r="B265" i="2"/>
  <c r="L265" i="2" l="1"/>
  <c r="G265" i="2"/>
  <c r="F265" i="2"/>
  <c r="K265" i="2" s="1"/>
  <c r="H265" i="2" l="1"/>
  <c r="J265" i="2"/>
  <c r="M265" i="2" s="1"/>
  <c r="N265" i="2" s="1"/>
  <c r="I265" i="2"/>
  <c r="B266" i="2" l="1"/>
  <c r="C266" i="2"/>
  <c r="L266" i="2" l="1"/>
  <c r="F266" i="2"/>
  <c r="K266" i="2" s="1"/>
  <c r="G266" i="2"/>
  <c r="J266" i="2" l="1"/>
  <c r="M266" i="2" s="1"/>
  <c r="N266" i="2" s="1"/>
  <c r="H266" i="2"/>
  <c r="I266" i="2" s="1"/>
  <c r="C267" i="2" l="1"/>
  <c r="B267" i="2"/>
  <c r="L267" i="2" l="1"/>
  <c r="G267" i="2"/>
  <c r="F267" i="2"/>
  <c r="K267" i="2" s="1"/>
  <c r="H267" i="2" l="1"/>
  <c r="I267" i="2" s="1"/>
  <c r="J267" i="2"/>
  <c r="M267" i="2" s="1"/>
  <c r="N267" i="2" s="1"/>
  <c r="C268" i="2" l="1"/>
  <c r="B268" i="2"/>
  <c r="G268" i="2" l="1"/>
  <c r="F268" i="2"/>
  <c r="K268" i="2" s="1"/>
  <c r="L268" i="2"/>
  <c r="H268" i="2" l="1"/>
  <c r="I268" i="2" s="1"/>
  <c r="J268" i="2"/>
  <c r="M268" i="2" s="1"/>
  <c r="N268" i="2" s="1"/>
  <c r="C269" i="2" l="1"/>
  <c r="B269" i="2"/>
  <c r="L269" i="2" l="1"/>
  <c r="G269" i="2"/>
  <c r="F269" i="2"/>
  <c r="K269" i="2" s="1"/>
  <c r="J269" i="2" l="1"/>
  <c r="M269" i="2" s="1"/>
  <c r="N269" i="2" s="1"/>
  <c r="H269" i="2"/>
  <c r="I269" i="2" s="1"/>
  <c r="B270" i="2" l="1"/>
  <c r="C270" i="2"/>
  <c r="G270" i="2" l="1"/>
  <c r="L270" i="2"/>
  <c r="F270" i="2"/>
  <c r="K270" i="2" s="1"/>
  <c r="J270" i="2" l="1"/>
  <c r="M270" i="2" s="1"/>
  <c r="N270" i="2" s="1"/>
  <c r="H270" i="2"/>
  <c r="I270" i="2" s="1"/>
  <c r="C271" i="2" l="1"/>
  <c r="B271" i="2"/>
  <c r="G271" i="2" l="1"/>
  <c r="F271" i="2"/>
  <c r="K271" i="2" s="1"/>
  <c r="L271" i="2"/>
  <c r="H271" i="2" l="1"/>
  <c r="I271" i="2" s="1"/>
  <c r="J271" i="2"/>
  <c r="M271" i="2" s="1"/>
  <c r="N271" i="2" s="1"/>
  <c r="B272" i="2" l="1"/>
  <c r="C272" i="2"/>
  <c r="G272" i="2" l="1"/>
  <c r="L272" i="2"/>
  <c r="F272" i="2"/>
  <c r="K272" i="2" s="1"/>
  <c r="J272" i="2" l="1"/>
  <c r="M272" i="2" s="1"/>
  <c r="N272" i="2" s="1"/>
  <c r="H272" i="2"/>
  <c r="I272" i="2" s="1"/>
  <c r="C273" i="2" l="1"/>
  <c r="B273" i="2"/>
  <c r="G273" i="2" l="1"/>
  <c r="F273" i="2"/>
  <c r="K273" i="2" s="1"/>
  <c r="L273" i="2"/>
  <c r="H273" i="2" l="1"/>
  <c r="I273" i="2" s="1"/>
  <c r="J273" i="2"/>
  <c r="M273" i="2" s="1"/>
  <c r="N273" i="2" s="1"/>
  <c r="C274" i="2" l="1"/>
  <c r="B274" i="2"/>
  <c r="G274" i="2" l="1"/>
  <c r="L274" i="2"/>
  <c r="F274" i="2"/>
  <c r="K274" i="2" s="1"/>
  <c r="H274" i="2" l="1"/>
  <c r="I274" i="2" s="1"/>
  <c r="J274" i="2"/>
  <c r="M274" i="2" s="1"/>
  <c r="N274" i="2" s="1"/>
  <c r="C275" i="2" l="1"/>
  <c r="B275" i="2"/>
  <c r="G275" i="2" l="1"/>
  <c r="F275" i="2"/>
  <c r="K275" i="2" s="1"/>
  <c r="L275" i="2"/>
  <c r="J275" i="2" l="1"/>
  <c r="M275" i="2" s="1"/>
  <c r="N275" i="2" s="1"/>
  <c r="H275" i="2"/>
  <c r="I275" i="2"/>
  <c r="C276" i="2" l="1"/>
  <c r="B276" i="2"/>
  <c r="F276" i="2" l="1"/>
  <c r="K276" i="2" s="1"/>
  <c r="L276" i="2"/>
  <c r="G276" i="2"/>
  <c r="H276" i="2" l="1"/>
  <c r="I276" i="2" s="1"/>
  <c r="J276" i="2"/>
  <c r="M276" i="2" s="1"/>
  <c r="N276" i="2" s="1"/>
  <c r="C277" i="2" l="1"/>
  <c r="B277" i="2"/>
  <c r="G277" i="2" l="1"/>
  <c r="F277" i="2"/>
  <c r="K277" i="2" s="1"/>
  <c r="L277" i="2"/>
  <c r="J277" i="2" l="1"/>
  <c r="M277" i="2" s="1"/>
  <c r="N277" i="2" s="1"/>
  <c r="H277" i="2"/>
  <c r="I277" i="2" s="1"/>
  <c r="B278" i="2" l="1"/>
  <c r="C278" i="2"/>
  <c r="G278" i="2" l="1"/>
  <c r="L278" i="2"/>
  <c r="F278" i="2"/>
  <c r="K278" i="2" s="1"/>
  <c r="H278" i="2" l="1"/>
  <c r="I278" i="2" s="1"/>
  <c r="J278" i="2"/>
  <c r="M278" i="2" s="1"/>
  <c r="N278" i="2" s="1"/>
  <c r="C279" i="2" l="1"/>
  <c r="B279" i="2"/>
  <c r="L279" i="2" l="1"/>
  <c r="G279" i="2"/>
  <c r="F279" i="2"/>
  <c r="K279" i="2" s="1"/>
  <c r="H279" i="2" l="1"/>
  <c r="I279" i="2" s="1"/>
  <c r="J279" i="2"/>
  <c r="M279" i="2" s="1"/>
  <c r="N279" i="2" s="1"/>
  <c r="C280" i="2" l="1"/>
  <c r="B280" i="2"/>
  <c r="G280" i="2" l="1"/>
  <c r="F280" i="2"/>
  <c r="K280" i="2" s="1"/>
  <c r="L280" i="2"/>
  <c r="H280" i="2" l="1"/>
  <c r="I280" i="2" s="1"/>
  <c r="J280" i="2"/>
  <c r="M280" i="2" s="1"/>
  <c r="N280" i="2" s="1"/>
  <c r="B281" i="2" l="1"/>
  <c r="C281" i="2"/>
  <c r="F281" i="2" l="1"/>
  <c r="K281" i="2" s="1"/>
  <c r="L281" i="2"/>
  <c r="G281" i="2"/>
  <c r="H281" i="2" l="1"/>
  <c r="I281" i="2" s="1"/>
  <c r="J281" i="2"/>
  <c r="M281" i="2" s="1"/>
  <c r="N281" i="2" s="1"/>
  <c r="B282" i="2" l="1"/>
  <c r="C282" i="2"/>
  <c r="F282" i="2" l="1"/>
  <c r="K282" i="2" s="1"/>
  <c r="G282" i="2"/>
  <c r="L282" i="2"/>
  <c r="J282" i="2" l="1"/>
  <c r="M282" i="2" s="1"/>
  <c r="N282" i="2" s="1"/>
  <c r="H282" i="2"/>
  <c r="I282" i="2" s="1"/>
  <c r="C283" i="2" l="1"/>
  <c r="B283" i="2"/>
  <c r="F283" i="2" l="1"/>
  <c r="K283" i="2" s="1"/>
  <c r="G283" i="2"/>
  <c r="L283" i="2"/>
  <c r="J283" i="2" l="1"/>
  <c r="M283" i="2" s="1"/>
  <c r="N283" i="2" s="1"/>
  <c r="H283" i="2"/>
  <c r="I283" i="2" s="1"/>
  <c r="B284" i="2" l="1"/>
  <c r="C284" i="2"/>
  <c r="G284" i="2" l="1"/>
  <c r="F284" i="2"/>
  <c r="K284" i="2" s="1"/>
  <c r="L284" i="2"/>
  <c r="J284" i="2" l="1"/>
  <c r="M284" i="2" s="1"/>
  <c r="N284" i="2" s="1"/>
  <c r="H284" i="2"/>
  <c r="I284" i="2" s="1"/>
  <c r="B285" i="2" l="1"/>
  <c r="C285" i="2"/>
  <c r="G285" i="2" l="1"/>
  <c r="F285" i="2"/>
  <c r="K285" i="2" s="1"/>
  <c r="L285" i="2"/>
  <c r="H285" i="2" l="1"/>
  <c r="I285" i="2" s="1"/>
  <c r="J285" i="2"/>
  <c r="M285" i="2" s="1"/>
  <c r="N285" i="2" s="1"/>
  <c r="B286" i="2" l="1"/>
  <c r="C286" i="2"/>
  <c r="F286" i="2" l="1"/>
  <c r="K286" i="2" s="1"/>
  <c r="G286" i="2"/>
  <c r="L286" i="2"/>
  <c r="H286" i="2" l="1"/>
  <c r="I286" i="2" s="1"/>
  <c r="J286" i="2"/>
  <c r="M286" i="2" s="1"/>
  <c r="N286" i="2" s="1"/>
  <c r="B287" i="2" l="1"/>
  <c r="C287" i="2"/>
  <c r="L287" i="2" l="1"/>
  <c r="F287" i="2"/>
  <c r="K287" i="2" s="1"/>
  <c r="G287" i="2"/>
  <c r="H287" i="2" l="1"/>
  <c r="I287" i="2" s="1"/>
  <c r="J287" i="2"/>
  <c r="M287" i="2" s="1"/>
  <c r="N287" i="2" s="1"/>
  <c r="B288" i="2" l="1"/>
  <c r="C288" i="2"/>
  <c r="F288" i="2" l="1"/>
  <c r="K288" i="2" s="1"/>
  <c r="L288" i="2"/>
  <c r="G288" i="2"/>
  <c r="J288" i="2" l="1"/>
  <c r="M288" i="2" s="1"/>
  <c r="N288" i="2" s="1"/>
  <c r="H288" i="2"/>
  <c r="I288" i="2" s="1"/>
  <c r="C289" i="2" l="1"/>
  <c r="B289" i="2"/>
  <c r="F289" i="2" l="1"/>
  <c r="K289" i="2" s="1"/>
  <c r="G289" i="2"/>
  <c r="L289" i="2"/>
  <c r="H289" i="2" l="1"/>
  <c r="I289" i="2" s="1"/>
  <c r="J289" i="2"/>
  <c r="M289" i="2" s="1"/>
  <c r="N289" i="2" s="1"/>
  <c r="C290" i="2" l="1"/>
  <c r="B290" i="2"/>
  <c r="F290" i="2" l="1"/>
  <c r="K290" i="2" s="1"/>
  <c r="L290" i="2"/>
  <c r="G290" i="2"/>
  <c r="H290" i="2" l="1"/>
  <c r="I290" i="2" s="1"/>
  <c r="J290" i="2"/>
  <c r="M290" i="2" s="1"/>
  <c r="N290" i="2" s="1"/>
  <c r="C291" i="2" l="1"/>
  <c r="B291" i="2"/>
  <c r="F291" i="2" l="1"/>
  <c r="K291" i="2" s="1"/>
  <c r="L291" i="2"/>
  <c r="G291" i="2"/>
  <c r="J291" i="2" l="1"/>
  <c r="M291" i="2" s="1"/>
  <c r="N291" i="2" s="1"/>
  <c r="H291" i="2"/>
  <c r="I291" i="2" s="1"/>
  <c r="C292" i="2" l="1"/>
  <c r="B292" i="2"/>
  <c r="L292" i="2" l="1"/>
  <c r="G292" i="2"/>
  <c r="F292" i="2"/>
  <c r="K292" i="2" s="1"/>
  <c r="J292" i="2" l="1"/>
  <c r="M292" i="2" s="1"/>
  <c r="N292" i="2" s="1"/>
  <c r="H292" i="2"/>
  <c r="I292" i="2" s="1"/>
  <c r="C293" i="2" l="1"/>
  <c r="B293" i="2"/>
  <c r="F293" i="2" l="1"/>
  <c r="K293" i="2" s="1"/>
  <c r="G293" i="2"/>
  <c r="L293" i="2"/>
  <c r="J293" i="2" l="1"/>
  <c r="M293" i="2" s="1"/>
  <c r="N293" i="2" s="1"/>
  <c r="H293" i="2"/>
  <c r="I293" i="2" s="1"/>
  <c r="C294" i="2" l="1"/>
  <c r="B294" i="2"/>
  <c r="F294" i="2" l="1"/>
  <c r="K294" i="2" s="1"/>
  <c r="G294" i="2"/>
  <c r="L294" i="2"/>
  <c r="H294" i="2" l="1"/>
  <c r="I294" i="2" s="1"/>
  <c r="J294" i="2"/>
  <c r="M294" i="2" s="1"/>
  <c r="N294" i="2" s="1"/>
  <c r="C295" i="2" l="1"/>
  <c r="B295" i="2"/>
  <c r="L295" i="2" l="1"/>
  <c r="F295" i="2"/>
  <c r="K295" i="2" s="1"/>
  <c r="G295" i="2"/>
  <c r="J295" i="2" l="1"/>
  <c r="M295" i="2" s="1"/>
  <c r="N295" i="2" s="1"/>
  <c r="H295" i="2"/>
  <c r="I295" i="2" s="1"/>
  <c r="C296" i="2" l="1"/>
  <c r="B296" i="2"/>
  <c r="L296" i="2" l="1"/>
  <c r="G296" i="2"/>
  <c r="F296" i="2"/>
  <c r="K296" i="2" s="1"/>
  <c r="H296" i="2" l="1"/>
  <c r="I296" i="2" s="1"/>
  <c r="J296" i="2"/>
  <c r="M296" i="2" s="1"/>
  <c r="N296" i="2" s="1"/>
  <c r="B297" i="2" l="1"/>
  <c r="C297" i="2"/>
  <c r="L297" i="2" l="1"/>
  <c r="G297" i="2"/>
  <c r="F297" i="2"/>
  <c r="K297" i="2" s="1"/>
  <c r="H297" i="2" l="1"/>
  <c r="J297" i="2"/>
  <c r="M297" i="2" s="1"/>
  <c r="N297" i="2" s="1"/>
  <c r="I297" i="2"/>
  <c r="C298" i="2" l="1"/>
  <c r="B298" i="2"/>
  <c r="L298" i="2" l="1"/>
  <c r="F298" i="2"/>
  <c r="K298" i="2" s="1"/>
  <c r="G298" i="2"/>
  <c r="J298" i="2" l="1"/>
  <c r="M298" i="2" s="1"/>
  <c r="N298" i="2" s="1"/>
  <c r="H298" i="2"/>
  <c r="I298" i="2" s="1"/>
  <c r="C299" i="2" l="1"/>
  <c r="B299" i="2"/>
  <c r="F299" i="2" l="1"/>
  <c r="K299" i="2" s="1"/>
  <c r="G299" i="2"/>
  <c r="L299" i="2"/>
  <c r="H299" i="2" l="1"/>
  <c r="I299" i="2" s="1"/>
  <c r="J299" i="2"/>
  <c r="M299" i="2" s="1"/>
  <c r="N299" i="2" s="1"/>
  <c r="C300" i="2" l="1"/>
  <c r="B300" i="2"/>
  <c r="F300" i="2" l="1"/>
  <c r="K300" i="2" s="1"/>
  <c r="L300" i="2"/>
  <c r="G300" i="2"/>
  <c r="H300" i="2" l="1"/>
  <c r="I300" i="2" s="1"/>
  <c r="J300" i="2"/>
  <c r="M300" i="2" s="1"/>
  <c r="N300" i="2" s="1"/>
  <c r="C301" i="2" l="1"/>
  <c r="B301" i="2"/>
  <c r="L301" i="2" l="1"/>
  <c r="F301" i="2"/>
  <c r="K301" i="2" s="1"/>
  <c r="G301" i="2"/>
  <c r="J301" i="2" l="1"/>
  <c r="M301" i="2" s="1"/>
  <c r="N301" i="2" s="1"/>
  <c r="H301" i="2"/>
  <c r="I301" i="2" s="1"/>
  <c r="B302" i="2" l="1"/>
  <c r="C302" i="2"/>
  <c r="L302" i="2" l="1"/>
  <c r="G302" i="2"/>
  <c r="F302" i="2"/>
  <c r="K302" i="2" s="1"/>
  <c r="H302" i="2" l="1"/>
  <c r="I302" i="2" s="1"/>
  <c r="J302" i="2"/>
  <c r="M302" i="2" s="1"/>
  <c r="N302" i="2" s="1"/>
  <c r="B303" i="2" l="1"/>
  <c r="C303" i="2"/>
  <c r="L303" i="2" l="1"/>
  <c r="G303" i="2"/>
  <c r="F303" i="2"/>
  <c r="K303" i="2" s="1"/>
  <c r="J303" i="2" l="1"/>
  <c r="M303" i="2" s="1"/>
  <c r="N303" i="2" s="1"/>
  <c r="H303" i="2"/>
  <c r="I303" i="2" s="1"/>
  <c r="C304" i="2" l="1"/>
  <c r="B304" i="2"/>
  <c r="F304" i="2" l="1"/>
  <c r="K304" i="2" s="1"/>
  <c r="L304" i="2"/>
  <c r="G304" i="2"/>
  <c r="J304" i="2" l="1"/>
  <c r="M304" i="2" s="1"/>
  <c r="N304" i="2" s="1"/>
  <c r="H304" i="2"/>
  <c r="I304" i="2" s="1"/>
  <c r="B305" i="2" l="1"/>
  <c r="C305" i="2"/>
  <c r="F305" i="2" l="1"/>
  <c r="K305" i="2" s="1"/>
  <c r="L305" i="2"/>
  <c r="G305" i="2"/>
  <c r="H305" i="2" l="1"/>
  <c r="I305" i="2" s="1"/>
  <c r="J305" i="2"/>
  <c r="M305" i="2" s="1"/>
  <c r="N305" i="2" s="1"/>
  <c r="B306" i="2" l="1"/>
  <c r="C306" i="2"/>
  <c r="G306" i="2" l="1"/>
  <c r="L306" i="2"/>
  <c r="F306" i="2"/>
  <c r="K306" i="2" s="1"/>
  <c r="J306" i="2" l="1"/>
  <c r="M306" i="2" s="1"/>
  <c r="N306" i="2" s="1"/>
  <c r="H306" i="2"/>
  <c r="I306" i="2" s="1"/>
  <c r="B307" i="2" l="1"/>
  <c r="C307" i="2"/>
  <c r="F307" i="2" l="1"/>
  <c r="K307" i="2" s="1"/>
  <c r="L307" i="2"/>
  <c r="G307" i="2"/>
  <c r="H307" i="2" l="1"/>
  <c r="I307" i="2" s="1"/>
  <c r="J307" i="2"/>
  <c r="M307" i="2" s="1"/>
  <c r="N307" i="2" s="1"/>
  <c r="C308" i="2" l="1"/>
  <c r="B308" i="2"/>
  <c r="G308" i="2" l="1"/>
  <c r="F308" i="2"/>
  <c r="K308" i="2" s="1"/>
  <c r="L308" i="2"/>
  <c r="H308" i="2" l="1"/>
  <c r="I308" i="2" s="1"/>
  <c r="J308" i="2"/>
  <c r="M308" i="2" s="1"/>
  <c r="N308" i="2" s="1"/>
  <c r="B309" i="2" l="1"/>
  <c r="C309" i="2"/>
  <c r="L309" i="2" l="1"/>
  <c r="F309" i="2"/>
  <c r="K309" i="2" s="1"/>
  <c r="G309" i="2"/>
  <c r="J309" i="2" l="1"/>
  <c r="M309" i="2" s="1"/>
  <c r="N309" i="2" s="1"/>
  <c r="H309" i="2"/>
  <c r="I309" i="2" s="1"/>
  <c r="C310" i="2" l="1"/>
  <c r="B310" i="2"/>
  <c r="F310" i="2" l="1"/>
  <c r="K310" i="2" s="1"/>
  <c r="G310" i="2"/>
  <c r="L310" i="2"/>
  <c r="J310" i="2" l="1"/>
  <c r="M310" i="2" s="1"/>
  <c r="N310" i="2" s="1"/>
  <c r="H310" i="2"/>
  <c r="I310" i="2" s="1"/>
  <c r="B311" i="2" l="1"/>
  <c r="C311" i="2"/>
  <c r="G311" i="2" l="1"/>
  <c r="L311" i="2"/>
  <c r="F311" i="2"/>
  <c r="K311" i="2" s="1"/>
  <c r="J311" i="2" l="1"/>
  <c r="M311" i="2" s="1"/>
  <c r="N311" i="2" s="1"/>
  <c r="H311" i="2"/>
  <c r="I311" i="2" s="1"/>
  <c r="C312" i="2" l="1"/>
  <c r="B312" i="2"/>
  <c r="L312" i="2" l="1"/>
  <c r="F312" i="2"/>
  <c r="K312" i="2" s="1"/>
  <c r="G312" i="2"/>
  <c r="J312" i="2" l="1"/>
  <c r="M312" i="2" s="1"/>
  <c r="N312" i="2" s="1"/>
  <c r="H312" i="2"/>
  <c r="I312" i="2" s="1"/>
  <c r="B313" i="2" l="1"/>
  <c r="C313" i="2"/>
  <c r="L313" i="2" l="1"/>
  <c r="G313" i="2"/>
  <c r="F313" i="2"/>
  <c r="K313" i="2" s="1"/>
  <c r="H313" i="2" l="1"/>
  <c r="I313" i="2" s="1"/>
  <c r="J313" i="2"/>
  <c r="M313" i="2" s="1"/>
  <c r="N313" i="2" s="1"/>
  <c r="C314" i="2" l="1"/>
  <c r="B314" i="2"/>
  <c r="G314" i="2" l="1"/>
  <c r="L314" i="2"/>
  <c r="F314" i="2"/>
  <c r="K314" i="2" s="1"/>
  <c r="H314" i="2" l="1"/>
  <c r="I314" i="2" s="1"/>
  <c r="J314" i="2"/>
  <c r="M314" i="2" s="1"/>
  <c r="N314" i="2" s="1"/>
  <c r="C315" i="2" l="1"/>
  <c r="B315" i="2"/>
  <c r="G315" i="2" l="1"/>
  <c r="L315" i="2"/>
  <c r="F315" i="2"/>
  <c r="K315" i="2" s="1"/>
  <c r="J315" i="2" l="1"/>
  <c r="M315" i="2" s="1"/>
  <c r="N315" i="2" s="1"/>
  <c r="H315" i="2"/>
  <c r="I315" i="2" s="1"/>
  <c r="C316" i="2" l="1"/>
  <c r="B316" i="2"/>
  <c r="L316" i="2" l="1"/>
  <c r="G316" i="2"/>
  <c r="F316" i="2"/>
  <c r="K316" i="2" s="1"/>
  <c r="J316" i="2" l="1"/>
  <c r="M316" i="2" s="1"/>
  <c r="N316" i="2" s="1"/>
  <c r="H316" i="2"/>
  <c r="I316" i="2" s="1"/>
  <c r="C317" i="2" l="1"/>
  <c r="B317" i="2"/>
  <c r="G317" i="2" l="1"/>
  <c r="L317" i="2"/>
  <c r="F317" i="2"/>
  <c r="K317" i="2" s="1"/>
  <c r="H317" i="2" l="1"/>
  <c r="I317" i="2" s="1"/>
  <c r="J317" i="2"/>
  <c r="M317" i="2" s="1"/>
  <c r="N317" i="2" s="1"/>
  <c r="C318" i="2" l="1"/>
  <c r="B318" i="2"/>
  <c r="L318" i="2" l="1"/>
  <c r="G318" i="2"/>
  <c r="F318" i="2"/>
  <c r="K318" i="2" s="1"/>
  <c r="J318" i="2" l="1"/>
  <c r="M318" i="2" s="1"/>
  <c r="N318" i="2" s="1"/>
  <c r="H318" i="2"/>
  <c r="I318" i="2" s="1"/>
  <c r="C319" i="2" l="1"/>
  <c r="B319" i="2"/>
  <c r="G319" i="2" l="1"/>
  <c r="F319" i="2"/>
  <c r="K319" i="2" s="1"/>
  <c r="L319" i="2"/>
  <c r="J319" i="2" l="1"/>
  <c r="M319" i="2" s="1"/>
  <c r="N319" i="2" s="1"/>
  <c r="H319" i="2"/>
  <c r="I319" i="2" s="1"/>
  <c r="B320" i="2" l="1"/>
  <c r="C320" i="2"/>
  <c r="L320" i="2" l="1"/>
  <c r="F320" i="2"/>
  <c r="K320" i="2" s="1"/>
  <c r="G320" i="2"/>
  <c r="H320" i="2" l="1"/>
  <c r="I320" i="2" s="1"/>
  <c r="J320" i="2"/>
  <c r="M320" i="2" s="1"/>
  <c r="N320" i="2" s="1"/>
  <c r="B321" i="2" l="1"/>
  <c r="C321" i="2"/>
  <c r="L321" i="2" l="1"/>
  <c r="G321" i="2"/>
  <c r="F321" i="2"/>
  <c r="K321" i="2" s="1"/>
  <c r="J321" i="2" l="1"/>
  <c r="M321" i="2" s="1"/>
  <c r="N321" i="2" s="1"/>
  <c r="H321" i="2"/>
  <c r="I321" i="2" s="1"/>
  <c r="C322" i="2" l="1"/>
  <c r="B322" i="2"/>
  <c r="L322" i="2" l="1"/>
  <c r="F322" i="2"/>
  <c r="K322" i="2" s="1"/>
  <c r="G322" i="2"/>
  <c r="H322" i="2" l="1"/>
  <c r="I322" i="2" s="1"/>
  <c r="J322" i="2"/>
  <c r="M322" i="2" s="1"/>
  <c r="N322" i="2" s="1"/>
  <c r="C323" i="2" l="1"/>
  <c r="B323" i="2"/>
  <c r="L323" i="2" l="1"/>
  <c r="G323" i="2"/>
  <c r="F323" i="2"/>
  <c r="K323" i="2" s="1"/>
  <c r="H323" i="2" l="1"/>
  <c r="I323" i="2" s="1"/>
  <c r="J323" i="2"/>
  <c r="M323" i="2" s="1"/>
  <c r="N323" i="2" s="1"/>
  <c r="B324" i="2" l="1"/>
  <c r="C324" i="2"/>
  <c r="G324" i="2" l="1"/>
  <c r="L324" i="2"/>
  <c r="F324" i="2"/>
  <c r="K324" i="2" s="1"/>
  <c r="H324" i="2" l="1"/>
  <c r="I324" i="2" s="1"/>
  <c r="J324" i="2"/>
  <c r="M324" i="2" s="1"/>
  <c r="N324" i="2" s="1"/>
  <c r="B325" i="2" l="1"/>
  <c r="C325" i="2"/>
  <c r="G325" i="2" l="1"/>
  <c r="L325" i="2"/>
  <c r="F325" i="2"/>
  <c r="K325" i="2" s="1"/>
  <c r="H325" i="2" l="1"/>
  <c r="I325" i="2" s="1"/>
  <c r="J325" i="2"/>
  <c r="M325" i="2" s="1"/>
  <c r="N325" i="2" s="1"/>
  <c r="C326" i="2" l="1"/>
  <c r="B326" i="2"/>
  <c r="L326" i="2" l="1"/>
  <c r="F326" i="2"/>
  <c r="K326" i="2" s="1"/>
  <c r="G326" i="2"/>
  <c r="H326" i="2" l="1"/>
  <c r="I326" i="2" s="1"/>
  <c r="J326" i="2"/>
  <c r="M326" i="2" s="1"/>
  <c r="N326" i="2" s="1"/>
  <c r="C327" i="2" l="1"/>
  <c r="B327" i="2"/>
  <c r="G327" i="2" l="1"/>
  <c r="F327" i="2"/>
  <c r="K327" i="2" s="1"/>
  <c r="L327" i="2"/>
  <c r="J327" i="2" l="1"/>
  <c r="M327" i="2" s="1"/>
  <c r="N327" i="2" s="1"/>
  <c r="H327" i="2"/>
  <c r="I327" i="2" s="1"/>
  <c r="C328" i="2" l="1"/>
  <c r="B328" i="2"/>
  <c r="G328" i="2" l="1"/>
  <c r="F328" i="2"/>
  <c r="K328" i="2" s="1"/>
  <c r="L328" i="2"/>
  <c r="H328" i="2" l="1"/>
  <c r="I328" i="2" s="1"/>
  <c r="J328" i="2"/>
  <c r="M328" i="2" s="1"/>
  <c r="N328" i="2" s="1"/>
  <c r="B329" i="2" l="1"/>
  <c r="C329" i="2"/>
  <c r="G329" i="2" l="1"/>
  <c r="F329" i="2"/>
  <c r="K329" i="2" s="1"/>
  <c r="L329" i="2"/>
  <c r="J329" i="2" l="1"/>
  <c r="M329" i="2" s="1"/>
  <c r="N329" i="2" s="1"/>
  <c r="H329" i="2"/>
  <c r="I329" i="2" s="1"/>
  <c r="B330" i="2" l="1"/>
  <c r="C330" i="2"/>
  <c r="G330" i="2" l="1"/>
  <c r="F330" i="2"/>
  <c r="K330" i="2" s="1"/>
  <c r="L330" i="2"/>
  <c r="H330" i="2" l="1"/>
  <c r="I330" i="2" s="1"/>
  <c r="J330" i="2"/>
  <c r="M330" i="2" s="1"/>
  <c r="N330" i="2" s="1"/>
  <c r="C331" i="2" l="1"/>
  <c r="B331" i="2"/>
  <c r="F331" i="2" l="1"/>
  <c r="K331" i="2" s="1"/>
  <c r="G331" i="2"/>
  <c r="L331" i="2"/>
  <c r="J331" i="2" l="1"/>
  <c r="M331" i="2" s="1"/>
  <c r="N331" i="2" s="1"/>
  <c r="H331" i="2"/>
  <c r="I331" i="2" s="1"/>
  <c r="B332" i="2" l="1"/>
  <c r="C332" i="2"/>
  <c r="F332" i="2" l="1"/>
  <c r="K332" i="2" s="1"/>
  <c r="L332" i="2"/>
  <c r="G332" i="2"/>
  <c r="J332" i="2" l="1"/>
  <c r="M332" i="2" s="1"/>
  <c r="N332" i="2" s="1"/>
  <c r="H332" i="2"/>
  <c r="I332" i="2" s="1"/>
  <c r="B333" i="2" l="1"/>
  <c r="C333" i="2"/>
  <c r="G333" i="2" l="1"/>
  <c r="F333" i="2"/>
  <c r="K333" i="2" s="1"/>
  <c r="L333" i="2"/>
  <c r="J333" i="2" l="1"/>
  <c r="M333" i="2" s="1"/>
  <c r="N333" i="2" s="1"/>
  <c r="H333" i="2"/>
  <c r="I333" i="2"/>
  <c r="C334" i="2" l="1"/>
  <c r="B334" i="2"/>
  <c r="L334" i="2" l="1"/>
  <c r="G334" i="2"/>
  <c r="F334" i="2"/>
  <c r="K334" i="2" s="1"/>
  <c r="H334" i="2" l="1"/>
  <c r="I334" i="2" s="1"/>
  <c r="J334" i="2"/>
  <c r="M334" i="2" s="1"/>
  <c r="N334" i="2" s="1"/>
  <c r="C335" i="2" l="1"/>
  <c r="B335" i="2"/>
  <c r="L335" i="2" l="1"/>
  <c r="F335" i="2"/>
  <c r="K335" i="2" s="1"/>
  <c r="G335" i="2"/>
  <c r="H335" i="2" l="1"/>
  <c r="I335" i="2" s="1"/>
  <c r="J335" i="2"/>
  <c r="M335" i="2" s="1"/>
  <c r="N335" i="2" s="1"/>
  <c r="B336" i="2" l="1"/>
  <c r="C336" i="2"/>
  <c r="F336" i="2" l="1"/>
  <c r="K336" i="2" s="1"/>
  <c r="L336" i="2"/>
  <c r="G336" i="2"/>
  <c r="H336" i="2" l="1"/>
  <c r="I336" i="2" s="1"/>
  <c r="J336" i="2"/>
  <c r="M336" i="2" s="1"/>
  <c r="N336" i="2" s="1"/>
  <c r="B337" i="2" l="1"/>
  <c r="C337" i="2"/>
  <c r="L337" i="2" l="1"/>
  <c r="F337" i="2"/>
  <c r="K337" i="2" s="1"/>
  <c r="G337" i="2"/>
  <c r="H337" i="2" l="1"/>
  <c r="I337" i="2" s="1"/>
  <c r="J337" i="2"/>
  <c r="M337" i="2" s="1"/>
  <c r="N337" i="2" s="1"/>
  <c r="C338" i="2" l="1"/>
  <c r="B338" i="2"/>
  <c r="F338" i="2" l="1"/>
  <c r="K338" i="2" s="1"/>
  <c r="L338" i="2"/>
  <c r="G338" i="2"/>
  <c r="H338" i="2" l="1"/>
  <c r="I338" i="2" s="1"/>
  <c r="J338" i="2"/>
  <c r="M338" i="2" s="1"/>
  <c r="N338" i="2" s="1"/>
  <c r="B339" i="2" l="1"/>
  <c r="C339" i="2"/>
  <c r="L339" i="2" l="1"/>
  <c r="G339" i="2"/>
  <c r="F339" i="2"/>
  <c r="K339" i="2" s="1"/>
  <c r="J339" i="2" l="1"/>
  <c r="M339" i="2" s="1"/>
  <c r="N339" i="2" s="1"/>
  <c r="H339" i="2"/>
  <c r="I339" i="2" s="1"/>
  <c r="C340" i="2" l="1"/>
  <c r="B340" i="2"/>
  <c r="F340" i="2" l="1"/>
  <c r="K340" i="2" s="1"/>
  <c r="L340" i="2"/>
  <c r="G340" i="2"/>
  <c r="H340" i="2" l="1"/>
  <c r="I340" i="2" s="1"/>
  <c r="J340" i="2"/>
  <c r="M340" i="2" s="1"/>
  <c r="N340" i="2" s="1"/>
  <c r="C341" i="2" l="1"/>
  <c r="B341" i="2"/>
  <c r="L341" i="2" l="1"/>
  <c r="G341" i="2"/>
  <c r="F341" i="2"/>
  <c r="K341" i="2" s="1"/>
  <c r="J341" i="2" l="1"/>
  <c r="M341" i="2" s="1"/>
  <c r="N341" i="2" s="1"/>
  <c r="H341" i="2"/>
  <c r="I341" i="2" s="1"/>
  <c r="B342" i="2" l="1"/>
  <c r="C342" i="2"/>
  <c r="L342" i="2" l="1"/>
  <c r="G342" i="2"/>
  <c r="F342" i="2"/>
  <c r="K342" i="2" s="1"/>
  <c r="J342" i="2" l="1"/>
  <c r="M342" i="2" s="1"/>
  <c r="N342" i="2" s="1"/>
  <c r="H342" i="2"/>
  <c r="I342" i="2" s="1"/>
  <c r="B343" i="2" l="1"/>
  <c r="C343" i="2"/>
  <c r="F343" i="2" l="1"/>
  <c r="K343" i="2" s="1"/>
  <c r="G343" i="2"/>
  <c r="L343" i="2"/>
  <c r="H343" i="2" l="1"/>
  <c r="I343" i="2" s="1"/>
  <c r="J343" i="2"/>
  <c r="M343" i="2" s="1"/>
  <c r="N343" i="2" s="1"/>
  <c r="B344" i="2" l="1"/>
  <c r="C344" i="2"/>
  <c r="F344" i="2" l="1"/>
  <c r="K344" i="2" s="1"/>
  <c r="L344" i="2"/>
  <c r="G344" i="2"/>
  <c r="H344" i="2" l="1"/>
  <c r="I344" i="2" s="1"/>
  <c r="J344" i="2"/>
  <c r="M344" i="2" s="1"/>
  <c r="N344" i="2" s="1"/>
  <c r="C345" i="2" l="1"/>
  <c r="B345" i="2"/>
  <c r="F345" i="2" l="1"/>
  <c r="K345" i="2" s="1"/>
  <c r="L345" i="2"/>
  <c r="G345" i="2"/>
  <c r="H345" i="2" l="1"/>
  <c r="I345" i="2" s="1"/>
  <c r="J345" i="2"/>
  <c r="M345" i="2" s="1"/>
  <c r="N345" i="2" s="1"/>
  <c r="B346" i="2" l="1"/>
  <c r="C346" i="2"/>
  <c r="L346" i="2" l="1"/>
  <c r="F346" i="2"/>
  <c r="K346" i="2" s="1"/>
  <c r="G346" i="2"/>
  <c r="J346" i="2" l="1"/>
  <c r="M346" i="2" s="1"/>
  <c r="N346" i="2" s="1"/>
  <c r="H346" i="2"/>
  <c r="I346" i="2" s="1"/>
  <c r="C347" i="2" l="1"/>
  <c r="B347" i="2"/>
  <c r="G347" i="2" l="1"/>
  <c r="L347" i="2"/>
  <c r="F347" i="2"/>
  <c r="K347" i="2" s="1"/>
  <c r="J347" i="2" l="1"/>
  <c r="M347" i="2" s="1"/>
  <c r="N347" i="2" s="1"/>
  <c r="H347" i="2"/>
  <c r="I347" i="2" s="1"/>
  <c r="B348" i="2" l="1"/>
  <c r="C348" i="2"/>
  <c r="F348" i="2" l="1"/>
  <c r="K348" i="2" s="1"/>
  <c r="G348" i="2"/>
  <c r="L348" i="2"/>
  <c r="J348" i="2" l="1"/>
  <c r="M348" i="2" s="1"/>
  <c r="N348" i="2" s="1"/>
  <c r="H348" i="2"/>
  <c r="I348" i="2" s="1"/>
  <c r="B349" i="2" l="1"/>
  <c r="C349" i="2"/>
  <c r="G349" i="2" l="1"/>
  <c r="L349" i="2"/>
  <c r="F349" i="2"/>
  <c r="K349" i="2" s="1"/>
  <c r="J349" i="2" l="1"/>
  <c r="M349" i="2" s="1"/>
  <c r="N349" i="2" s="1"/>
  <c r="H349" i="2"/>
  <c r="I349" i="2" s="1"/>
  <c r="C350" i="2" l="1"/>
  <c r="B350" i="2"/>
  <c r="L350" i="2" l="1"/>
  <c r="G350" i="2"/>
  <c r="F350" i="2"/>
  <c r="K350" i="2" s="1"/>
  <c r="J350" i="2" l="1"/>
  <c r="M350" i="2" s="1"/>
  <c r="N350" i="2" s="1"/>
  <c r="H350" i="2"/>
  <c r="I350" i="2" s="1"/>
  <c r="B351" i="2" l="1"/>
  <c r="C351" i="2"/>
  <c r="G351" i="2" l="1"/>
  <c r="F351" i="2"/>
  <c r="K351" i="2" s="1"/>
  <c r="L351" i="2"/>
  <c r="J351" i="2" l="1"/>
  <c r="M351" i="2" s="1"/>
  <c r="N351" i="2" s="1"/>
  <c r="H351" i="2"/>
  <c r="I351" i="2" s="1"/>
  <c r="C352" i="2" l="1"/>
  <c r="B352" i="2"/>
  <c r="G352" i="2" l="1"/>
  <c r="F352" i="2"/>
  <c r="K352" i="2" s="1"/>
  <c r="L352" i="2"/>
  <c r="J352" i="2" l="1"/>
  <c r="M352" i="2" s="1"/>
  <c r="N352" i="2" s="1"/>
  <c r="H352" i="2"/>
  <c r="I352" i="2" s="1"/>
  <c r="B353" i="2" l="1"/>
  <c r="C353" i="2"/>
  <c r="F353" i="2" l="1"/>
  <c r="K353" i="2" s="1"/>
  <c r="L353" i="2"/>
  <c r="G353" i="2"/>
  <c r="J353" i="2" l="1"/>
  <c r="M353" i="2" s="1"/>
  <c r="N353" i="2" s="1"/>
  <c r="H353" i="2"/>
  <c r="I353" i="2" s="1"/>
  <c r="B354" i="2" l="1"/>
  <c r="C354" i="2"/>
  <c r="L354" i="2" l="1"/>
  <c r="F354" i="2"/>
  <c r="K354" i="2" s="1"/>
  <c r="G354" i="2"/>
  <c r="J354" i="2" l="1"/>
  <c r="M354" i="2" s="1"/>
  <c r="N354" i="2" s="1"/>
  <c r="H354" i="2"/>
  <c r="I354" i="2" s="1"/>
  <c r="B355" i="2" l="1"/>
  <c r="C355" i="2"/>
  <c r="L355" i="2" l="1"/>
  <c r="F355" i="2"/>
  <c r="K355" i="2" s="1"/>
  <c r="G355" i="2"/>
  <c r="H355" i="2" l="1"/>
  <c r="I355" i="2" s="1"/>
  <c r="J355" i="2"/>
  <c r="M355" i="2" s="1"/>
  <c r="N355" i="2" s="1"/>
  <c r="B356" i="2" l="1"/>
  <c r="C356" i="2"/>
  <c r="L356" i="2" l="1"/>
  <c r="G356" i="2"/>
  <c r="F356" i="2"/>
  <c r="K356" i="2" s="1"/>
  <c r="H356" i="2" l="1"/>
  <c r="I356" i="2" s="1"/>
  <c r="J356" i="2"/>
  <c r="M356" i="2" s="1"/>
  <c r="N356" i="2" s="1"/>
  <c r="B357" i="2" l="1"/>
  <c r="C357" i="2"/>
  <c r="L357" i="2" l="1"/>
  <c r="G357" i="2"/>
  <c r="F357" i="2"/>
  <c r="K357" i="2" s="1"/>
  <c r="H357" i="2" l="1"/>
  <c r="I357" i="2" s="1"/>
  <c r="J357" i="2"/>
  <c r="M357" i="2" s="1"/>
  <c r="N357" i="2" s="1"/>
  <c r="B358" i="2" l="1"/>
  <c r="C358" i="2"/>
  <c r="L358" i="2" l="1"/>
  <c r="F358" i="2"/>
  <c r="K358" i="2" s="1"/>
  <c r="G358" i="2"/>
  <c r="H358" i="2" l="1"/>
  <c r="I358" i="2" s="1"/>
  <c r="J358" i="2"/>
  <c r="M358" i="2" s="1"/>
  <c r="N358" i="2" s="1"/>
  <c r="C359" i="2" l="1"/>
  <c r="B359" i="2"/>
  <c r="G359" i="2" l="1"/>
  <c r="L359" i="2"/>
  <c r="F359" i="2"/>
  <c r="K359" i="2" s="1"/>
  <c r="H359" i="2" l="1"/>
  <c r="I359" i="2" s="1"/>
  <c r="J359" i="2"/>
  <c r="M359" i="2" s="1"/>
  <c r="N359" i="2" s="1"/>
  <c r="C360" i="2" l="1"/>
  <c r="B360" i="2"/>
  <c r="G360" i="2" l="1"/>
  <c r="F360" i="2"/>
  <c r="K360" i="2" s="1"/>
  <c r="L360" i="2"/>
  <c r="H360" i="2" l="1"/>
  <c r="J360" i="2"/>
  <c r="M360" i="2" s="1"/>
  <c r="N360" i="2" s="1"/>
  <c r="I360" i="2"/>
  <c r="C361" i="2" l="1"/>
  <c r="B361" i="2"/>
  <c r="G361" i="2" l="1"/>
  <c r="L361" i="2"/>
  <c r="F361" i="2"/>
  <c r="K361" i="2" s="1"/>
  <c r="H361" i="2" l="1"/>
  <c r="J361" i="2"/>
  <c r="M361" i="2" s="1"/>
  <c r="N361" i="2" s="1"/>
  <c r="I361" i="2"/>
  <c r="C362" i="2" l="1"/>
  <c r="B362" i="2"/>
  <c r="F362" i="2" l="1"/>
  <c r="K362" i="2" s="1"/>
  <c r="L362" i="2"/>
  <c r="G362" i="2"/>
  <c r="H362" i="2" l="1"/>
  <c r="I362" i="2" s="1"/>
  <c r="J362" i="2"/>
  <c r="M362" i="2" s="1"/>
  <c r="N362" i="2" s="1"/>
  <c r="B363" i="2" l="1"/>
  <c r="C363" i="2"/>
  <c r="L363" i="2" l="1"/>
  <c r="G363" i="2"/>
  <c r="F363" i="2"/>
  <c r="K363" i="2" s="1"/>
  <c r="H363" i="2" l="1"/>
  <c r="I363" i="2" s="1"/>
  <c r="J363" i="2"/>
  <c r="M363" i="2" s="1"/>
  <c r="N363" i="2" s="1"/>
  <c r="B364" i="2" l="1"/>
  <c r="C364" i="2"/>
  <c r="G364" i="2" l="1"/>
  <c r="L364" i="2"/>
  <c r="F364" i="2"/>
  <c r="K364" i="2" s="1"/>
  <c r="J364" i="2" l="1"/>
  <c r="M364" i="2" s="1"/>
  <c r="N364" i="2" s="1"/>
  <c r="H364" i="2"/>
  <c r="I364" i="2" s="1"/>
  <c r="B365" i="2" l="1"/>
  <c r="C365" i="2"/>
  <c r="L365" i="2" l="1"/>
  <c r="F365" i="2"/>
  <c r="K365" i="2" s="1"/>
  <c r="G365" i="2"/>
  <c r="J365" i="2" l="1"/>
  <c r="M365" i="2" s="1"/>
  <c r="N365" i="2" s="1"/>
  <c r="H365" i="2"/>
  <c r="I365" i="2" s="1"/>
  <c r="C366" i="2" l="1"/>
  <c r="B366" i="2"/>
  <c r="G366" i="2" l="1"/>
  <c r="F366" i="2"/>
  <c r="K366" i="2" s="1"/>
  <c r="L366" i="2"/>
  <c r="J366" i="2" l="1"/>
  <c r="M366" i="2" s="1"/>
  <c r="N366" i="2" s="1"/>
  <c r="H366" i="2"/>
  <c r="I366" i="2" s="1"/>
  <c r="C367" i="2" l="1"/>
  <c r="B367" i="2"/>
  <c r="L367" i="2" l="1"/>
  <c r="G367" i="2"/>
  <c r="F367" i="2"/>
  <c r="K367" i="2" s="1"/>
  <c r="H367" i="2" l="1"/>
  <c r="I367" i="2" s="1"/>
  <c r="J367" i="2"/>
  <c r="M367" i="2" s="1"/>
  <c r="N367" i="2" s="1"/>
  <c r="C368" i="2" l="1"/>
  <c r="B368" i="2"/>
  <c r="L368" i="2" l="1"/>
  <c r="F368" i="2"/>
  <c r="K368" i="2" s="1"/>
  <c r="G368" i="2"/>
  <c r="H368" i="2" l="1"/>
  <c r="I368" i="2" s="1"/>
  <c r="J368" i="2"/>
  <c r="M368" i="2" s="1"/>
  <c r="N368" i="2" s="1"/>
  <c r="C369" i="2" l="1"/>
  <c r="B369" i="2"/>
  <c r="F369" i="2" l="1"/>
  <c r="K369" i="2" s="1"/>
  <c r="G369" i="2"/>
  <c r="J369" i="2" s="1"/>
  <c r="L369" i="2"/>
  <c r="M369" i="2" l="1"/>
  <c r="N369" i="2" s="1"/>
  <c r="H369" i="2"/>
  <c r="I369" i="2" s="1"/>
  <c r="C370" i="2" s="1"/>
  <c r="B370" i="2" l="1"/>
  <c r="F370" i="2" s="1"/>
  <c r="K370" i="2" s="1"/>
  <c r="L370" i="2"/>
  <c r="G370" i="2" l="1"/>
  <c r="J370" i="2" s="1"/>
  <c r="M370" i="2" s="1"/>
  <c r="N370" i="2" s="1"/>
  <c r="H370" i="2" l="1"/>
  <c r="I370" i="2" s="1"/>
  <c r="C371" i="2" s="1"/>
  <c r="B371" i="2"/>
  <c r="F371" i="2" l="1"/>
  <c r="K371" i="2" s="1"/>
  <c r="G371" i="2"/>
  <c r="L371" i="2"/>
  <c r="J371" i="2" l="1"/>
  <c r="M371" i="2" s="1"/>
  <c r="N371" i="2" s="1"/>
  <c r="H371" i="2"/>
  <c r="I371" i="2" s="1"/>
  <c r="C372" i="2" l="1"/>
  <c r="B372" i="2"/>
  <c r="G372" i="2" l="1"/>
  <c r="F372" i="2"/>
  <c r="K372" i="2" s="1"/>
  <c r="L372" i="2"/>
  <c r="H372" i="2" l="1"/>
  <c r="I372" i="2" s="1"/>
  <c r="J372" i="2"/>
  <c r="M372" i="2" s="1"/>
  <c r="N372" i="2" s="1"/>
  <c r="C373" i="2" l="1"/>
  <c r="B373" i="2"/>
  <c r="F373" i="2" l="1"/>
  <c r="K373" i="2" s="1"/>
  <c r="L373" i="2"/>
  <c r="G373" i="2"/>
  <c r="H373" i="2" l="1"/>
  <c r="I373" i="2" s="1"/>
  <c r="J373" i="2"/>
  <c r="M373" i="2" s="1"/>
  <c r="N373" i="2" s="1"/>
  <c r="C374" i="2" l="1"/>
  <c r="B374" i="2"/>
  <c r="G374" i="2" l="1"/>
  <c r="F374" i="2"/>
  <c r="K374" i="2" s="1"/>
  <c r="L374" i="2"/>
  <c r="J374" i="2" l="1"/>
  <c r="M374" i="2" s="1"/>
  <c r="N374" i="2" s="1"/>
  <c r="H374" i="2"/>
  <c r="I374" i="2" s="1"/>
  <c r="B375" i="2" l="1"/>
  <c r="C375" i="2"/>
  <c r="G375" i="2" l="1"/>
  <c r="F375" i="2"/>
  <c r="K375" i="2" s="1"/>
  <c r="L375" i="2"/>
  <c r="J375" i="2" l="1"/>
  <c r="M375" i="2" s="1"/>
  <c r="N375" i="2" s="1"/>
  <c r="H375" i="2"/>
  <c r="I375" i="2" s="1"/>
  <c r="C376" i="2" l="1"/>
  <c r="B376" i="2"/>
  <c r="G376" i="2" l="1"/>
  <c r="L376" i="2"/>
  <c r="F376" i="2"/>
  <c r="K376" i="2" s="1"/>
  <c r="J376" i="2" l="1"/>
  <c r="M376" i="2" s="1"/>
  <c r="N376" i="2" s="1"/>
  <c r="H376" i="2"/>
  <c r="I376" i="2" s="1"/>
  <c r="B377" i="2" l="1"/>
  <c r="C377" i="2"/>
  <c r="G377" i="2" l="1"/>
  <c r="F377" i="2"/>
  <c r="K377" i="2" s="1"/>
  <c r="L377" i="2"/>
  <c r="H377" i="2" l="1"/>
  <c r="I377" i="2" s="1"/>
  <c r="J377" i="2"/>
  <c r="M377" i="2" s="1"/>
  <c r="N377" i="2" s="1"/>
  <c r="B378" i="2" l="1"/>
  <c r="C378" i="2"/>
  <c r="G378" i="2" l="1"/>
  <c r="F378" i="2"/>
  <c r="K378" i="2" s="1"/>
  <c r="L378" i="2"/>
  <c r="J378" i="2" l="1"/>
  <c r="M378" i="2" s="1"/>
  <c r="N378" i="2" s="1"/>
  <c r="H378" i="2"/>
  <c r="I378" i="2" s="1"/>
  <c r="C379" i="2" l="1"/>
  <c r="B379" i="2"/>
  <c r="L379" i="2" l="1"/>
  <c r="F379" i="2"/>
  <c r="K379" i="2" s="1"/>
  <c r="G379" i="2"/>
  <c r="J379" i="2" l="1"/>
  <c r="M379" i="2" s="1"/>
  <c r="N379" i="2" s="1"/>
  <c r="H379" i="2"/>
  <c r="I379" i="2" s="1"/>
  <c r="C380" i="2" l="1"/>
  <c r="B380" i="2"/>
  <c r="L380" i="2" l="1"/>
  <c r="F380" i="2"/>
  <c r="K380" i="2" s="1"/>
  <c r="G380" i="2"/>
  <c r="J380" i="2" l="1"/>
  <c r="M380" i="2" s="1"/>
  <c r="N380" i="2" s="1"/>
  <c r="H380" i="2"/>
  <c r="I380" i="2" s="1"/>
  <c r="B381" i="2" l="1"/>
  <c r="C381" i="2"/>
  <c r="F381" i="2" l="1"/>
  <c r="K381" i="2" s="1"/>
  <c r="G381" i="2"/>
  <c r="L381" i="2"/>
  <c r="J381" i="2" l="1"/>
  <c r="M381" i="2" s="1"/>
  <c r="N381" i="2" s="1"/>
  <c r="H381" i="2"/>
  <c r="I381" i="2" s="1"/>
  <c r="B382" i="2" l="1"/>
  <c r="C382" i="2"/>
  <c r="L382" i="2" l="1"/>
  <c r="G382" i="2"/>
  <c r="F382" i="2"/>
  <c r="K382" i="2" s="1"/>
  <c r="H382" i="2" l="1"/>
  <c r="I382" i="2" s="1"/>
  <c r="J382" i="2"/>
  <c r="M382" i="2" s="1"/>
  <c r="N382" i="2" s="1"/>
  <c r="B383" i="2" l="1"/>
  <c r="C383" i="2"/>
  <c r="F383" i="2" l="1"/>
  <c r="K383" i="2" s="1"/>
  <c r="L383" i="2"/>
  <c r="G383" i="2"/>
  <c r="J383" i="2" l="1"/>
  <c r="M383" i="2" s="1"/>
  <c r="N383" i="2" s="1"/>
  <c r="H383" i="2"/>
  <c r="I383" i="2" s="1"/>
  <c r="B384" i="2" l="1"/>
  <c r="C384" i="2"/>
  <c r="G384" i="2" l="1"/>
  <c r="F384" i="2"/>
  <c r="K384" i="2" s="1"/>
  <c r="L384" i="2"/>
  <c r="J384" i="2" l="1"/>
  <c r="M384" i="2" s="1"/>
  <c r="N384" i="2" s="1"/>
  <c r="H384" i="2"/>
  <c r="I384" i="2" s="1"/>
  <c r="B385" i="2" l="1"/>
  <c r="C385" i="2"/>
  <c r="L385" i="2" l="1"/>
  <c r="G385" i="2"/>
  <c r="F385" i="2"/>
  <c r="K385" i="2" s="1"/>
  <c r="J385" i="2" l="1"/>
  <c r="M385" i="2" s="1"/>
  <c r="N385" i="2" s="1"/>
  <c r="H385" i="2"/>
  <c r="I385" i="2" s="1"/>
  <c r="B386" i="2" l="1"/>
  <c r="C386" i="2"/>
  <c r="L386" i="2" l="1"/>
  <c r="F386" i="2"/>
  <c r="K386" i="2" s="1"/>
  <c r="G386" i="2"/>
  <c r="J386" i="2" l="1"/>
  <c r="M386" i="2" s="1"/>
  <c r="N386" i="2" s="1"/>
  <c r="H386" i="2"/>
  <c r="I386" i="2" s="1"/>
  <c r="C387" i="2" l="1"/>
  <c r="B387" i="2"/>
  <c r="L387" i="2" l="1"/>
  <c r="F387" i="2"/>
  <c r="K387" i="2" s="1"/>
  <c r="G387" i="2"/>
  <c r="H387" i="2" l="1"/>
  <c r="I387" i="2" s="1"/>
  <c r="J387" i="2"/>
  <c r="M387" i="2" s="1"/>
  <c r="N387" i="2" s="1"/>
  <c r="C388" i="2" l="1"/>
  <c r="B388" i="2"/>
  <c r="F388" i="2" l="1"/>
  <c r="K388" i="2" s="1"/>
  <c r="G388" i="2"/>
  <c r="L388" i="2"/>
  <c r="H388" i="2" l="1"/>
  <c r="I388" i="2" s="1"/>
  <c r="J388" i="2"/>
  <c r="M388" i="2" s="1"/>
  <c r="N388" i="2" s="1"/>
  <c r="B389" i="2" l="1"/>
  <c r="C389" i="2"/>
  <c r="L389" i="2" l="1"/>
  <c r="F389" i="2"/>
  <c r="K389" i="2" s="1"/>
  <c r="G389" i="2"/>
  <c r="J389" i="2" l="1"/>
  <c r="M389" i="2" s="1"/>
  <c r="N389" i="2" s="1"/>
  <c r="H389" i="2"/>
  <c r="I389" i="2" s="1"/>
  <c r="B390" i="2" l="1"/>
  <c r="C390" i="2"/>
  <c r="L390" i="2" l="1"/>
  <c r="G390" i="2"/>
  <c r="F390" i="2"/>
  <c r="K390" i="2" s="1"/>
  <c r="H390" i="2" l="1"/>
  <c r="I390" i="2" s="1"/>
  <c r="J390" i="2"/>
  <c r="M390" i="2" s="1"/>
  <c r="N390" i="2" s="1"/>
  <c r="B391" i="2" l="1"/>
  <c r="C391" i="2"/>
  <c r="G391" i="2" l="1"/>
  <c r="F391" i="2"/>
  <c r="K391" i="2" s="1"/>
  <c r="L391" i="2"/>
  <c r="J391" i="2" l="1"/>
  <c r="M391" i="2" s="1"/>
  <c r="N391" i="2" s="1"/>
  <c r="H391" i="2"/>
  <c r="I391" i="2" s="1"/>
  <c r="C392" i="2" l="1"/>
  <c r="B392" i="2"/>
  <c r="F392" i="2" l="1"/>
  <c r="K392" i="2" s="1"/>
  <c r="L392" i="2"/>
  <c r="G392" i="2"/>
  <c r="H392" i="2" l="1"/>
  <c r="I392" i="2" s="1"/>
  <c r="J392" i="2"/>
  <c r="M392" i="2" s="1"/>
  <c r="N392" i="2" s="1"/>
  <c r="C393" i="2" l="1"/>
  <c r="B393" i="2"/>
  <c r="L393" i="2" l="1"/>
  <c r="F393" i="2"/>
  <c r="K393" i="2" s="1"/>
  <c r="G393" i="2"/>
  <c r="H393" i="2" l="1"/>
  <c r="I393" i="2" s="1"/>
  <c r="J393" i="2"/>
  <c r="M393" i="2" s="1"/>
  <c r="N393" i="2" s="1"/>
  <c r="B394" i="2" l="1"/>
  <c r="C394" i="2"/>
  <c r="G394" i="2" l="1"/>
  <c r="F394" i="2"/>
  <c r="K394" i="2" s="1"/>
  <c r="L394" i="2"/>
  <c r="H394" i="2" l="1"/>
  <c r="I394" i="2" s="1"/>
  <c r="J394" i="2"/>
  <c r="M394" i="2" s="1"/>
  <c r="N394" i="2" s="1"/>
  <c r="C395" i="2" l="1"/>
  <c r="B395" i="2"/>
  <c r="L395" i="2" l="1"/>
  <c r="F395" i="2"/>
  <c r="K395" i="2" s="1"/>
  <c r="G395" i="2"/>
  <c r="H395" i="2" l="1"/>
  <c r="I395" i="2" s="1"/>
  <c r="J395" i="2"/>
  <c r="M395" i="2" s="1"/>
  <c r="N395" i="2" s="1"/>
  <c r="C396" i="2" l="1"/>
  <c r="B396" i="2"/>
  <c r="L396" i="2" l="1"/>
  <c r="G396" i="2"/>
  <c r="F396" i="2"/>
  <c r="K396" i="2" s="1"/>
  <c r="H396" i="2" l="1"/>
  <c r="I396" i="2" s="1"/>
  <c r="J396" i="2"/>
  <c r="M396" i="2" s="1"/>
  <c r="N396" i="2" s="1"/>
  <c r="B397" i="2" l="1"/>
  <c r="C397" i="2"/>
  <c r="G397" i="2" l="1"/>
  <c r="F397" i="2"/>
  <c r="K397" i="2" s="1"/>
  <c r="L397" i="2"/>
  <c r="J397" i="2" l="1"/>
  <c r="M397" i="2" s="1"/>
  <c r="N397" i="2" s="1"/>
  <c r="H397" i="2"/>
  <c r="I397" i="2" s="1"/>
  <c r="C398" i="2" l="1"/>
  <c r="B398" i="2"/>
  <c r="L398" i="2" l="1"/>
  <c r="F398" i="2"/>
  <c r="K398" i="2" s="1"/>
  <c r="G398" i="2"/>
  <c r="H398" i="2" l="1"/>
  <c r="I398" i="2" s="1"/>
  <c r="J398" i="2"/>
  <c r="M398" i="2" s="1"/>
  <c r="N398" i="2" s="1"/>
  <c r="C399" i="2" l="1"/>
  <c r="B399" i="2"/>
  <c r="F399" i="2" l="1"/>
  <c r="K399" i="2" s="1"/>
  <c r="L399" i="2"/>
  <c r="G399" i="2"/>
  <c r="J399" i="2" l="1"/>
  <c r="M399" i="2" s="1"/>
  <c r="N399" i="2" s="1"/>
  <c r="H399" i="2"/>
  <c r="I399" i="2" s="1"/>
  <c r="C400" i="2" l="1"/>
  <c r="B400" i="2"/>
  <c r="G400" i="2" l="1"/>
  <c r="L400" i="2"/>
  <c r="F400" i="2"/>
  <c r="K400" i="2" s="1"/>
  <c r="J400" i="2" l="1"/>
  <c r="M400" i="2" s="1"/>
  <c r="N400" i="2" s="1"/>
  <c r="H400" i="2"/>
  <c r="I400" i="2" s="1"/>
  <c r="B401" i="2" l="1"/>
  <c r="C401" i="2"/>
  <c r="L401" i="2" l="1"/>
  <c r="G401" i="2"/>
  <c r="F401" i="2"/>
  <c r="K401" i="2" s="1"/>
  <c r="J401" i="2" l="1"/>
  <c r="M401" i="2" s="1"/>
  <c r="N401" i="2" s="1"/>
  <c r="H401" i="2"/>
  <c r="I401" i="2" s="1"/>
  <c r="B402" i="2" l="1"/>
  <c r="C402" i="2"/>
  <c r="L402" i="2" l="1"/>
  <c r="F402" i="2"/>
  <c r="K402" i="2" s="1"/>
  <c r="G402" i="2"/>
  <c r="J402" i="2" l="1"/>
  <c r="M402" i="2" s="1"/>
  <c r="N402" i="2" s="1"/>
  <c r="H402" i="2"/>
  <c r="I402" i="2" s="1"/>
  <c r="B403" i="2" l="1"/>
  <c r="C403" i="2"/>
  <c r="G403" i="2" l="1"/>
  <c r="L403" i="2"/>
  <c r="F403" i="2"/>
  <c r="K403" i="2" s="1"/>
  <c r="J403" i="2" l="1"/>
  <c r="M403" i="2" s="1"/>
  <c r="N403" i="2" s="1"/>
  <c r="H403" i="2"/>
  <c r="I403" i="2" s="1"/>
  <c r="C404" i="2" l="1"/>
  <c r="B404" i="2"/>
  <c r="L404" i="2" l="1"/>
  <c r="G404" i="2"/>
  <c r="F404" i="2"/>
  <c r="K404" i="2" s="1"/>
  <c r="H404" i="2" l="1"/>
  <c r="I404" i="2" s="1"/>
  <c r="J404" i="2"/>
  <c r="M404" i="2" s="1"/>
  <c r="N404" i="2" s="1"/>
  <c r="C405" i="2" l="1"/>
  <c r="B405" i="2"/>
  <c r="F405" i="2" l="1"/>
  <c r="K405" i="2" s="1"/>
  <c r="G405" i="2"/>
  <c r="L405" i="2"/>
  <c r="H405" i="2" l="1"/>
  <c r="I405" i="2" s="1"/>
  <c r="J405" i="2"/>
  <c r="M405" i="2" s="1"/>
  <c r="N405" i="2" s="1"/>
  <c r="C406" i="2" l="1"/>
  <c r="B406" i="2"/>
  <c r="L406" i="2" l="1"/>
  <c r="G406" i="2"/>
  <c r="F406" i="2"/>
  <c r="K406" i="2" s="1"/>
  <c r="H406" i="2" l="1"/>
  <c r="I406" i="2" s="1"/>
  <c r="J406" i="2"/>
  <c r="M406" i="2" s="1"/>
  <c r="N406" i="2" s="1"/>
  <c r="B407" i="2" l="1"/>
  <c r="C407" i="2"/>
  <c r="G407" i="2" l="1"/>
  <c r="F407" i="2"/>
  <c r="K407" i="2" s="1"/>
  <c r="L407" i="2"/>
  <c r="J407" i="2" l="1"/>
  <c r="M407" i="2" s="1"/>
  <c r="N407" i="2" s="1"/>
  <c r="H407" i="2"/>
  <c r="I407" i="2" s="1"/>
  <c r="C408" i="2" l="1"/>
  <c r="B408" i="2"/>
  <c r="G408" i="2" l="1"/>
  <c r="F408" i="2"/>
  <c r="K408" i="2" s="1"/>
  <c r="L408" i="2"/>
  <c r="J408" i="2" l="1"/>
  <c r="M408" i="2" s="1"/>
  <c r="N408" i="2" s="1"/>
  <c r="H408" i="2"/>
  <c r="I408" i="2" s="1"/>
  <c r="C409" i="2" l="1"/>
  <c r="B409" i="2"/>
  <c r="L409" i="2" l="1"/>
  <c r="F409" i="2"/>
  <c r="K409" i="2" s="1"/>
  <c r="G409" i="2"/>
  <c r="H409" i="2" l="1"/>
  <c r="I409" i="2" s="1"/>
  <c r="J409" i="2"/>
  <c r="M409" i="2" s="1"/>
  <c r="N409" i="2" s="1"/>
  <c r="C410" i="2" l="1"/>
  <c r="B410" i="2"/>
  <c r="G410" i="2" l="1"/>
  <c r="F410" i="2"/>
  <c r="K410" i="2" s="1"/>
  <c r="L410" i="2"/>
  <c r="H410" i="2" l="1"/>
  <c r="I410" i="2" s="1"/>
  <c r="J410" i="2"/>
  <c r="M410" i="2" s="1"/>
  <c r="N410" i="2" s="1"/>
  <c r="B411" i="2" l="1"/>
  <c r="C411" i="2"/>
  <c r="F411" i="2" l="1"/>
  <c r="K411" i="2" s="1"/>
  <c r="L411" i="2"/>
  <c r="G411" i="2"/>
  <c r="J411" i="2" l="1"/>
  <c r="M411" i="2" s="1"/>
  <c r="N411" i="2" s="1"/>
  <c r="H411" i="2"/>
  <c r="I411" i="2" s="1"/>
  <c r="C412" i="2" l="1"/>
  <c r="B412" i="2"/>
  <c r="G412" i="2" l="1"/>
  <c r="F412" i="2"/>
  <c r="K412" i="2" s="1"/>
  <c r="L412" i="2"/>
  <c r="J412" i="2" l="1"/>
  <c r="M412" i="2" s="1"/>
  <c r="N412" i="2" s="1"/>
  <c r="H412" i="2"/>
  <c r="I412" i="2" s="1"/>
  <c r="B413" i="2" l="1"/>
  <c r="C413" i="2"/>
  <c r="L413" i="2" l="1"/>
  <c r="F413" i="2"/>
  <c r="K413" i="2" s="1"/>
  <c r="G413" i="2"/>
  <c r="H413" i="2" l="1"/>
  <c r="I413" i="2" s="1"/>
  <c r="J413" i="2"/>
  <c r="M413" i="2" s="1"/>
  <c r="N413" i="2" s="1"/>
  <c r="C414" i="2" l="1"/>
  <c r="B414" i="2"/>
  <c r="G414" i="2" l="1"/>
  <c r="F414" i="2"/>
  <c r="K414" i="2" s="1"/>
  <c r="L414" i="2"/>
  <c r="H414" i="2" l="1"/>
  <c r="I414" i="2" s="1"/>
  <c r="J414" i="2"/>
  <c r="M414" i="2" s="1"/>
  <c r="N414" i="2" s="1"/>
  <c r="C415" i="2" l="1"/>
  <c r="B415" i="2"/>
  <c r="F415" i="2" l="1"/>
  <c r="K415" i="2" s="1"/>
  <c r="L415" i="2"/>
  <c r="G415" i="2"/>
  <c r="H415" i="2" l="1"/>
  <c r="I415" i="2" s="1"/>
  <c r="J415" i="2"/>
  <c r="M415" i="2" s="1"/>
  <c r="N415" i="2" s="1"/>
  <c r="B416" i="2" l="1"/>
  <c r="C416" i="2"/>
  <c r="G416" i="2" l="1"/>
  <c r="F416" i="2"/>
  <c r="K416" i="2" s="1"/>
  <c r="L416" i="2"/>
  <c r="H416" i="2" l="1"/>
  <c r="I416" i="2" s="1"/>
  <c r="J416" i="2"/>
  <c r="M416" i="2" s="1"/>
  <c r="N416" i="2" s="1"/>
  <c r="B417" i="2" l="1"/>
  <c r="C417" i="2"/>
  <c r="F417" i="2" l="1"/>
  <c r="K417" i="2" s="1"/>
  <c r="G417" i="2"/>
  <c r="L417" i="2"/>
  <c r="J417" i="2" l="1"/>
  <c r="M417" i="2" s="1"/>
  <c r="N417" i="2" s="1"/>
  <c r="H417" i="2"/>
  <c r="I417" i="2" s="1"/>
  <c r="C418" i="2" l="1"/>
  <c r="B418" i="2"/>
  <c r="G418" i="2" l="1"/>
  <c r="L418" i="2"/>
  <c r="F418" i="2"/>
  <c r="K418" i="2" s="1"/>
  <c r="J418" i="2" l="1"/>
  <c r="M418" i="2" s="1"/>
  <c r="N418" i="2" s="1"/>
  <c r="H418" i="2"/>
  <c r="I418" i="2" s="1"/>
  <c r="B419" i="2" l="1"/>
  <c r="C419" i="2"/>
  <c r="F419" i="2" l="1"/>
  <c r="K419" i="2" s="1"/>
  <c r="G419" i="2"/>
  <c r="L419" i="2"/>
  <c r="J419" i="2" l="1"/>
  <c r="M419" i="2" s="1"/>
  <c r="N419" i="2" s="1"/>
  <c r="H419" i="2"/>
  <c r="I419" i="2" s="1"/>
  <c r="B420" i="2" l="1"/>
  <c r="C420" i="2"/>
  <c r="F420" i="2" l="1"/>
  <c r="K420" i="2" s="1"/>
  <c r="G420" i="2"/>
  <c r="L420" i="2"/>
  <c r="J420" i="2" l="1"/>
  <c r="M420" i="2" s="1"/>
  <c r="N420" i="2" s="1"/>
  <c r="H420" i="2"/>
  <c r="I420" i="2" s="1"/>
  <c r="C421" i="2" l="1"/>
  <c r="B421" i="2"/>
  <c r="F421" i="2" l="1"/>
  <c r="K421" i="2" s="1"/>
  <c r="L421" i="2"/>
  <c r="G421" i="2"/>
  <c r="J421" i="2" l="1"/>
  <c r="M421" i="2" s="1"/>
  <c r="N421" i="2" s="1"/>
  <c r="H421" i="2"/>
  <c r="I421" i="2" s="1"/>
  <c r="C422" i="2" l="1"/>
  <c r="B422" i="2"/>
  <c r="G422" i="2" l="1"/>
  <c r="L422" i="2"/>
  <c r="F422" i="2"/>
  <c r="K422" i="2" s="1"/>
  <c r="H422" i="2" l="1"/>
  <c r="I422" i="2" s="1"/>
  <c r="J422" i="2"/>
  <c r="M422" i="2" s="1"/>
  <c r="N422" i="2" s="1"/>
  <c r="C423" i="2" l="1"/>
  <c r="B423" i="2"/>
  <c r="G423" i="2" l="1"/>
  <c r="L423" i="2"/>
  <c r="F423" i="2"/>
  <c r="K423" i="2" s="1"/>
  <c r="H423" i="2" l="1"/>
  <c r="I423" i="2" s="1"/>
  <c r="J423" i="2"/>
  <c r="M423" i="2" s="1"/>
  <c r="N423" i="2" s="1"/>
  <c r="B424" i="2" l="1"/>
  <c r="C424" i="2"/>
  <c r="G424" i="2" l="1"/>
  <c r="L424" i="2"/>
  <c r="F424" i="2"/>
  <c r="K424" i="2" s="1"/>
  <c r="J424" i="2" l="1"/>
  <c r="M424" i="2" s="1"/>
  <c r="N424" i="2" s="1"/>
  <c r="H424" i="2"/>
  <c r="I424" i="2" s="1"/>
  <c r="C425" i="2" l="1"/>
  <c r="B425" i="2"/>
  <c r="F425" i="2" l="1"/>
  <c r="K425" i="2" s="1"/>
  <c r="G425" i="2"/>
  <c r="L425" i="2"/>
  <c r="J425" i="2" l="1"/>
  <c r="M425" i="2" s="1"/>
  <c r="N425" i="2" s="1"/>
  <c r="H425" i="2"/>
  <c r="I425" i="2" s="1"/>
  <c r="C426" i="2" l="1"/>
  <c r="B426" i="2"/>
  <c r="F426" i="2" l="1"/>
  <c r="K426" i="2" s="1"/>
  <c r="G426" i="2"/>
  <c r="L426" i="2"/>
  <c r="H426" i="2" l="1"/>
  <c r="I426" i="2" s="1"/>
  <c r="J426" i="2"/>
  <c r="M426" i="2" s="1"/>
  <c r="N426" i="2" s="1"/>
  <c r="B427" i="2" l="1"/>
  <c r="C427" i="2"/>
  <c r="G427" i="2" l="1"/>
  <c r="F427" i="2"/>
  <c r="K427" i="2" s="1"/>
  <c r="L427" i="2"/>
  <c r="J427" i="2" l="1"/>
  <c r="M427" i="2" s="1"/>
  <c r="N427" i="2" s="1"/>
  <c r="H427" i="2"/>
  <c r="I427" i="2" s="1"/>
  <c r="C428" i="2" l="1"/>
  <c r="B428" i="2"/>
  <c r="G428" i="2" l="1"/>
  <c r="F428" i="2"/>
  <c r="K428" i="2" s="1"/>
  <c r="L428" i="2"/>
  <c r="J428" i="2" l="1"/>
  <c r="M428" i="2" s="1"/>
  <c r="N428" i="2" s="1"/>
  <c r="H428" i="2"/>
  <c r="I428" i="2" s="1"/>
  <c r="C429" i="2" l="1"/>
  <c r="B429" i="2"/>
  <c r="G429" i="2" l="1"/>
  <c r="F429" i="2"/>
  <c r="K429" i="2" s="1"/>
  <c r="L429" i="2"/>
  <c r="H429" i="2" l="1"/>
  <c r="I429" i="2" s="1"/>
  <c r="J429" i="2"/>
  <c r="M429" i="2" s="1"/>
  <c r="N429" i="2" s="1"/>
  <c r="C430" i="2" l="1"/>
  <c r="B430" i="2"/>
  <c r="F430" i="2" l="1"/>
  <c r="K430" i="2" s="1"/>
  <c r="G430" i="2"/>
  <c r="L430" i="2"/>
  <c r="J430" i="2" l="1"/>
  <c r="M430" i="2" s="1"/>
  <c r="N430" i="2" s="1"/>
  <c r="H430" i="2"/>
  <c r="I430" i="2" s="1"/>
  <c r="C431" i="2" l="1"/>
  <c r="B431" i="2"/>
  <c r="L431" i="2" l="1"/>
  <c r="G431" i="2"/>
  <c r="F431" i="2"/>
  <c r="K431" i="2" s="1"/>
  <c r="J431" i="2" l="1"/>
  <c r="M431" i="2" s="1"/>
  <c r="N431" i="2" s="1"/>
  <c r="H431" i="2"/>
  <c r="I431" i="2" s="1"/>
  <c r="B432" i="2" l="1"/>
  <c r="C432" i="2"/>
  <c r="F432" i="2" l="1"/>
  <c r="K432" i="2" s="1"/>
  <c r="L432" i="2"/>
  <c r="G432" i="2"/>
  <c r="J432" i="2" l="1"/>
  <c r="M432" i="2" s="1"/>
  <c r="N432" i="2" s="1"/>
  <c r="H432" i="2"/>
  <c r="I432" i="2" s="1"/>
  <c r="B433" i="2" l="1"/>
  <c r="C433" i="2"/>
  <c r="L433" i="2" l="1"/>
  <c r="G433" i="2"/>
  <c r="F433" i="2"/>
  <c r="K433" i="2" s="1"/>
  <c r="J433" i="2" l="1"/>
  <c r="M433" i="2" s="1"/>
  <c r="N433" i="2" s="1"/>
  <c r="H433" i="2"/>
  <c r="I433" i="2" s="1"/>
  <c r="C434" i="2" l="1"/>
  <c r="B434" i="2"/>
  <c r="L434" i="2" l="1"/>
  <c r="G434" i="2"/>
  <c r="F434" i="2"/>
  <c r="K434" i="2" s="1"/>
  <c r="H434" i="2" l="1"/>
  <c r="I434" i="2" s="1"/>
  <c r="J434" i="2"/>
  <c r="M434" i="2" s="1"/>
  <c r="N434" i="2" s="1"/>
  <c r="C435" i="2" l="1"/>
  <c r="B435" i="2"/>
  <c r="F435" i="2" l="1"/>
  <c r="K435" i="2" s="1"/>
  <c r="L435" i="2"/>
  <c r="G435" i="2"/>
  <c r="J435" i="2" l="1"/>
  <c r="M435" i="2" s="1"/>
  <c r="N435" i="2" s="1"/>
  <c r="H435" i="2"/>
  <c r="I435" i="2" s="1"/>
  <c r="B436" i="2" l="1"/>
  <c r="C436" i="2"/>
  <c r="L436" i="2" l="1"/>
  <c r="F436" i="2"/>
  <c r="K436" i="2" s="1"/>
  <c r="G436" i="2"/>
  <c r="H436" i="2" l="1"/>
  <c r="I436" i="2" s="1"/>
  <c r="J436" i="2"/>
  <c r="M436" i="2" s="1"/>
  <c r="N436" i="2" s="1"/>
  <c r="B437" i="2" l="1"/>
  <c r="C437" i="2"/>
  <c r="G437" i="2" l="1"/>
  <c r="F437" i="2"/>
  <c r="K437" i="2" s="1"/>
  <c r="L437" i="2"/>
  <c r="J437" i="2" l="1"/>
  <c r="M437" i="2" s="1"/>
  <c r="N437" i="2" s="1"/>
  <c r="H437" i="2"/>
  <c r="I437" i="2" s="1"/>
  <c r="C438" i="2" l="1"/>
  <c r="B438" i="2"/>
  <c r="G438" i="2" l="1"/>
  <c r="F438" i="2"/>
  <c r="K438" i="2" s="1"/>
  <c r="L438" i="2"/>
  <c r="H438" i="2" l="1"/>
  <c r="I438" i="2" s="1"/>
  <c r="J438" i="2"/>
  <c r="M438" i="2" s="1"/>
  <c r="N438" i="2" s="1"/>
  <c r="C439" i="2" l="1"/>
  <c r="B439" i="2"/>
  <c r="L439" i="2" l="1"/>
  <c r="G439" i="2"/>
  <c r="F439" i="2"/>
  <c r="K439" i="2" s="1"/>
  <c r="J439" i="2" l="1"/>
  <c r="M439" i="2" s="1"/>
  <c r="N439" i="2" s="1"/>
  <c r="H439" i="2"/>
  <c r="I439" i="2" s="1"/>
  <c r="C440" i="2" l="1"/>
  <c r="B440" i="2"/>
  <c r="F440" i="2" l="1"/>
  <c r="K440" i="2" s="1"/>
  <c r="L440" i="2"/>
  <c r="G440" i="2"/>
  <c r="H440" i="2" l="1"/>
  <c r="I440" i="2" s="1"/>
  <c r="J440" i="2"/>
  <c r="M440" i="2" s="1"/>
  <c r="N440" i="2" s="1"/>
  <c r="B441" i="2" l="1"/>
  <c r="C441" i="2"/>
  <c r="F441" i="2" l="1"/>
  <c r="K441" i="2" s="1"/>
  <c r="G441" i="2"/>
  <c r="L441" i="2"/>
  <c r="H441" i="2" l="1"/>
  <c r="I441" i="2" s="1"/>
  <c r="J441" i="2"/>
  <c r="M441" i="2" s="1"/>
  <c r="N441" i="2" s="1"/>
  <c r="B442" i="2" l="1"/>
  <c r="C442" i="2"/>
  <c r="G442" i="2" l="1"/>
  <c r="F442" i="2"/>
  <c r="K442" i="2" s="1"/>
  <c r="L442" i="2"/>
  <c r="H442" i="2" l="1"/>
  <c r="I442" i="2" s="1"/>
  <c r="J442" i="2"/>
  <c r="M442" i="2" s="1"/>
  <c r="N442" i="2" s="1"/>
  <c r="C443" i="2" l="1"/>
  <c r="B443" i="2"/>
  <c r="F443" i="2" l="1"/>
  <c r="K443" i="2" s="1"/>
  <c r="G443" i="2"/>
  <c r="L443" i="2"/>
  <c r="H443" i="2" l="1"/>
  <c r="I443" i="2" s="1"/>
  <c r="J443" i="2"/>
  <c r="M443" i="2" s="1"/>
  <c r="N443" i="2" s="1"/>
  <c r="B444" i="2" l="1"/>
  <c r="C444" i="2"/>
  <c r="L444" i="2" l="1"/>
  <c r="G444" i="2"/>
  <c r="F444" i="2"/>
  <c r="K444" i="2" s="1"/>
  <c r="J444" i="2" l="1"/>
  <c r="M444" i="2" s="1"/>
  <c r="N444" i="2" s="1"/>
  <c r="H444" i="2"/>
  <c r="I444" i="2" s="1"/>
  <c r="C445" i="2" l="1"/>
  <c r="B445" i="2"/>
  <c r="G445" i="2" l="1"/>
  <c r="F445" i="2"/>
  <c r="K445" i="2" s="1"/>
  <c r="L445" i="2"/>
  <c r="H445" i="2" l="1"/>
  <c r="I445" i="2" s="1"/>
  <c r="J445" i="2"/>
  <c r="M445" i="2" s="1"/>
  <c r="N445" i="2" s="1"/>
  <c r="B446" i="2" l="1"/>
  <c r="C446" i="2"/>
  <c r="G446" i="2" l="1"/>
  <c r="L446" i="2"/>
  <c r="F446" i="2"/>
  <c r="K446" i="2" s="1"/>
  <c r="H446" i="2" l="1"/>
  <c r="I446" i="2" s="1"/>
  <c r="J446" i="2"/>
  <c r="M446" i="2" s="1"/>
  <c r="N446" i="2" s="1"/>
  <c r="C447" i="2" l="1"/>
  <c r="B447" i="2"/>
  <c r="L447" i="2" l="1"/>
  <c r="G447" i="2"/>
  <c r="F447" i="2"/>
  <c r="K447" i="2" s="1"/>
  <c r="H447" i="2" l="1"/>
  <c r="I447" i="2" s="1"/>
  <c r="J447" i="2"/>
  <c r="M447" i="2" s="1"/>
  <c r="N447" i="2" s="1"/>
  <c r="C448" i="2" l="1"/>
  <c r="B448" i="2"/>
  <c r="L448" i="2" l="1"/>
  <c r="G448" i="2"/>
  <c r="F448" i="2"/>
  <c r="K448" i="2" s="1"/>
  <c r="J448" i="2" l="1"/>
  <c r="M448" i="2" s="1"/>
  <c r="N448" i="2" s="1"/>
  <c r="H448" i="2"/>
  <c r="I448" i="2" s="1"/>
  <c r="B449" i="2" l="1"/>
  <c r="C449" i="2"/>
  <c r="G449" i="2" l="1"/>
  <c r="F449" i="2"/>
  <c r="K449" i="2" s="1"/>
  <c r="L449" i="2"/>
  <c r="H449" i="2" l="1"/>
  <c r="I449" i="2" s="1"/>
  <c r="J449" i="2"/>
  <c r="M449" i="2" s="1"/>
  <c r="N449" i="2" s="1"/>
  <c r="B450" i="2" l="1"/>
  <c r="C450" i="2"/>
  <c r="G450" i="2" l="1"/>
  <c r="L450" i="2"/>
  <c r="F450" i="2"/>
  <c r="K450" i="2" s="1"/>
  <c r="J450" i="2" l="1"/>
  <c r="M450" i="2" s="1"/>
  <c r="N450" i="2" s="1"/>
  <c r="H450" i="2"/>
  <c r="I450" i="2" s="1"/>
  <c r="B451" i="2" l="1"/>
  <c r="C451" i="2"/>
  <c r="G451" i="2" l="1"/>
  <c r="L451" i="2"/>
  <c r="F451" i="2"/>
  <c r="K451" i="2" s="1"/>
  <c r="H451" i="2" l="1"/>
  <c r="I451" i="2" s="1"/>
  <c r="J451" i="2"/>
  <c r="M451" i="2" s="1"/>
  <c r="N451" i="2" s="1"/>
  <c r="B452" i="2" l="1"/>
  <c r="C452" i="2"/>
  <c r="L452" i="2" l="1"/>
  <c r="G452" i="2"/>
  <c r="F452" i="2"/>
  <c r="K452" i="2" s="1"/>
  <c r="J452" i="2" l="1"/>
  <c r="M452" i="2" s="1"/>
  <c r="N452" i="2" s="1"/>
  <c r="H452" i="2"/>
  <c r="I452" i="2" s="1"/>
  <c r="C453" i="2" l="1"/>
  <c r="B453" i="2"/>
  <c r="F453" i="2" l="1"/>
  <c r="K453" i="2" s="1"/>
  <c r="G453" i="2"/>
  <c r="L453" i="2"/>
  <c r="J453" i="2" l="1"/>
  <c r="M453" i="2" s="1"/>
  <c r="N453" i="2" s="1"/>
  <c r="H453" i="2"/>
  <c r="I453" i="2" s="1"/>
  <c r="C454" i="2" l="1"/>
  <c r="B454" i="2"/>
  <c r="F454" i="2" l="1"/>
  <c r="K454" i="2" s="1"/>
  <c r="L454" i="2"/>
  <c r="G454" i="2"/>
  <c r="J454" i="2" l="1"/>
  <c r="M454" i="2" s="1"/>
  <c r="N454" i="2" s="1"/>
  <c r="H454" i="2"/>
  <c r="I454" i="2" s="1"/>
  <c r="C455" i="2" l="1"/>
  <c r="B455" i="2"/>
  <c r="L455" i="2" l="1"/>
  <c r="G455" i="2"/>
  <c r="F455" i="2"/>
  <c r="K455" i="2" s="1"/>
  <c r="H455" i="2" l="1"/>
  <c r="I455" i="2" s="1"/>
  <c r="J455" i="2"/>
  <c r="M455" i="2" s="1"/>
  <c r="N455" i="2" s="1"/>
  <c r="B456" i="2" l="1"/>
  <c r="C456" i="2"/>
  <c r="L456" i="2" l="1"/>
  <c r="G456" i="2"/>
  <c r="F456" i="2"/>
  <c r="K456" i="2" s="1"/>
  <c r="J456" i="2" l="1"/>
  <c r="M456" i="2" s="1"/>
  <c r="N456" i="2" s="1"/>
  <c r="H456" i="2"/>
  <c r="I456" i="2" s="1"/>
  <c r="C457" i="2" l="1"/>
  <c r="B457" i="2"/>
  <c r="F457" i="2" l="1"/>
  <c r="K457" i="2" s="1"/>
  <c r="G457" i="2"/>
  <c r="L457" i="2"/>
  <c r="J457" i="2" l="1"/>
  <c r="M457" i="2" s="1"/>
  <c r="N457" i="2" s="1"/>
  <c r="H457" i="2"/>
  <c r="I457" i="2" s="1"/>
  <c r="B458" i="2" l="1"/>
  <c r="C458" i="2"/>
  <c r="F458" i="2" l="1"/>
  <c r="K458" i="2" s="1"/>
  <c r="G458" i="2"/>
  <c r="L458" i="2"/>
  <c r="H458" i="2" l="1"/>
  <c r="I458" i="2" s="1"/>
  <c r="J458" i="2"/>
  <c r="M458" i="2" s="1"/>
  <c r="N458" i="2" s="1"/>
  <c r="B459" i="2" l="1"/>
  <c r="C459" i="2"/>
  <c r="F459" i="2" l="1"/>
  <c r="K459" i="2" s="1"/>
  <c r="G459" i="2"/>
  <c r="L459" i="2"/>
  <c r="J459" i="2" l="1"/>
  <c r="M459" i="2" s="1"/>
  <c r="N459" i="2" s="1"/>
  <c r="H459" i="2"/>
  <c r="I459" i="2" s="1"/>
  <c r="B460" i="2" l="1"/>
  <c r="C460" i="2"/>
  <c r="F460" i="2" l="1"/>
  <c r="K460" i="2" s="1"/>
  <c r="L460" i="2"/>
  <c r="G460" i="2"/>
  <c r="J460" i="2" l="1"/>
  <c r="M460" i="2" s="1"/>
  <c r="N460" i="2" s="1"/>
  <c r="H460" i="2"/>
  <c r="I460" i="2" s="1"/>
  <c r="B461" i="2" l="1"/>
  <c r="C461" i="2"/>
  <c r="L461" i="2" l="1"/>
  <c r="G461" i="2"/>
  <c r="F461" i="2"/>
  <c r="K461" i="2" s="1"/>
  <c r="J461" i="2" l="1"/>
  <c r="M461" i="2" s="1"/>
  <c r="N461" i="2" s="1"/>
  <c r="H461" i="2"/>
  <c r="I461" i="2" s="1"/>
  <c r="B462" i="2" l="1"/>
  <c r="C462" i="2"/>
  <c r="F462" i="2" l="1"/>
  <c r="K462" i="2" s="1"/>
  <c r="G462" i="2"/>
  <c r="L462" i="2"/>
  <c r="J462" i="2" l="1"/>
  <c r="M462" i="2" s="1"/>
  <c r="N462" i="2" s="1"/>
  <c r="H462" i="2"/>
  <c r="I462" i="2" s="1"/>
  <c r="C463" i="2" l="1"/>
  <c r="B463" i="2"/>
  <c r="L463" i="2" l="1"/>
  <c r="F463" i="2"/>
  <c r="K463" i="2" s="1"/>
  <c r="G463" i="2"/>
  <c r="J463" i="2" l="1"/>
  <c r="M463" i="2" s="1"/>
  <c r="N463" i="2" s="1"/>
  <c r="H463" i="2"/>
  <c r="I463" i="2" s="1"/>
  <c r="C464" i="2" l="1"/>
  <c r="B464" i="2"/>
  <c r="F464" i="2" l="1"/>
  <c r="K464" i="2" s="1"/>
  <c r="L464" i="2"/>
  <c r="G464" i="2"/>
  <c r="H464" i="2" l="1"/>
  <c r="I464" i="2" s="1"/>
  <c r="J464" i="2"/>
  <c r="M464" i="2" s="1"/>
  <c r="N464" i="2" s="1"/>
  <c r="C465" i="2" l="1"/>
  <c r="B465" i="2"/>
  <c r="G465" i="2" l="1"/>
  <c r="F465" i="2"/>
  <c r="K465" i="2" s="1"/>
  <c r="L465" i="2"/>
  <c r="H465" i="2" l="1"/>
  <c r="I465" i="2" s="1"/>
  <c r="J465" i="2"/>
  <c r="M465" i="2" s="1"/>
  <c r="N465" i="2" s="1"/>
  <c r="C466" i="2" l="1"/>
  <c r="B466" i="2"/>
  <c r="G466" i="2" l="1"/>
  <c r="L466" i="2"/>
  <c r="F466" i="2"/>
  <c r="K466" i="2" s="1"/>
  <c r="J466" i="2" l="1"/>
  <c r="M466" i="2" s="1"/>
  <c r="N466" i="2" s="1"/>
  <c r="H466" i="2"/>
  <c r="I466" i="2" s="1"/>
  <c r="C467" i="2" l="1"/>
  <c r="B467" i="2"/>
  <c r="L467" i="2" l="1"/>
  <c r="G467" i="2"/>
  <c r="F467" i="2"/>
  <c r="K467" i="2" s="1"/>
  <c r="H467" i="2" l="1"/>
  <c r="I467" i="2" s="1"/>
  <c r="J467" i="2"/>
  <c r="M467" i="2" s="1"/>
  <c r="N467" i="2" s="1"/>
  <c r="C468" i="2" l="1"/>
  <c r="B468" i="2"/>
  <c r="L468" i="2" l="1"/>
  <c r="G468" i="2"/>
  <c r="F468" i="2"/>
  <c r="K468" i="2" s="1"/>
  <c r="J468" i="2" l="1"/>
  <c r="M468" i="2" s="1"/>
  <c r="N468" i="2" s="1"/>
  <c r="H468" i="2"/>
  <c r="I468" i="2" s="1"/>
  <c r="C469" i="2" l="1"/>
  <c r="B469" i="2"/>
  <c r="F469" i="2" l="1"/>
  <c r="K469" i="2" s="1"/>
  <c r="L469" i="2"/>
  <c r="G469" i="2"/>
  <c r="J469" i="2" l="1"/>
  <c r="M469" i="2" s="1"/>
  <c r="N469" i="2" s="1"/>
  <c r="H469" i="2"/>
  <c r="I469" i="2" s="1"/>
  <c r="C470" i="2" l="1"/>
  <c r="B470" i="2"/>
  <c r="G470" i="2" l="1"/>
  <c r="F470" i="2"/>
  <c r="K470" i="2" s="1"/>
  <c r="L470" i="2"/>
  <c r="H470" i="2" l="1"/>
  <c r="I470" i="2" s="1"/>
  <c r="J470" i="2"/>
  <c r="M470" i="2" s="1"/>
  <c r="N470" i="2" s="1"/>
  <c r="B471" i="2" l="1"/>
  <c r="C471" i="2"/>
  <c r="F471" i="2" l="1"/>
  <c r="K471" i="2" s="1"/>
  <c r="L471" i="2"/>
  <c r="G471" i="2"/>
  <c r="J471" i="2" l="1"/>
  <c r="M471" i="2" s="1"/>
  <c r="N471" i="2" s="1"/>
  <c r="H471" i="2"/>
  <c r="I471" i="2" s="1"/>
  <c r="B472" i="2" l="1"/>
  <c r="C472" i="2"/>
  <c r="F472" i="2" l="1"/>
  <c r="K472" i="2" s="1"/>
  <c r="G472" i="2"/>
  <c r="L472" i="2"/>
  <c r="H472" i="2" l="1"/>
  <c r="I472" i="2" s="1"/>
  <c r="J472" i="2"/>
  <c r="M472" i="2" s="1"/>
  <c r="N472" i="2" s="1"/>
  <c r="B473" i="2" l="1"/>
  <c r="C473" i="2"/>
  <c r="F473" i="2" l="1"/>
  <c r="K473" i="2" s="1"/>
  <c r="G473" i="2"/>
  <c r="L473" i="2"/>
  <c r="H473" i="2" l="1"/>
  <c r="I473" i="2" s="1"/>
  <c r="J473" i="2"/>
  <c r="M473" i="2" s="1"/>
  <c r="N473" i="2" s="1"/>
  <c r="B474" i="2" l="1"/>
  <c r="C474" i="2"/>
  <c r="F474" i="2" l="1"/>
  <c r="K474" i="2" s="1"/>
  <c r="G474" i="2"/>
  <c r="L474" i="2"/>
  <c r="J474" i="2" l="1"/>
  <c r="M474" i="2" s="1"/>
  <c r="N474" i="2" s="1"/>
  <c r="H474" i="2"/>
  <c r="I474" i="2" s="1"/>
  <c r="B475" i="2" l="1"/>
  <c r="C475" i="2"/>
  <c r="G475" i="2" l="1"/>
  <c r="L475" i="2"/>
  <c r="F475" i="2"/>
  <c r="K475" i="2" s="1"/>
  <c r="H475" i="2" l="1"/>
  <c r="I475" i="2" s="1"/>
  <c r="J475" i="2"/>
  <c r="M475" i="2" s="1"/>
  <c r="N475" i="2" s="1"/>
  <c r="B476" i="2" l="1"/>
  <c r="C476" i="2"/>
  <c r="L476" i="2" l="1"/>
  <c r="G476" i="2"/>
  <c r="F476" i="2"/>
  <c r="K476" i="2" s="1"/>
  <c r="H476" i="2" l="1"/>
  <c r="I476" i="2" s="1"/>
  <c r="J476" i="2"/>
  <c r="M476" i="2" s="1"/>
  <c r="N476" i="2" s="1"/>
  <c r="C477" i="2" l="1"/>
  <c r="B477" i="2"/>
  <c r="G477" i="2" l="1"/>
  <c r="F477" i="2"/>
  <c r="K477" i="2" s="1"/>
  <c r="L477" i="2"/>
  <c r="J477" i="2" l="1"/>
  <c r="M477" i="2" s="1"/>
  <c r="N477" i="2" s="1"/>
  <c r="H477" i="2"/>
  <c r="I477" i="2" s="1"/>
  <c r="B478" i="2" l="1"/>
  <c r="C478" i="2"/>
  <c r="G478" i="2" l="1"/>
  <c r="F478" i="2"/>
  <c r="K478" i="2" s="1"/>
  <c r="L478" i="2"/>
  <c r="J478" i="2" l="1"/>
  <c r="M478" i="2" s="1"/>
  <c r="N478" i="2" s="1"/>
  <c r="H478" i="2"/>
  <c r="I478" i="2" s="1"/>
  <c r="B479" i="2" l="1"/>
  <c r="C479" i="2"/>
  <c r="G479" i="2" l="1"/>
  <c r="L479" i="2"/>
  <c r="F479" i="2"/>
  <c r="K479" i="2" s="1"/>
  <c r="J479" i="2" l="1"/>
  <c r="M479" i="2" s="1"/>
  <c r="N479" i="2" s="1"/>
  <c r="H479" i="2"/>
  <c r="I479" i="2" s="1"/>
  <c r="C480" i="2" l="1"/>
  <c r="B480" i="2"/>
  <c r="G480" i="2" l="1"/>
  <c r="L480" i="2"/>
  <c r="F480" i="2"/>
  <c r="K480" i="2" s="1"/>
  <c r="J480" i="2" l="1"/>
  <c r="M480" i="2" s="1"/>
  <c r="N480" i="2" s="1"/>
  <c r="H480" i="2"/>
  <c r="I480" i="2" s="1"/>
  <c r="C481" i="2" l="1"/>
  <c r="B481" i="2"/>
  <c r="L481" i="2" l="1"/>
  <c r="F481" i="2"/>
  <c r="K481" i="2" s="1"/>
  <c r="G481" i="2"/>
  <c r="H481" i="2" l="1"/>
  <c r="I481" i="2" s="1"/>
  <c r="J481" i="2"/>
  <c r="M481" i="2" s="1"/>
  <c r="N481" i="2" s="1"/>
  <c r="B482" i="2" l="1"/>
  <c r="C482" i="2"/>
  <c r="F482" i="2" l="1"/>
  <c r="K482" i="2" s="1"/>
  <c r="L482" i="2"/>
  <c r="G482" i="2"/>
  <c r="H482" i="2" l="1"/>
  <c r="I482" i="2" s="1"/>
  <c r="J482" i="2"/>
  <c r="M482" i="2" s="1"/>
  <c r="N482" i="2" s="1"/>
  <c r="C483" i="2" l="1"/>
  <c r="B483" i="2"/>
  <c r="G483" i="2" l="1"/>
  <c r="L483" i="2"/>
  <c r="F483" i="2"/>
  <c r="K483" i="2" s="1"/>
  <c r="J483" i="2" l="1"/>
  <c r="M483" i="2" s="1"/>
  <c r="N483" i="2" s="1"/>
  <c r="H483" i="2"/>
  <c r="I483" i="2" s="1"/>
  <c r="C484" i="2" l="1"/>
  <c r="B484" i="2"/>
  <c r="L484" i="2" l="1"/>
  <c r="G484" i="2"/>
  <c r="F484" i="2"/>
  <c r="K484" i="2" s="1"/>
  <c r="H484" i="2" l="1"/>
  <c r="I484" i="2" s="1"/>
  <c r="J484" i="2"/>
  <c r="M484" i="2" s="1"/>
  <c r="N484" i="2" s="1"/>
  <c r="B485" i="2" l="1"/>
  <c r="C485" i="2"/>
  <c r="F485" i="2" l="1"/>
  <c r="K485" i="2" s="1"/>
  <c r="L485" i="2"/>
  <c r="G485" i="2"/>
  <c r="H485" i="2" l="1"/>
  <c r="I485" i="2" s="1"/>
  <c r="J485" i="2"/>
  <c r="M485" i="2" s="1"/>
  <c r="N485" i="2" s="1"/>
  <c r="B486" i="2" l="1"/>
  <c r="C486" i="2"/>
  <c r="L486" i="2" l="1"/>
  <c r="F486" i="2"/>
  <c r="K486" i="2" s="1"/>
  <c r="G486" i="2"/>
  <c r="J486" i="2" l="1"/>
  <c r="M486" i="2" s="1"/>
  <c r="N486" i="2" s="1"/>
  <c r="H486" i="2"/>
  <c r="I486" i="2" s="1"/>
  <c r="B487" i="2" l="1"/>
  <c r="C487" i="2"/>
  <c r="L487" i="2" l="1"/>
  <c r="G487" i="2"/>
  <c r="F487" i="2"/>
  <c r="K487" i="2" s="1"/>
  <c r="H487" i="2" l="1"/>
  <c r="I487" i="2" s="1"/>
  <c r="J487" i="2"/>
  <c r="M487" i="2" s="1"/>
  <c r="N487" i="2" s="1"/>
  <c r="C488" i="2" l="1"/>
  <c r="B488" i="2"/>
  <c r="F488" i="2" l="1"/>
  <c r="K488" i="2" s="1"/>
  <c r="G488" i="2"/>
  <c r="L488" i="2"/>
  <c r="J488" i="2" l="1"/>
  <c r="M488" i="2" s="1"/>
  <c r="N488" i="2" s="1"/>
  <c r="H488" i="2"/>
  <c r="I488" i="2" s="1"/>
  <c r="B489" i="2" l="1"/>
  <c r="C489" i="2"/>
  <c r="L489" i="2" l="1"/>
  <c r="G489" i="2"/>
  <c r="F489" i="2"/>
  <c r="K489" i="2" s="1"/>
  <c r="H489" i="2" l="1"/>
  <c r="I489" i="2" s="1"/>
  <c r="J489" i="2"/>
  <c r="M489" i="2" s="1"/>
  <c r="N489" i="2" s="1"/>
  <c r="B490" i="2" l="1"/>
  <c r="C490" i="2"/>
  <c r="G490" i="2" l="1"/>
  <c r="F490" i="2"/>
  <c r="K490" i="2" s="1"/>
  <c r="L490" i="2"/>
  <c r="J490" i="2" l="1"/>
  <c r="M490" i="2" s="1"/>
  <c r="N490" i="2" s="1"/>
  <c r="H490" i="2"/>
  <c r="I490" i="2" s="1"/>
  <c r="C491" i="2" l="1"/>
  <c r="B491" i="2"/>
  <c r="L491" i="2" l="1"/>
  <c r="F491" i="2"/>
  <c r="K491" i="2" s="1"/>
  <c r="G491" i="2"/>
  <c r="H491" i="2" l="1"/>
  <c r="I491" i="2" s="1"/>
  <c r="J491" i="2"/>
  <c r="M491" i="2" s="1"/>
  <c r="N491" i="2" s="1"/>
  <c r="B492" i="2" l="1"/>
  <c r="C492" i="2"/>
  <c r="F492" i="2" l="1"/>
  <c r="K492" i="2" s="1"/>
  <c r="G492" i="2"/>
  <c r="L492" i="2"/>
  <c r="J492" i="2" l="1"/>
  <c r="M492" i="2" s="1"/>
  <c r="N492" i="2" s="1"/>
  <c r="H492" i="2"/>
  <c r="I492" i="2" s="1"/>
  <c r="C493" i="2" l="1"/>
  <c r="B493" i="2"/>
  <c r="G493" i="2" s="1"/>
  <c r="F493" i="2" l="1"/>
  <c r="K493" i="2" s="1"/>
  <c r="L493" i="2"/>
  <c r="J493" i="2"/>
  <c r="H493" i="2"/>
  <c r="I493" i="2" s="1"/>
  <c r="M493" i="2" l="1"/>
  <c r="N493" i="2" s="1"/>
  <c r="C494" i="2"/>
  <c r="B494" i="2"/>
  <c r="L494" i="2" l="1"/>
  <c r="F494" i="2"/>
  <c r="K494" i="2" s="1"/>
  <c r="G494" i="2"/>
  <c r="J494" i="2" l="1"/>
  <c r="M494" i="2" s="1"/>
  <c r="N494" i="2" s="1"/>
  <c r="H494" i="2"/>
  <c r="I494" i="2" s="1"/>
  <c r="B495" i="2" l="1"/>
  <c r="C495" i="2"/>
  <c r="F495" i="2" l="1"/>
  <c r="K495" i="2" s="1"/>
  <c r="L495" i="2"/>
  <c r="G495" i="2"/>
  <c r="H495" i="2" l="1"/>
  <c r="I495" i="2" s="1"/>
  <c r="J495" i="2"/>
  <c r="M495" i="2" s="1"/>
  <c r="N495" i="2" s="1"/>
  <c r="B496" i="2" l="1"/>
  <c r="C496" i="2"/>
  <c r="G496" i="2" l="1"/>
  <c r="F496" i="2"/>
  <c r="K496" i="2" s="1"/>
  <c r="L496" i="2"/>
  <c r="H496" i="2" l="1"/>
  <c r="I496" i="2" s="1"/>
  <c r="J496" i="2"/>
  <c r="M496" i="2" s="1"/>
  <c r="N496" i="2" s="1"/>
  <c r="C497" i="2" l="1"/>
  <c r="B497" i="2"/>
  <c r="F497" i="2" l="1"/>
  <c r="K497" i="2" s="1"/>
  <c r="L497" i="2"/>
  <c r="G497" i="2"/>
  <c r="H497" i="2" l="1"/>
  <c r="I497" i="2" s="1"/>
  <c r="J497" i="2"/>
  <c r="M497" i="2" s="1"/>
  <c r="N497" i="2" s="1"/>
  <c r="C498" i="2" l="1"/>
  <c r="B498" i="2"/>
  <c r="F498" i="2" l="1"/>
  <c r="K498" i="2" s="1"/>
  <c r="G498" i="2"/>
  <c r="L498" i="2"/>
  <c r="J498" i="2" l="1"/>
  <c r="M498" i="2" s="1"/>
  <c r="N498" i="2" s="1"/>
  <c r="H498" i="2"/>
  <c r="I498" i="2" s="1"/>
  <c r="C499" i="2" l="1"/>
  <c r="B499" i="2"/>
  <c r="F499" i="2" l="1"/>
  <c r="K499" i="2" s="1"/>
  <c r="G499" i="2"/>
  <c r="L499" i="2"/>
  <c r="H499" i="2" l="1"/>
  <c r="I499" i="2" s="1"/>
  <c r="J499" i="2"/>
  <c r="M499" i="2" s="1"/>
  <c r="N499" i="2" s="1"/>
  <c r="B500" i="2" l="1"/>
  <c r="C500" i="2"/>
  <c r="F500" i="2" l="1"/>
  <c r="K500" i="2" s="1"/>
  <c r="G500" i="2"/>
  <c r="L500" i="2"/>
  <c r="H500" i="2" l="1"/>
  <c r="I500" i="2" s="1"/>
  <c r="J500" i="2"/>
  <c r="M500" i="2" s="1"/>
  <c r="N500" i="2" s="1"/>
  <c r="B501" i="2" l="1"/>
  <c r="C501" i="2"/>
  <c r="G501" i="2" l="1"/>
  <c r="F501" i="2"/>
  <c r="K501" i="2" s="1"/>
  <c r="L501" i="2"/>
  <c r="J501" i="2" l="1"/>
  <c r="M501" i="2" s="1"/>
  <c r="N501" i="2" s="1"/>
  <c r="H501" i="2"/>
  <c r="I501" i="2" s="1"/>
  <c r="C502" i="2" l="1"/>
  <c r="B502" i="2"/>
  <c r="G502" i="2" l="1"/>
  <c r="F502" i="2"/>
  <c r="K502" i="2" s="1"/>
  <c r="L502" i="2"/>
  <c r="H502" i="2" l="1"/>
  <c r="I502" i="2" s="1"/>
  <c r="J502" i="2"/>
  <c r="M502" i="2" s="1"/>
  <c r="N502" i="2" s="1"/>
  <c r="B503" i="2" l="1"/>
  <c r="C503" i="2"/>
  <c r="G503" i="2" l="1"/>
  <c r="F503" i="2"/>
  <c r="K503" i="2" s="1"/>
  <c r="L503" i="2"/>
  <c r="J503" i="2" l="1"/>
  <c r="M503" i="2" s="1"/>
  <c r="N503" i="2" s="1"/>
  <c r="H503" i="2"/>
  <c r="I503" i="2" s="1"/>
  <c r="C504" i="2" l="1"/>
  <c r="B504" i="2"/>
  <c r="G504" i="2" l="1"/>
  <c r="F504" i="2"/>
  <c r="K504" i="2" s="1"/>
  <c r="L504" i="2"/>
  <c r="H504" i="2" l="1"/>
  <c r="I504" i="2" s="1"/>
  <c r="J504" i="2"/>
  <c r="M504" i="2" s="1"/>
  <c r="N504" i="2" s="1"/>
  <c r="B505" i="2" l="1"/>
  <c r="C505" i="2"/>
  <c r="F505" i="2" l="1"/>
  <c r="K505" i="2" s="1"/>
  <c r="G505" i="2"/>
  <c r="L505" i="2"/>
  <c r="H505" i="2" l="1"/>
  <c r="I505" i="2" s="1"/>
  <c r="J505" i="2"/>
  <c r="M505" i="2" s="1"/>
  <c r="N505" i="2" s="1"/>
  <c r="C506" i="2" l="1"/>
  <c r="B506" i="2"/>
  <c r="L506" i="2" l="1"/>
  <c r="F506" i="2"/>
  <c r="K506" i="2" s="1"/>
  <c r="G506" i="2"/>
  <c r="J506" i="2" l="1"/>
  <c r="M506" i="2" s="1"/>
  <c r="N506" i="2" s="1"/>
  <c r="H506" i="2"/>
  <c r="I506" i="2" s="1"/>
  <c r="B507" i="2" l="1"/>
  <c r="C507" i="2"/>
  <c r="F507" i="2" l="1"/>
  <c r="K507" i="2" s="1"/>
  <c r="G507" i="2"/>
  <c r="L507" i="2"/>
  <c r="H507" i="2" l="1"/>
  <c r="J507" i="2"/>
  <c r="M507" i="2" s="1"/>
  <c r="N507" i="2" s="1"/>
  <c r="I507" i="2"/>
  <c r="C508" i="2" l="1"/>
  <c r="B508" i="2"/>
  <c r="G508" i="2" l="1"/>
  <c r="F508" i="2"/>
  <c r="K508" i="2" s="1"/>
  <c r="L508" i="2"/>
  <c r="H508" i="2" l="1"/>
  <c r="I508" i="2" s="1"/>
  <c r="J508" i="2"/>
  <c r="M508" i="2" s="1"/>
  <c r="N508" i="2" s="1"/>
  <c r="C509" i="2" l="1"/>
  <c r="B509" i="2"/>
  <c r="L509" i="2" l="1"/>
  <c r="F509" i="2"/>
  <c r="K509" i="2" s="1"/>
  <c r="G509" i="2"/>
  <c r="J509" i="2" l="1"/>
  <c r="M509" i="2" s="1"/>
  <c r="N509" i="2" s="1"/>
  <c r="H509" i="2"/>
  <c r="I509" i="2" s="1"/>
  <c r="B510" i="2" l="1"/>
  <c r="C510" i="2"/>
  <c r="G510" i="2" l="1"/>
  <c r="F510" i="2"/>
  <c r="K510" i="2" s="1"/>
  <c r="L510" i="2"/>
  <c r="H510" i="2" l="1"/>
  <c r="I510" i="2" s="1"/>
  <c r="J510" i="2"/>
  <c r="M510" i="2" s="1"/>
  <c r="N510" i="2" s="1"/>
  <c r="B511" i="2" l="1"/>
  <c r="C511" i="2"/>
  <c r="F511" i="2" l="1"/>
  <c r="K511" i="2" s="1"/>
  <c r="L511" i="2"/>
  <c r="G511" i="2"/>
  <c r="J511" i="2" l="1"/>
  <c r="M511" i="2" s="1"/>
  <c r="N511" i="2" s="1"/>
  <c r="H511" i="2"/>
  <c r="I511" i="2" s="1"/>
  <c r="C512" i="2" l="1"/>
  <c r="B512" i="2"/>
  <c r="F512" i="2" l="1"/>
  <c r="K512" i="2" s="1"/>
  <c r="L512" i="2"/>
  <c r="G512" i="2"/>
  <c r="H512" i="2" l="1"/>
  <c r="I512" i="2" s="1"/>
  <c r="J512" i="2"/>
  <c r="M512" i="2" s="1"/>
  <c r="N512" i="2" s="1"/>
  <c r="C513" i="2" l="1"/>
  <c r="B513" i="2"/>
  <c r="G513" i="2" l="1"/>
  <c r="F513" i="2"/>
  <c r="K513" i="2" s="1"/>
  <c r="L513" i="2"/>
  <c r="H513" i="2" l="1"/>
  <c r="I513" i="2" s="1"/>
  <c r="J513" i="2"/>
  <c r="M513" i="2" s="1"/>
  <c r="N513" i="2" s="1"/>
  <c r="B514" i="2" l="1"/>
  <c r="C514" i="2"/>
  <c r="L514" i="2" l="1"/>
  <c r="G514" i="2"/>
  <c r="F514" i="2"/>
  <c r="K514" i="2" s="1"/>
  <c r="H514" i="2" l="1"/>
  <c r="I514" i="2" s="1"/>
  <c r="J514" i="2"/>
  <c r="M514" i="2" s="1"/>
  <c r="N514" i="2" s="1"/>
  <c r="C515" i="2" l="1"/>
  <c r="B515" i="2"/>
  <c r="G515" i="2" l="1"/>
  <c r="F515" i="2"/>
  <c r="K515" i="2" s="1"/>
  <c r="L515" i="2"/>
  <c r="J515" i="2" l="1"/>
  <c r="M515" i="2" s="1"/>
  <c r="N515" i="2" s="1"/>
  <c r="H515" i="2"/>
  <c r="I515" i="2" s="1"/>
  <c r="C516" i="2" l="1"/>
  <c r="B516" i="2"/>
  <c r="G516" i="2" l="1"/>
  <c r="L516" i="2"/>
  <c r="F516" i="2"/>
  <c r="K516" i="2" s="1"/>
  <c r="H516" i="2" l="1"/>
  <c r="I516" i="2" s="1"/>
  <c r="J516" i="2"/>
  <c r="M516" i="2" s="1"/>
  <c r="N516" i="2" s="1"/>
  <c r="C517" i="2" l="1"/>
  <c r="B517" i="2"/>
  <c r="L517" i="2" l="1"/>
  <c r="G517" i="2"/>
  <c r="F517" i="2"/>
  <c r="K517" i="2" s="1"/>
  <c r="H517" i="2" l="1"/>
  <c r="I517" i="2" s="1"/>
  <c r="J517" i="2"/>
  <c r="M517" i="2" s="1"/>
  <c r="N517" i="2" s="1"/>
  <c r="C518" i="2" l="1"/>
  <c r="B518" i="2"/>
  <c r="L518" i="2" l="1"/>
  <c r="F518" i="2"/>
  <c r="K518" i="2" s="1"/>
  <c r="G518" i="2"/>
  <c r="H518" i="2" l="1"/>
  <c r="I518" i="2" s="1"/>
  <c r="J518" i="2"/>
  <c r="M518" i="2" s="1"/>
  <c r="N518" i="2" s="1"/>
  <c r="B519" i="2" l="1"/>
  <c r="C519" i="2"/>
  <c r="F519" i="2" l="1"/>
  <c r="K519" i="2" s="1"/>
  <c r="L519" i="2"/>
  <c r="G519" i="2"/>
  <c r="J519" i="2" l="1"/>
  <c r="M519" i="2" s="1"/>
  <c r="N519" i="2" s="1"/>
  <c r="H519" i="2"/>
  <c r="I519" i="2" s="1"/>
  <c r="B520" i="2" l="1"/>
  <c r="C520" i="2"/>
  <c r="F520" i="2" l="1"/>
  <c r="K520" i="2" s="1"/>
  <c r="G520" i="2"/>
  <c r="L520" i="2"/>
  <c r="H520" i="2" l="1"/>
  <c r="I520" i="2" s="1"/>
  <c r="J520" i="2"/>
  <c r="M520" i="2" s="1"/>
  <c r="N520" i="2" s="1"/>
  <c r="B521" i="2" l="1"/>
  <c r="C521" i="2"/>
  <c r="G521" i="2" l="1"/>
  <c r="F521" i="2"/>
  <c r="K521" i="2" s="1"/>
  <c r="L521" i="2"/>
  <c r="H521" i="2" l="1"/>
  <c r="I521" i="2" s="1"/>
  <c r="J521" i="2"/>
  <c r="M521" i="2" s="1"/>
  <c r="N521" i="2" s="1"/>
  <c r="C522" i="2" l="1"/>
  <c r="B522" i="2"/>
  <c r="L522" i="2" l="1"/>
  <c r="G522" i="2"/>
  <c r="F522" i="2"/>
  <c r="K522" i="2" s="1"/>
  <c r="J522" i="2" l="1"/>
  <c r="M522" i="2" s="1"/>
  <c r="N522" i="2" s="1"/>
  <c r="H522" i="2"/>
  <c r="I522" i="2" s="1"/>
  <c r="C523" i="2" l="1"/>
  <c r="B523" i="2"/>
  <c r="L523" i="2" l="1"/>
  <c r="F523" i="2"/>
  <c r="K523" i="2" s="1"/>
  <c r="G523" i="2"/>
  <c r="J523" i="2" l="1"/>
  <c r="M523" i="2" s="1"/>
  <c r="N523" i="2" s="1"/>
  <c r="H523" i="2"/>
  <c r="I523" i="2" s="1"/>
  <c r="B524" i="2" l="1"/>
  <c r="C524" i="2"/>
  <c r="F524" i="2" l="1"/>
  <c r="K524" i="2" s="1"/>
  <c r="G524" i="2"/>
  <c r="L524" i="2"/>
  <c r="J524" i="2" l="1"/>
  <c r="M524" i="2" s="1"/>
  <c r="N524" i="2" s="1"/>
  <c r="H524" i="2"/>
  <c r="I524" i="2" s="1"/>
  <c r="C525" i="2" l="1"/>
  <c r="B525" i="2"/>
  <c r="F525" i="2" l="1"/>
  <c r="K525" i="2" s="1"/>
  <c r="G525" i="2"/>
  <c r="L525" i="2"/>
  <c r="J525" i="2" l="1"/>
  <c r="M525" i="2" s="1"/>
  <c r="N525" i="2" s="1"/>
  <c r="H525" i="2"/>
  <c r="I525" i="2" s="1"/>
  <c r="B526" i="2" l="1"/>
  <c r="C526" i="2"/>
  <c r="G526" i="2" l="1"/>
  <c r="F526" i="2"/>
  <c r="K526" i="2" s="1"/>
  <c r="L526" i="2"/>
  <c r="J526" i="2" l="1"/>
  <c r="M526" i="2" s="1"/>
  <c r="N526" i="2" s="1"/>
  <c r="H526" i="2"/>
  <c r="I526" i="2" s="1"/>
  <c r="C527" i="2" l="1"/>
  <c r="B527" i="2"/>
  <c r="G527" i="2" l="1"/>
  <c r="L527" i="2"/>
  <c r="F527" i="2"/>
  <c r="K527" i="2" s="1"/>
  <c r="H527" i="2" l="1"/>
  <c r="I527" i="2" s="1"/>
  <c r="J527" i="2"/>
  <c r="M527" i="2" s="1"/>
  <c r="N527" i="2" s="1"/>
  <c r="C528" i="2" l="1"/>
  <c r="B528" i="2"/>
  <c r="G528" i="2" l="1"/>
  <c r="F528" i="2"/>
  <c r="K528" i="2" s="1"/>
  <c r="L528" i="2"/>
  <c r="J528" i="2" l="1"/>
  <c r="M528" i="2" s="1"/>
  <c r="N528" i="2" s="1"/>
  <c r="H528" i="2"/>
  <c r="I528" i="2" s="1"/>
  <c r="C529" i="2" l="1"/>
  <c r="B529" i="2"/>
  <c r="L529" i="2" l="1"/>
  <c r="F529" i="2"/>
  <c r="K529" i="2" s="1"/>
  <c r="G529" i="2"/>
  <c r="H529" i="2" l="1"/>
  <c r="I529" i="2" s="1"/>
  <c r="J529" i="2"/>
  <c r="M529" i="2" s="1"/>
  <c r="N529" i="2" s="1"/>
  <c r="C530" i="2" l="1"/>
  <c r="B530" i="2"/>
  <c r="F530" i="2" l="1"/>
  <c r="K530" i="2" s="1"/>
  <c r="G530" i="2"/>
  <c r="L530" i="2"/>
  <c r="H530" i="2" l="1"/>
  <c r="I530" i="2" s="1"/>
  <c r="J530" i="2"/>
  <c r="M530" i="2" s="1"/>
  <c r="N530" i="2" s="1"/>
  <c r="C531" i="2" l="1"/>
  <c r="B531" i="2"/>
  <c r="F531" i="2" l="1"/>
  <c r="K531" i="2" s="1"/>
  <c r="G531" i="2"/>
  <c r="L531" i="2"/>
  <c r="J531" i="2" l="1"/>
  <c r="M531" i="2" s="1"/>
  <c r="N531" i="2" s="1"/>
  <c r="H531" i="2"/>
  <c r="I531" i="2" s="1"/>
  <c r="B532" i="2" l="1"/>
  <c r="C532" i="2"/>
  <c r="G532" i="2" l="1"/>
  <c r="L532" i="2"/>
  <c r="F532" i="2"/>
  <c r="K532" i="2" s="1"/>
  <c r="H532" i="2" l="1"/>
  <c r="I532" i="2" s="1"/>
  <c r="J532" i="2"/>
  <c r="M532" i="2" s="1"/>
  <c r="N532" i="2" s="1"/>
  <c r="B533" i="2" l="1"/>
  <c r="C533" i="2"/>
  <c r="G533" i="2" l="1"/>
  <c r="F533" i="2"/>
  <c r="K533" i="2" s="1"/>
  <c r="L533" i="2"/>
  <c r="J533" i="2" l="1"/>
  <c r="M533" i="2" s="1"/>
  <c r="N533" i="2" s="1"/>
  <c r="H533" i="2"/>
  <c r="I533" i="2" s="1"/>
  <c r="B534" i="2" l="1"/>
  <c r="C534" i="2"/>
  <c r="F534" i="2" l="1"/>
  <c r="K534" i="2" s="1"/>
  <c r="L534" i="2"/>
  <c r="G534" i="2"/>
  <c r="H534" i="2" l="1"/>
  <c r="I534" i="2" s="1"/>
  <c r="J534" i="2"/>
  <c r="M534" i="2" s="1"/>
  <c r="N534" i="2" s="1"/>
  <c r="B535" i="2" l="1"/>
  <c r="C535" i="2"/>
  <c r="F535" i="2" l="1"/>
  <c r="K535" i="2" s="1"/>
  <c r="G535" i="2"/>
  <c r="L535" i="2"/>
  <c r="J535" i="2" l="1"/>
  <c r="M535" i="2" s="1"/>
  <c r="N535" i="2" s="1"/>
  <c r="H535" i="2"/>
  <c r="I535" i="2" s="1"/>
  <c r="B536" i="2" l="1"/>
  <c r="C536" i="2"/>
  <c r="L536" i="2" l="1"/>
  <c r="F536" i="2"/>
  <c r="K536" i="2" s="1"/>
  <c r="G536" i="2"/>
  <c r="H536" i="2" l="1"/>
  <c r="I536" i="2" s="1"/>
  <c r="J536" i="2"/>
  <c r="M536" i="2" s="1"/>
  <c r="N536" i="2" s="1"/>
  <c r="B537" i="2" l="1"/>
  <c r="C537" i="2"/>
  <c r="L537" i="2" l="1"/>
  <c r="G537" i="2"/>
  <c r="F537" i="2"/>
  <c r="K537" i="2" s="1"/>
  <c r="H537" i="2" l="1"/>
  <c r="I537" i="2" s="1"/>
  <c r="J537" i="2"/>
  <c r="M537" i="2" s="1"/>
  <c r="N537" i="2" s="1"/>
  <c r="B538" i="2" l="1"/>
  <c r="C538" i="2"/>
  <c r="L538" i="2" l="1"/>
  <c r="G538" i="2"/>
  <c r="F538" i="2"/>
  <c r="K538" i="2" s="1"/>
  <c r="H538" i="2" l="1"/>
  <c r="I538" i="2" s="1"/>
  <c r="J538" i="2"/>
  <c r="M538" i="2" s="1"/>
  <c r="N538" i="2" s="1"/>
  <c r="C539" i="2" l="1"/>
  <c r="B539" i="2"/>
  <c r="F539" i="2" l="1"/>
  <c r="K539" i="2" s="1"/>
  <c r="G539" i="2"/>
  <c r="L539" i="2"/>
  <c r="H539" i="2" l="1"/>
  <c r="I539" i="2" s="1"/>
  <c r="J539" i="2"/>
  <c r="M539" i="2" s="1"/>
  <c r="N539" i="2" s="1"/>
  <c r="B540" i="2" l="1"/>
  <c r="C540" i="2"/>
  <c r="L540" i="2" l="1"/>
  <c r="G540" i="2"/>
  <c r="F540" i="2"/>
  <c r="K540" i="2" s="1"/>
  <c r="H540" i="2" l="1"/>
  <c r="I540" i="2" s="1"/>
  <c r="J540" i="2"/>
  <c r="M540" i="2" s="1"/>
  <c r="N540" i="2" s="1"/>
  <c r="C541" i="2" l="1"/>
  <c r="B541" i="2"/>
  <c r="G541" i="2" l="1"/>
  <c r="F541" i="2"/>
  <c r="K541" i="2" s="1"/>
  <c r="L541" i="2"/>
  <c r="J541" i="2" l="1"/>
  <c r="M541" i="2" s="1"/>
  <c r="N541" i="2" s="1"/>
  <c r="H541" i="2"/>
  <c r="I541" i="2" s="1"/>
  <c r="C542" i="2" l="1"/>
  <c r="B542" i="2"/>
  <c r="G542" i="2" l="1"/>
  <c r="F542" i="2"/>
  <c r="K542" i="2" s="1"/>
  <c r="L542" i="2"/>
  <c r="J542" i="2" l="1"/>
  <c r="M542" i="2" s="1"/>
  <c r="N542" i="2" s="1"/>
  <c r="H542" i="2"/>
  <c r="I542" i="2" s="1"/>
  <c r="C543" i="2" l="1"/>
  <c r="B543" i="2"/>
  <c r="G543" i="2" l="1"/>
  <c r="F543" i="2"/>
  <c r="K543" i="2" s="1"/>
  <c r="L543" i="2"/>
  <c r="H543" i="2" l="1"/>
  <c r="I543" i="2" s="1"/>
  <c r="J543" i="2"/>
  <c r="M543" i="2" s="1"/>
  <c r="N543" i="2" s="1"/>
  <c r="C544" i="2" l="1"/>
  <c r="B544" i="2"/>
  <c r="L544" i="2" l="1"/>
  <c r="G544" i="2"/>
  <c r="F544" i="2"/>
  <c r="K544" i="2" s="1"/>
  <c r="J544" i="2" l="1"/>
  <c r="M544" i="2" s="1"/>
  <c r="N544" i="2" s="1"/>
  <c r="H544" i="2"/>
  <c r="I544" i="2" s="1"/>
  <c r="C545" i="2" l="1"/>
  <c r="B545" i="2"/>
  <c r="L545" i="2" l="1"/>
  <c r="F545" i="2"/>
  <c r="K545" i="2" s="1"/>
  <c r="G545" i="2"/>
  <c r="J545" i="2" l="1"/>
  <c r="M545" i="2" s="1"/>
  <c r="N545" i="2" s="1"/>
  <c r="H545" i="2"/>
  <c r="I545" i="2" s="1"/>
  <c r="B546" i="2" l="1"/>
  <c r="C546" i="2"/>
  <c r="F546" i="2" l="1"/>
  <c r="K546" i="2" s="1"/>
  <c r="L546" i="2"/>
  <c r="G546" i="2"/>
  <c r="H546" i="2" l="1"/>
  <c r="I546" i="2" s="1"/>
  <c r="J546" i="2"/>
  <c r="M546" i="2" s="1"/>
  <c r="N546" i="2" s="1"/>
  <c r="B547" i="2" l="1"/>
  <c r="C547" i="2"/>
  <c r="F547" i="2" l="1"/>
  <c r="K547" i="2" s="1"/>
  <c r="L547" i="2"/>
  <c r="G547" i="2"/>
  <c r="J547" i="2" l="1"/>
  <c r="M547" i="2" s="1"/>
  <c r="N547" i="2" s="1"/>
  <c r="H547" i="2"/>
  <c r="I547" i="2" s="1"/>
  <c r="C548" i="2" l="1"/>
  <c r="B548" i="2"/>
  <c r="L548" i="2" l="1"/>
  <c r="G548" i="2"/>
  <c r="F548" i="2"/>
  <c r="K548" i="2" s="1"/>
  <c r="J548" i="2" l="1"/>
  <c r="M548" i="2" s="1"/>
  <c r="N548" i="2" s="1"/>
  <c r="H548" i="2"/>
  <c r="I548" i="2" s="1"/>
  <c r="B549" i="2" l="1"/>
  <c r="C549" i="2"/>
  <c r="F549" i="2" l="1"/>
  <c r="K549" i="2" s="1"/>
  <c r="G549" i="2"/>
  <c r="L549" i="2"/>
  <c r="J549" i="2" l="1"/>
  <c r="M549" i="2" s="1"/>
  <c r="N549" i="2" s="1"/>
  <c r="H549" i="2"/>
  <c r="I549" i="2" s="1"/>
  <c r="C550" i="2" l="1"/>
  <c r="B550" i="2"/>
  <c r="F550" i="2" l="1"/>
  <c r="K550" i="2" s="1"/>
  <c r="G550" i="2"/>
  <c r="L550" i="2"/>
  <c r="J550" i="2" l="1"/>
  <c r="M550" i="2" s="1"/>
  <c r="N550" i="2" s="1"/>
  <c r="H550" i="2"/>
  <c r="I550" i="2" s="1"/>
  <c r="C551" i="2" l="1"/>
  <c r="B551" i="2"/>
  <c r="F551" i="2" l="1"/>
  <c r="K551" i="2" s="1"/>
  <c r="G551" i="2"/>
  <c r="L551" i="2"/>
  <c r="J551" i="2" l="1"/>
  <c r="M551" i="2" s="1"/>
  <c r="N551" i="2" s="1"/>
  <c r="H551" i="2"/>
  <c r="I551" i="2" s="1"/>
  <c r="C552" i="2" l="1"/>
  <c r="B552" i="2"/>
  <c r="G552" i="2" l="1"/>
  <c r="F552" i="2"/>
  <c r="K552" i="2" s="1"/>
  <c r="L552" i="2"/>
  <c r="H552" i="2" l="1"/>
  <c r="I552" i="2" s="1"/>
  <c r="J552" i="2"/>
  <c r="M552" i="2" s="1"/>
  <c r="N552" i="2" s="1"/>
  <c r="C553" i="2" l="1"/>
  <c r="B553" i="2"/>
  <c r="F553" i="2" l="1"/>
  <c r="K553" i="2" s="1"/>
  <c r="G553" i="2"/>
  <c r="L553" i="2"/>
  <c r="H553" i="2" l="1"/>
  <c r="I553" i="2" s="1"/>
  <c r="J553" i="2"/>
  <c r="M553" i="2" s="1"/>
  <c r="N553" i="2" s="1"/>
  <c r="B554" i="2" l="1"/>
  <c r="C554" i="2"/>
  <c r="L554" i="2" l="1"/>
  <c r="F554" i="2"/>
  <c r="K554" i="2" s="1"/>
  <c r="G554" i="2"/>
  <c r="H554" i="2" l="1"/>
  <c r="I554" i="2" s="1"/>
  <c r="J554" i="2"/>
  <c r="M554" i="2" s="1"/>
  <c r="N554" i="2" s="1"/>
  <c r="C555" i="2" l="1"/>
  <c r="B555" i="2"/>
  <c r="L555" i="2" l="1"/>
  <c r="G555" i="2"/>
  <c r="F555" i="2"/>
  <c r="K555" i="2" s="1"/>
  <c r="J555" i="2" l="1"/>
  <c r="M555" i="2" s="1"/>
  <c r="N555" i="2" s="1"/>
  <c r="H555" i="2"/>
  <c r="I555" i="2" s="1"/>
  <c r="C556" i="2" l="1"/>
  <c r="B556" i="2"/>
  <c r="G556" i="2" l="1"/>
  <c r="F556" i="2"/>
  <c r="K556" i="2" s="1"/>
  <c r="L556" i="2"/>
  <c r="J556" i="2" l="1"/>
  <c r="M556" i="2" s="1"/>
  <c r="N556" i="2" s="1"/>
  <c r="H556" i="2"/>
  <c r="I556" i="2" s="1"/>
  <c r="B557" i="2" l="1"/>
  <c r="C557" i="2"/>
  <c r="L557" i="2" l="1"/>
  <c r="F557" i="2"/>
  <c r="K557" i="2" s="1"/>
  <c r="G557" i="2"/>
  <c r="J557" i="2" l="1"/>
  <c r="M557" i="2" s="1"/>
  <c r="N557" i="2" s="1"/>
  <c r="H557" i="2"/>
  <c r="I557" i="2" s="1"/>
  <c r="B558" i="2" l="1"/>
  <c r="C558" i="2"/>
  <c r="G558" i="2" l="1"/>
  <c r="F558" i="2"/>
  <c r="K558" i="2" s="1"/>
  <c r="L558" i="2"/>
  <c r="J558" i="2" l="1"/>
  <c r="M558" i="2" s="1"/>
  <c r="N558" i="2" s="1"/>
  <c r="H558" i="2"/>
  <c r="I558" i="2" s="1"/>
  <c r="B559" i="2" l="1"/>
  <c r="C559" i="2"/>
  <c r="G559" i="2" l="1"/>
  <c r="L559" i="2"/>
  <c r="F559" i="2"/>
  <c r="K559" i="2" s="1"/>
  <c r="H559" i="2" l="1"/>
  <c r="I559" i="2" s="1"/>
  <c r="J559" i="2"/>
  <c r="M559" i="2" s="1"/>
  <c r="N559" i="2" s="1"/>
  <c r="B560" i="2" l="1"/>
  <c r="C560" i="2"/>
  <c r="F560" i="2" l="1"/>
  <c r="K560" i="2" s="1"/>
  <c r="G560" i="2"/>
  <c r="L560" i="2"/>
  <c r="H560" i="2" l="1"/>
  <c r="I560" i="2" s="1"/>
  <c r="J560" i="2"/>
  <c r="M560" i="2" s="1"/>
  <c r="N560" i="2" s="1"/>
  <c r="B561" i="2" l="1"/>
  <c r="C561" i="2"/>
  <c r="G561" i="2" l="1"/>
  <c r="L561" i="2"/>
  <c r="F561" i="2"/>
  <c r="K561" i="2" s="1"/>
  <c r="H561" i="2" l="1"/>
  <c r="I561" i="2" s="1"/>
  <c r="J561" i="2"/>
  <c r="M561" i="2" s="1"/>
  <c r="N561" i="2" s="1"/>
  <c r="C562" i="2" l="1"/>
  <c r="B562" i="2"/>
  <c r="L562" i="2" l="1"/>
  <c r="F562" i="2"/>
  <c r="K562" i="2" s="1"/>
  <c r="G562" i="2"/>
  <c r="J562" i="2" l="1"/>
  <c r="M562" i="2" s="1"/>
  <c r="N562" i="2" s="1"/>
  <c r="H562" i="2"/>
  <c r="I562" i="2" s="1"/>
  <c r="C563" i="2" l="1"/>
  <c r="B563" i="2"/>
  <c r="L563" i="2" l="1"/>
  <c r="F563" i="2"/>
  <c r="K563" i="2" s="1"/>
  <c r="G563" i="2"/>
  <c r="H563" i="2" l="1"/>
  <c r="I563" i="2" s="1"/>
  <c r="J563" i="2"/>
  <c r="M563" i="2" s="1"/>
  <c r="N563" i="2" s="1"/>
  <c r="B564" i="2" l="1"/>
  <c r="C564" i="2"/>
  <c r="G564" i="2" l="1"/>
  <c r="F564" i="2"/>
  <c r="K564" i="2" s="1"/>
  <c r="L564" i="2"/>
  <c r="H564" i="2" l="1"/>
  <c r="I564" i="2" s="1"/>
  <c r="J564" i="2"/>
  <c r="M564" i="2" s="1"/>
  <c r="N564" i="2" s="1"/>
  <c r="B565" i="2" l="1"/>
  <c r="C565" i="2"/>
  <c r="F565" i="2" l="1"/>
  <c r="K565" i="2" s="1"/>
  <c r="G565" i="2"/>
  <c r="L565" i="2"/>
  <c r="H565" i="2" l="1"/>
  <c r="I565" i="2" s="1"/>
  <c r="J565" i="2"/>
  <c r="M565" i="2" s="1"/>
  <c r="N565" i="2" s="1"/>
  <c r="C566" i="2" l="1"/>
  <c r="B566" i="2"/>
  <c r="L566" i="2" l="1"/>
  <c r="F566" i="2"/>
  <c r="K566" i="2" s="1"/>
  <c r="G566" i="2"/>
  <c r="H566" i="2" l="1"/>
  <c r="I566" i="2" s="1"/>
  <c r="J566" i="2"/>
  <c r="M566" i="2" s="1"/>
  <c r="N566" i="2" s="1"/>
  <c r="C567" i="2" l="1"/>
  <c r="B567" i="2"/>
  <c r="F567" i="2" l="1"/>
  <c r="K567" i="2" s="1"/>
  <c r="L567" i="2"/>
  <c r="G567" i="2"/>
  <c r="H567" i="2" l="1"/>
  <c r="I567" i="2" s="1"/>
  <c r="J567" i="2"/>
  <c r="M567" i="2" s="1"/>
  <c r="N567" i="2" s="1"/>
  <c r="B568" i="2" l="1"/>
  <c r="C568" i="2"/>
  <c r="F568" i="2" l="1"/>
  <c r="K568" i="2" s="1"/>
  <c r="L568" i="2"/>
  <c r="G568" i="2"/>
  <c r="J568" i="2" l="1"/>
  <c r="M568" i="2" s="1"/>
  <c r="N568" i="2" s="1"/>
  <c r="H568" i="2"/>
  <c r="I568" i="2" s="1"/>
  <c r="B569" i="2" l="1"/>
  <c r="C569" i="2"/>
  <c r="G569" i="2" l="1"/>
  <c r="F569" i="2"/>
  <c r="K569" i="2" s="1"/>
  <c r="L569" i="2"/>
  <c r="H569" i="2" l="1"/>
  <c r="I569" i="2" s="1"/>
  <c r="J569" i="2"/>
  <c r="M569" i="2" s="1"/>
  <c r="N569" i="2" s="1"/>
  <c r="C570" i="2" l="1"/>
  <c r="B570" i="2"/>
  <c r="L570" i="2" l="1"/>
  <c r="F570" i="2"/>
  <c r="K570" i="2" s="1"/>
  <c r="G570" i="2"/>
  <c r="H570" i="2" l="1"/>
  <c r="I570" i="2" s="1"/>
  <c r="J570" i="2"/>
  <c r="M570" i="2" s="1"/>
  <c r="N570" i="2" s="1"/>
  <c r="C571" i="2" l="1"/>
  <c r="B571" i="2"/>
  <c r="F571" i="2" l="1"/>
  <c r="K571" i="2" s="1"/>
  <c r="L571" i="2"/>
  <c r="G571" i="2"/>
  <c r="H571" i="2" l="1"/>
  <c r="I571" i="2" s="1"/>
  <c r="J571" i="2"/>
  <c r="M571" i="2" s="1"/>
  <c r="N571" i="2" s="1"/>
  <c r="C572" i="2" l="1"/>
  <c r="B572" i="2"/>
  <c r="F572" i="2" l="1"/>
  <c r="K572" i="2" s="1"/>
  <c r="L572" i="2"/>
  <c r="G572" i="2"/>
  <c r="J572" i="2" l="1"/>
  <c r="M572" i="2" s="1"/>
  <c r="N572" i="2" s="1"/>
  <c r="H572" i="2"/>
  <c r="I572" i="2" s="1"/>
  <c r="C573" i="2" l="1"/>
  <c r="B573" i="2"/>
  <c r="G573" i="2" l="1"/>
  <c r="F573" i="2"/>
  <c r="K573" i="2" s="1"/>
  <c r="L573" i="2"/>
  <c r="J573" i="2" l="1"/>
  <c r="M573" i="2" s="1"/>
  <c r="N573" i="2" s="1"/>
  <c r="H573" i="2"/>
  <c r="I573" i="2" s="1"/>
  <c r="C574" i="2" l="1"/>
  <c r="B574" i="2"/>
  <c r="F574" i="2" l="1"/>
  <c r="K574" i="2" s="1"/>
  <c r="L574" i="2"/>
  <c r="G574" i="2"/>
  <c r="J574" i="2" l="1"/>
  <c r="M574" i="2" s="1"/>
  <c r="N574" i="2" s="1"/>
  <c r="H574" i="2"/>
  <c r="I574" i="2" s="1"/>
  <c r="C575" i="2" l="1"/>
  <c r="B575" i="2"/>
  <c r="F575" i="2" l="1"/>
  <c r="K575" i="2" s="1"/>
  <c r="L575" i="2"/>
  <c r="G575" i="2"/>
  <c r="J575" i="2" l="1"/>
  <c r="M575" i="2" s="1"/>
  <c r="N575" i="2" s="1"/>
  <c r="H575" i="2"/>
  <c r="I575" i="2" s="1"/>
  <c r="B576" i="2" l="1"/>
  <c r="C576" i="2"/>
  <c r="L576" i="2" l="1"/>
  <c r="F576" i="2"/>
  <c r="K576" i="2" s="1"/>
  <c r="G576" i="2"/>
  <c r="J576" i="2" l="1"/>
  <c r="M576" i="2" s="1"/>
  <c r="N576" i="2" s="1"/>
  <c r="H576" i="2"/>
  <c r="I576" i="2" s="1"/>
  <c r="C577" i="2" l="1"/>
  <c r="B577" i="2"/>
  <c r="F577" i="2" l="1"/>
  <c r="K577" i="2" s="1"/>
  <c r="L577" i="2"/>
  <c r="G577" i="2"/>
  <c r="H577" i="2" l="1"/>
  <c r="I577" i="2" s="1"/>
  <c r="J577" i="2"/>
  <c r="M577" i="2" s="1"/>
  <c r="N577" i="2" s="1"/>
  <c r="B578" i="2" l="1"/>
  <c r="C578" i="2"/>
  <c r="G578" i="2" l="1"/>
  <c r="F578" i="2"/>
  <c r="K578" i="2" s="1"/>
  <c r="L578" i="2"/>
  <c r="H578" i="2" l="1"/>
  <c r="I578" i="2" s="1"/>
  <c r="J578" i="2"/>
  <c r="M578" i="2" s="1"/>
  <c r="N578" i="2" s="1"/>
  <c r="C579" i="2" l="1"/>
  <c r="B579" i="2"/>
  <c r="L579" i="2" l="1"/>
  <c r="G579" i="2"/>
  <c r="F579" i="2"/>
  <c r="K579" i="2" s="1"/>
  <c r="J579" i="2" l="1"/>
  <c r="M579" i="2" s="1"/>
  <c r="N579" i="2" s="1"/>
  <c r="H579" i="2"/>
  <c r="I579" i="2" s="1"/>
  <c r="B580" i="2" l="1"/>
  <c r="C580" i="2"/>
  <c r="F580" i="2" l="1"/>
  <c r="K580" i="2" s="1"/>
  <c r="L580" i="2"/>
  <c r="G580" i="2"/>
  <c r="H580" i="2" l="1"/>
  <c r="I580" i="2" s="1"/>
  <c r="J580" i="2"/>
  <c r="M580" i="2" s="1"/>
  <c r="N580" i="2" s="1"/>
  <c r="B581" i="2" l="1"/>
  <c r="C581" i="2"/>
  <c r="G581" i="2" l="1"/>
  <c r="L581" i="2"/>
  <c r="F581" i="2"/>
  <c r="K581" i="2" s="1"/>
  <c r="J581" i="2" l="1"/>
  <c r="M581" i="2" s="1"/>
  <c r="N581" i="2" s="1"/>
  <c r="H581" i="2"/>
  <c r="I581" i="2" s="1"/>
  <c r="C582" i="2" l="1"/>
  <c r="B582" i="2"/>
  <c r="F582" i="2" l="1"/>
  <c r="K582" i="2" s="1"/>
  <c r="G582" i="2"/>
  <c r="L582" i="2"/>
  <c r="J582" i="2" l="1"/>
  <c r="M582" i="2" s="1"/>
  <c r="N582" i="2" s="1"/>
  <c r="H582" i="2"/>
  <c r="I582" i="2" s="1"/>
  <c r="B583" i="2" l="1"/>
  <c r="C583" i="2"/>
  <c r="L583" i="2" l="1"/>
  <c r="G583" i="2"/>
  <c r="F583" i="2"/>
  <c r="K583" i="2" s="1"/>
  <c r="J583" i="2" l="1"/>
  <c r="M583" i="2" s="1"/>
  <c r="N583" i="2" s="1"/>
  <c r="H583" i="2"/>
  <c r="I583" i="2" s="1"/>
  <c r="B584" i="2" l="1"/>
  <c r="C584" i="2"/>
  <c r="G584" i="2" l="1"/>
  <c r="L584" i="2"/>
  <c r="F584" i="2"/>
  <c r="K584" i="2" s="1"/>
  <c r="J584" i="2" l="1"/>
  <c r="M584" i="2" s="1"/>
  <c r="N584" i="2" s="1"/>
  <c r="H584" i="2"/>
  <c r="I584" i="2" s="1"/>
  <c r="C585" i="2" l="1"/>
  <c r="B585" i="2"/>
  <c r="L585" i="2" l="1"/>
  <c r="G585" i="2"/>
  <c r="F585" i="2"/>
  <c r="K585" i="2" s="1"/>
  <c r="H585" i="2" l="1"/>
  <c r="I585" i="2" s="1"/>
  <c r="J585" i="2"/>
  <c r="M585" i="2" s="1"/>
  <c r="N585" i="2" s="1"/>
  <c r="C586" i="2" l="1"/>
  <c r="B586" i="2"/>
  <c r="F586" i="2" l="1"/>
  <c r="K586" i="2" s="1"/>
  <c r="G586" i="2"/>
  <c r="L586" i="2"/>
  <c r="H586" i="2" l="1"/>
  <c r="I586" i="2" s="1"/>
  <c r="J586" i="2"/>
  <c r="M586" i="2" s="1"/>
  <c r="N586" i="2" s="1"/>
  <c r="B587" i="2" l="1"/>
  <c r="C587" i="2"/>
  <c r="L587" i="2" l="1"/>
  <c r="F587" i="2"/>
  <c r="K587" i="2" s="1"/>
  <c r="G587" i="2"/>
  <c r="J587" i="2" l="1"/>
  <c r="M587" i="2" s="1"/>
  <c r="N587" i="2" s="1"/>
  <c r="H587" i="2"/>
  <c r="I587" i="2" s="1"/>
  <c r="B588" i="2" l="1"/>
  <c r="C588" i="2"/>
  <c r="F588" i="2" l="1"/>
  <c r="K588" i="2" s="1"/>
  <c r="G588" i="2"/>
  <c r="L588" i="2"/>
  <c r="J588" i="2" l="1"/>
  <c r="M588" i="2" s="1"/>
  <c r="N588" i="2" s="1"/>
  <c r="H588" i="2"/>
  <c r="I588" i="2" s="1"/>
  <c r="C589" i="2" l="1"/>
  <c r="B589" i="2"/>
  <c r="G589" i="2" l="1"/>
  <c r="L589" i="2"/>
  <c r="F589" i="2"/>
  <c r="K589" i="2" s="1"/>
  <c r="H589" i="2" l="1"/>
  <c r="I589" i="2" s="1"/>
  <c r="J589" i="2"/>
  <c r="M589" i="2" s="1"/>
  <c r="N589" i="2" s="1"/>
  <c r="C590" i="2" l="1"/>
  <c r="B590" i="2"/>
  <c r="G590" i="2" l="1"/>
  <c r="L590" i="2"/>
  <c r="F590" i="2"/>
  <c r="K590" i="2" s="1"/>
  <c r="J590" i="2" l="1"/>
  <c r="M590" i="2" s="1"/>
  <c r="N590" i="2" s="1"/>
  <c r="H590" i="2"/>
  <c r="I590" i="2" s="1"/>
  <c r="C591" i="2" l="1"/>
  <c r="B591" i="2"/>
  <c r="G591" i="2" l="1"/>
  <c r="L591" i="2"/>
  <c r="F591" i="2"/>
  <c r="K591" i="2" s="1"/>
  <c r="H591" i="2" l="1"/>
  <c r="I591" i="2" s="1"/>
  <c r="J591" i="2"/>
  <c r="M591" i="2" s="1"/>
  <c r="N591" i="2" s="1"/>
  <c r="B592" i="2" l="1"/>
  <c r="C592" i="2"/>
  <c r="F592" i="2" l="1"/>
  <c r="K592" i="2" s="1"/>
  <c r="L592" i="2"/>
  <c r="G592" i="2"/>
  <c r="H592" i="2" l="1"/>
  <c r="I592" i="2" s="1"/>
  <c r="J592" i="2"/>
  <c r="M592" i="2" s="1"/>
  <c r="N592" i="2" s="1"/>
  <c r="B593" i="2" l="1"/>
  <c r="C593" i="2"/>
  <c r="G593" i="2" l="1"/>
  <c r="F593" i="2"/>
  <c r="K593" i="2" s="1"/>
  <c r="L593" i="2"/>
  <c r="H593" i="2" l="1"/>
  <c r="I593" i="2" s="1"/>
  <c r="J593" i="2"/>
  <c r="M593" i="2" s="1"/>
  <c r="N593" i="2" s="1"/>
  <c r="C594" i="2" l="1"/>
  <c r="B594" i="2"/>
  <c r="G594" i="2" l="1"/>
  <c r="L594" i="2"/>
  <c r="F594" i="2"/>
  <c r="K594" i="2" s="1"/>
  <c r="H594" i="2" l="1"/>
  <c r="I594" i="2" s="1"/>
  <c r="J594" i="2"/>
  <c r="M594" i="2" s="1"/>
  <c r="N594" i="2" s="1"/>
  <c r="B595" i="2" l="1"/>
  <c r="C595" i="2"/>
  <c r="L595" i="2" l="1"/>
  <c r="F595" i="2"/>
  <c r="K595" i="2" s="1"/>
  <c r="G595" i="2"/>
  <c r="H595" i="2" l="1"/>
  <c r="I595" i="2" s="1"/>
  <c r="J595" i="2"/>
  <c r="M595" i="2" s="1"/>
  <c r="N595" i="2" s="1"/>
  <c r="B596" i="2" l="1"/>
  <c r="C596" i="2"/>
  <c r="F596" i="2" l="1"/>
  <c r="K596" i="2" s="1"/>
  <c r="G596" i="2"/>
  <c r="L596" i="2"/>
  <c r="H596" i="2" l="1"/>
  <c r="I596" i="2" s="1"/>
  <c r="J596" i="2"/>
  <c r="M596" i="2" s="1"/>
  <c r="N596" i="2" s="1"/>
  <c r="C597" i="2" l="1"/>
  <c r="B597" i="2"/>
  <c r="G597" i="2" l="1"/>
  <c r="L597" i="2"/>
  <c r="F597" i="2"/>
  <c r="K597" i="2" s="1"/>
  <c r="J597" i="2" l="1"/>
  <c r="M597" i="2" s="1"/>
  <c r="N597" i="2" s="1"/>
  <c r="H597" i="2"/>
  <c r="I597" i="2" s="1"/>
  <c r="C598" i="2" l="1"/>
  <c r="B598" i="2"/>
  <c r="G598" i="2" l="1"/>
  <c r="F598" i="2"/>
  <c r="K598" i="2" s="1"/>
  <c r="L598" i="2"/>
  <c r="H598" i="2" l="1"/>
  <c r="I598" i="2" s="1"/>
  <c r="J598" i="2"/>
  <c r="M598" i="2" s="1"/>
  <c r="N598" i="2" s="1"/>
  <c r="B599" i="2" l="1"/>
  <c r="C599" i="2"/>
  <c r="F599" i="2" l="1"/>
  <c r="K599" i="2" s="1"/>
  <c r="L599" i="2"/>
  <c r="G599" i="2"/>
  <c r="J599" i="2" l="1"/>
  <c r="M599" i="2" s="1"/>
  <c r="N599" i="2" s="1"/>
  <c r="H599" i="2"/>
  <c r="I599" i="2" s="1"/>
  <c r="C600" i="2" l="1"/>
  <c r="B600" i="2"/>
  <c r="F600" i="2" l="1"/>
  <c r="K600" i="2" s="1"/>
  <c r="G600" i="2"/>
  <c r="L600" i="2"/>
  <c r="H600" i="2" l="1"/>
  <c r="I600" i="2" s="1"/>
  <c r="J600" i="2"/>
  <c r="M600" i="2" s="1"/>
  <c r="N600" i="2" s="1"/>
  <c r="B601" i="2" l="1"/>
  <c r="C601" i="2"/>
  <c r="F601" i="2" l="1"/>
  <c r="K601" i="2" s="1"/>
  <c r="G601" i="2"/>
  <c r="L601" i="2"/>
  <c r="J601" i="2" l="1"/>
  <c r="M601" i="2" s="1"/>
  <c r="N601" i="2" s="1"/>
  <c r="H601" i="2"/>
  <c r="I601" i="2" s="1"/>
  <c r="C602" i="2" l="1"/>
  <c r="B602" i="2"/>
  <c r="F602" i="2" l="1"/>
  <c r="K602" i="2" s="1"/>
  <c r="G602" i="2"/>
  <c r="L602" i="2"/>
  <c r="H602" i="2" l="1"/>
  <c r="I602" i="2" s="1"/>
  <c r="J602" i="2"/>
  <c r="M602" i="2" s="1"/>
  <c r="N602" i="2" s="1"/>
  <c r="C603" i="2" l="1"/>
  <c r="B603" i="2"/>
  <c r="G603" i="2" l="1"/>
  <c r="F603" i="2"/>
  <c r="K603" i="2" s="1"/>
  <c r="L603" i="2"/>
  <c r="J603" i="2" l="1"/>
  <c r="M603" i="2" s="1"/>
  <c r="N603" i="2" s="1"/>
  <c r="H603" i="2"/>
  <c r="I603" i="2" s="1"/>
  <c r="C604" i="2" l="1"/>
  <c r="B604" i="2"/>
  <c r="L604" i="2" l="1"/>
  <c r="F604" i="2"/>
  <c r="K604" i="2" s="1"/>
  <c r="G604" i="2"/>
  <c r="J604" i="2" l="1"/>
  <c r="M604" i="2" s="1"/>
  <c r="N604" i="2" s="1"/>
  <c r="H604" i="2"/>
  <c r="I604" i="2" s="1"/>
  <c r="B605" i="2" l="1"/>
  <c r="C605" i="2"/>
  <c r="G605" i="2" l="1"/>
  <c r="F605" i="2"/>
  <c r="K605" i="2" s="1"/>
  <c r="L605" i="2"/>
  <c r="J605" i="2" l="1"/>
  <c r="M605" i="2" s="1"/>
  <c r="N605" i="2" s="1"/>
  <c r="H605" i="2"/>
  <c r="I605" i="2" s="1"/>
  <c r="B606" i="2" l="1"/>
  <c r="C606" i="2"/>
  <c r="L606" i="2" l="1"/>
  <c r="G606" i="2"/>
  <c r="F606" i="2"/>
  <c r="K606" i="2" s="1"/>
  <c r="J606" i="2" l="1"/>
  <c r="M606" i="2" s="1"/>
  <c r="N606" i="2" s="1"/>
  <c r="H606" i="2"/>
  <c r="I606" i="2" s="1"/>
  <c r="C607" i="2" l="1"/>
  <c r="B607" i="2"/>
  <c r="F607" i="2" l="1"/>
  <c r="K607" i="2" s="1"/>
  <c r="G607" i="2"/>
  <c r="L607" i="2"/>
  <c r="J607" i="2" l="1"/>
  <c r="M607" i="2" s="1"/>
  <c r="N607" i="2" s="1"/>
  <c r="H607" i="2"/>
  <c r="I607" i="2" s="1"/>
  <c r="C608" i="2" l="1"/>
  <c r="B608" i="2"/>
  <c r="F608" i="2" l="1"/>
  <c r="K608" i="2" s="1"/>
  <c r="G608" i="2"/>
  <c r="L608" i="2"/>
  <c r="J608" i="2" l="1"/>
  <c r="M608" i="2" s="1"/>
  <c r="N608" i="2" s="1"/>
  <c r="H608" i="2"/>
  <c r="I608" i="2" s="1"/>
  <c r="C609" i="2" l="1"/>
  <c r="B609" i="2"/>
  <c r="F609" i="2" l="1"/>
  <c r="K609" i="2" s="1"/>
  <c r="G609" i="2"/>
  <c r="L609" i="2"/>
  <c r="J609" i="2" l="1"/>
  <c r="M609" i="2" s="1"/>
  <c r="N609" i="2" s="1"/>
  <c r="H609" i="2"/>
  <c r="I609" i="2" s="1"/>
  <c r="B610" i="2" l="1"/>
  <c r="C610" i="2"/>
  <c r="G610" i="2" l="1"/>
  <c r="F610" i="2"/>
  <c r="K610" i="2" s="1"/>
  <c r="L610" i="2"/>
  <c r="J610" i="2" l="1"/>
  <c r="M610" i="2" s="1"/>
  <c r="N610" i="2" s="1"/>
  <c r="H610" i="2"/>
  <c r="I610" i="2" s="1"/>
  <c r="C611" i="2" l="1"/>
  <c r="B611" i="2"/>
  <c r="F611" i="2" l="1"/>
  <c r="K611" i="2" s="1"/>
  <c r="L611" i="2"/>
  <c r="G611" i="2"/>
  <c r="H611" i="2" l="1"/>
  <c r="I611" i="2" s="1"/>
  <c r="J611" i="2"/>
  <c r="M611" i="2" s="1"/>
  <c r="N611" i="2" s="1"/>
  <c r="C612" i="2" l="1"/>
  <c r="B612" i="2"/>
  <c r="F612" i="2" l="1"/>
  <c r="K612" i="2" s="1"/>
  <c r="G612" i="2"/>
  <c r="L612" i="2"/>
  <c r="J612" i="2" l="1"/>
  <c r="M612" i="2" s="1"/>
  <c r="N612" i="2" s="1"/>
  <c r="H612" i="2"/>
  <c r="I612" i="2" s="1"/>
  <c r="C613" i="2" l="1"/>
  <c r="B613" i="2"/>
  <c r="G613" i="2" l="1"/>
  <c r="F613" i="2"/>
  <c r="K613" i="2" s="1"/>
  <c r="L613" i="2"/>
  <c r="J613" i="2" l="1"/>
  <c r="M613" i="2" s="1"/>
  <c r="N613" i="2" s="1"/>
  <c r="H613" i="2"/>
  <c r="I613" i="2" s="1"/>
  <c r="B614" i="2" l="1"/>
  <c r="C614" i="2"/>
  <c r="G614" i="2" l="1"/>
  <c r="L614" i="2"/>
  <c r="F614" i="2"/>
  <c r="K614" i="2" s="1"/>
  <c r="H614" i="2" l="1"/>
  <c r="I614" i="2" s="1"/>
  <c r="J614" i="2"/>
  <c r="M614" i="2" s="1"/>
  <c r="N614" i="2" s="1"/>
  <c r="C615" i="2" l="1"/>
  <c r="B615" i="2"/>
  <c r="G615" i="2" l="1"/>
  <c r="F615" i="2"/>
  <c r="K615" i="2" s="1"/>
  <c r="L615" i="2"/>
  <c r="H615" i="2" l="1"/>
  <c r="I615" i="2" s="1"/>
  <c r="J615" i="2"/>
  <c r="M615" i="2" s="1"/>
  <c r="N615" i="2" s="1"/>
  <c r="C616" i="2" l="1"/>
  <c r="B616" i="2"/>
  <c r="G616" i="2" l="1"/>
  <c r="L616" i="2"/>
  <c r="F616" i="2"/>
  <c r="K616" i="2" s="1"/>
  <c r="H616" i="2" l="1"/>
  <c r="I616" i="2" s="1"/>
  <c r="J616" i="2"/>
  <c r="M616" i="2" s="1"/>
  <c r="N616" i="2" s="1"/>
  <c r="C617" i="2" l="1"/>
  <c r="B617" i="2"/>
  <c r="G617" i="2" l="1"/>
  <c r="L617" i="2"/>
  <c r="F617" i="2"/>
  <c r="K617" i="2" s="1"/>
  <c r="H617" i="2" l="1"/>
  <c r="I617" i="2" s="1"/>
  <c r="J617" i="2"/>
  <c r="M617" i="2" s="1"/>
  <c r="N617" i="2" s="1"/>
  <c r="B618" i="2" l="1"/>
  <c r="C618" i="2"/>
  <c r="G618" i="2" l="1"/>
  <c r="F618" i="2"/>
  <c r="K618" i="2" s="1"/>
  <c r="L618" i="2"/>
  <c r="J618" i="2" l="1"/>
  <c r="M618" i="2" s="1"/>
  <c r="N618" i="2" s="1"/>
  <c r="H618" i="2"/>
  <c r="I618" i="2" s="1"/>
  <c r="B619" i="2" l="1"/>
  <c r="C619" i="2"/>
  <c r="G619" i="2" l="1"/>
  <c r="L619" i="2"/>
  <c r="F619" i="2"/>
  <c r="K619" i="2" s="1"/>
  <c r="H619" i="2" l="1"/>
  <c r="I619" i="2" s="1"/>
  <c r="J619" i="2"/>
  <c r="M619" i="2" s="1"/>
  <c r="N619" i="2" s="1"/>
  <c r="B620" i="2" l="1"/>
  <c r="C620" i="2"/>
  <c r="G620" i="2" l="1"/>
  <c r="L620" i="2"/>
  <c r="F620" i="2"/>
  <c r="K620" i="2" s="1"/>
  <c r="J620" i="2" l="1"/>
  <c r="M620" i="2" s="1"/>
  <c r="N620" i="2" s="1"/>
  <c r="H620" i="2"/>
  <c r="I620" i="2" s="1"/>
  <c r="B621" i="2" l="1"/>
  <c r="C621" i="2"/>
  <c r="F621" i="2" l="1"/>
  <c r="K621" i="2" s="1"/>
  <c r="L621" i="2"/>
  <c r="G621" i="2"/>
  <c r="J621" i="2" l="1"/>
  <c r="M621" i="2" s="1"/>
  <c r="N621" i="2" s="1"/>
  <c r="H621" i="2"/>
  <c r="I621" i="2" s="1"/>
  <c r="C622" i="2" l="1"/>
  <c r="B622" i="2"/>
  <c r="L622" i="2" l="1"/>
  <c r="F622" i="2"/>
  <c r="K622" i="2" s="1"/>
  <c r="G622" i="2"/>
  <c r="J622" i="2" l="1"/>
  <c r="M622" i="2" s="1"/>
  <c r="N622" i="2" s="1"/>
  <c r="H622" i="2"/>
  <c r="I622" i="2" s="1"/>
  <c r="C623" i="2" l="1"/>
  <c r="B623" i="2"/>
  <c r="L623" i="2" l="1"/>
  <c r="F623" i="2"/>
  <c r="K623" i="2" s="1"/>
  <c r="G623" i="2"/>
  <c r="H623" i="2" l="1"/>
  <c r="I623" i="2" s="1"/>
  <c r="J623" i="2"/>
  <c r="M623" i="2" s="1"/>
  <c r="N623" i="2" s="1"/>
  <c r="C624" i="2" l="1"/>
  <c r="B624" i="2"/>
  <c r="F624" i="2" l="1"/>
  <c r="K624" i="2" s="1"/>
  <c r="L624" i="2"/>
  <c r="G624" i="2"/>
  <c r="J624" i="2" l="1"/>
  <c r="M624" i="2" s="1"/>
  <c r="N624" i="2" s="1"/>
  <c r="H624" i="2"/>
  <c r="I624" i="2" s="1"/>
  <c r="B625" i="2" l="1"/>
  <c r="C625" i="2"/>
  <c r="L625" i="2" l="1"/>
  <c r="G625" i="2"/>
  <c r="F625" i="2"/>
  <c r="K625" i="2" s="1"/>
  <c r="J625" i="2" l="1"/>
  <c r="M625" i="2" s="1"/>
  <c r="N625" i="2" s="1"/>
  <c r="H625" i="2"/>
  <c r="I625" i="2" s="1"/>
  <c r="B626" i="2" l="1"/>
  <c r="C626" i="2"/>
  <c r="G626" i="2" l="1"/>
  <c r="F626" i="2"/>
  <c r="K626" i="2" s="1"/>
  <c r="L626" i="2"/>
  <c r="H626" i="2" l="1"/>
  <c r="I626" i="2" s="1"/>
  <c r="J626" i="2"/>
  <c r="M626" i="2" s="1"/>
  <c r="N626" i="2" s="1"/>
  <c r="B627" i="2" l="1"/>
  <c r="C627" i="2"/>
  <c r="G627" i="2" l="1"/>
  <c r="L627" i="2"/>
  <c r="F627" i="2"/>
  <c r="K627" i="2" s="1"/>
  <c r="H627" i="2" l="1"/>
  <c r="I627" i="2" s="1"/>
  <c r="J627" i="2"/>
  <c r="M627" i="2" s="1"/>
  <c r="N627" i="2" s="1"/>
  <c r="C628" i="2" l="1"/>
  <c r="B628" i="2"/>
  <c r="G628" i="2" l="1"/>
  <c r="L628" i="2"/>
  <c r="F628" i="2"/>
  <c r="K628" i="2" s="1"/>
  <c r="H628" i="2" l="1"/>
  <c r="I628" i="2" s="1"/>
  <c r="J628" i="2"/>
  <c r="M628" i="2" s="1"/>
  <c r="N628" i="2" s="1"/>
  <c r="C629" i="2" l="1"/>
  <c r="B629" i="2"/>
  <c r="G629" i="2" l="1"/>
  <c r="F629" i="2"/>
  <c r="K629" i="2" s="1"/>
  <c r="L629" i="2"/>
  <c r="J629" i="2" l="1"/>
  <c r="M629" i="2" s="1"/>
  <c r="N629" i="2" s="1"/>
  <c r="H629" i="2"/>
  <c r="I629" i="2" s="1"/>
  <c r="C630" i="2" l="1"/>
  <c r="B630" i="2"/>
  <c r="G630" i="2" l="1"/>
  <c r="F630" i="2"/>
  <c r="K630" i="2" s="1"/>
  <c r="L630" i="2"/>
  <c r="J630" i="2" l="1"/>
  <c r="M630" i="2" s="1"/>
  <c r="N630" i="2" s="1"/>
  <c r="H630" i="2"/>
  <c r="I630" i="2" s="1"/>
  <c r="B631" i="2" l="1"/>
  <c r="C631" i="2"/>
  <c r="L631" i="2" l="1"/>
  <c r="F631" i="2"/>
  <c r="K631" i="2" s="1"/>
  <c r="G631" i="2"/>
  <c r="H631" i="2" l="1"/>
  <c r="I631" i="2" s="1"/>
  <c r="J631" i="2"/>
  <c r="M631" i="2" s="1"/>
  <c r="N631" i="2" s="1"/>
  <c r="C632" i="2" l="1"/>
  <c r="B632" i="2"/>
  <c r="L632" i="2" l="1"/>
  <c r="G632" i="2"/>
  <c r="F632" i="2"/>
  <c r="K632" i="2" s="1"/>
  <c r="J632" i="2" l="1"/>
  <c r="M632" i="2" s="1"/>
  <c r="N632" i="2" s="1"/>
  <c r="H632" i="2"/>
  <c r="I632" i="2" s="1"/>
  <c r="C633" i="2" l="1"/>
  <c r="B633" i="2"/>
  <c r="L633" i="2" l="1"/>
  <c r="F633" i="2"/>
  <c r="K633" i="2" s="1"/>
  <c r="G633" i="2"/>
  <c r="H633" i="2" l="1"/>
  <c r="I633" i="2" s="1"/>
  <c r="J633" i="2"/>
  <c r="M633" i="2" s="1"/>
  <c r="N633" i="2" s="1"/>
  <c r="B634" i="2" l="1"/>
  <c r="C634" i="2"/>
  <c r="G634" i="2" l="1"/>
  <c r="L634" i="2"/>
  <c r="F634" i="2"/>
  <c r="K634" i="2" s="1"/>
  <c r="H634" i="2" l="1"/>
  <c r="I634" i="2" s="1"/>
  <c r="J634" i="2"/>
  <c r="M634" i="2" s="1"/>
  <c r="N634" i="2" s="1"/>
  <c r="B635" i="2" l="1"/>
  <c r="C635" i="2"/>
  <c r="G635" i="2" l="1"/>
  <c r="F635" i="2"/>
  <c r="K635" i="2" s="1"/>
  <c r="L635" i="2"/>
  <c r="H635" i="2" l="1"/>
  <c r="I635" i="2" s="1"/>
  <c r="J635" i="2"/>
  <c r="M635" i="2" s="1"/>
  <c r="N635" i="2" s="1"/>
  <c r="B636" i="2" l="1"/>
  <c r="C636" i="2"/>
  <c r="L636" i="2" l="1"/>
  <c r="F636" i="2"/>
  <c r="K636" i="2" s="1"/>
  <c r="G636" i="2"/>
  <c r="J636" i="2" l="1"/>
  <c r="M636" i="2" s="1"/>
  <c r="N636" i="2" s="1"/>
  <c r="H636" i="2"/>
  <c r="I636" i="2" s="1"/>
  <c r="C637" i="2" l="1"/>
  <c r="B637" i="2"/>
  <c r="L637" i="2" l="1"/>
  <c r="F637" i="2"/>
  <c r="K637" i="2" s="1"/>
  <c r="G637" i="2"/>
  <c r="H637" i="2" l="1"/>
  <c r="I637" i="2" s="1"/>
  <c r="J637" i="2"/>
  <c r="M637" i="2" s="1"/>
  <c r="N637" i="2" s="1"/>
  <c r="B638" i="2" l="1"/>
  <c r="C638" i="2"/>
  <c r="F638" i="2" l="1"/>
  <c r="K638" i="2" s="1"/>
  <c r="G638" i="2"/>
  <c r="L638" i="2"/>
  <c r="H638" i="2" l="1"/>
  <c r="I638" i="2" s="1"/>
  <c r="J638" i="2"/>
  <c r="M638" i="2" s="1"/>
  <c r="N638" i="2" s="1"/>
  <c r="B639" i="2" l="1"/>
  <c r="C639" i="2"/>
  <c r="G639" i="2" l="1"/>
  <c r="F639" i="2"/>
  <c r="K639" i="2" s="1"/>
  <c r="L639" i="2"/>
  <c r="H639" i="2" l="1"/>
  <c r="I639" i="2" s="1"/>
  <c r="J639" i="2"/>
  <c r="M639" i="2" s="1"/>
  <c r="N639" i="2" s="1"/>
  <c r="B640" i="2" l="1"/>
  <c r="C640" i="2"/>
  <c r="L640" i="2" l="1"/>
  <c r="G640" i="2"/>
  <c r="F640" i="2"/>
  <c r="K640" i="2" s="1"/>
  <c r="H640" i="2" l="1"/>
  <c r="I640" i="2" s="1"/>
  <c r="J640" i="2"/>
  <c r="M640" i="2" s="1"/>
  <c r="N640" i="2" s="1"/>
  <c r="C641" i="2" l="1"/>
  <c r="B641" i="2"/>
  <c r="G641" i="2" l="1"/>
  <c r="F641" i="2"/>
  <c r="K641" i="2" s="1"/>
  <c r="L641" i="2"/>
  <c r="J641" i="2" l="1"/>
  <c r="M641" i="2" s="1"/>
  <c r="N641" i="2" s="1"/>
  <c r="H641" i="2"/>
  <c r="I641" i="2" s="1"/>
  <c r="C642" i="2" l="1"/>
  <c r="B642" i="2"/>
  <c r="F642" i="2" l="1"/>
  <c r="K642" i="2" s="1"/>
  <c r="L642" i="2"/>
  <c r="G642" i="2"/>
  <c r="H642" i="2" l="1"/>
  <c r="I642" i="2" s="1"/>
  <c r="J642" i="2"/>
  <c r="M642" i="2" s="1"/>
  <c r="N642" i="2" s="1"/>
  <c r="B643" i="2" l="1"/>
  <c r="C643" i="2"/>
  <c r="L643" i="2" l="1"/>
  <c r="G643" i="2"/>
  <c r="F643" i="2"/>
  <c r="K643" i="2" s="1"/>
  <c r="H643" i="2" l="1"/>
  <c r="I643" i="2" s="1"/>
  <c r="J643" i="2"/>
  <c r="M643" i="2" s="1"/>
  <c r="N643" i="2" s="1"/>
  <c r="B644" i="2" l="1"/>
  <c r="C644" i="2"/>
  <c r="L644" i="2" l="1"/>
  <c r="G644" i="2"/>
  <c r="F644" i="2"/>
  <c r="K644" i="2" s="1"/>
  <c r="J644" i="2" l="1"/>
  <c r="M644" i="2" s="1"/>
  <c r="N644" i="2" s="1"/>
  <c r="H644" i="2"/>
  <c r="I644" i="2" s="1"/>
  <c r="C645" i="2" l="1"/>
  <c r="B645" i="2"/>
  <c r="L645" i="2" l="1"/>
  <c r="F645" i="2"/>
  <c r="K645" i="2" s="1"/>
  <c r="G645" i="2"/>
  <c r="J645" i="2" l="1"/>
  <c r="M645" i="2" s="1"/>
  <c r="N645" i="2" s="1"/>
  <c r="H645" i="2"/>
  <c r="I645" i="2" s="1"/>
  <c r="C646" i="2" l="1"/>
  <c r="B646" i="2"/>
  <c r="L646" i="2" l="1"/>
  <c r="F646" i="2"/>
  <c r="K646" i="2" s="1"/>
  <c r="G646" i="2"/>
  <c r="H646" i="2" l="1"/>
  <c r="I646" i="2" s="1"/>
  <c r="J646" i="2"/>
  <c r="M646" i="2" s="1"/>
  <c r="N646" i="2" s="1"/>
  <c r="C647" i="2" l="1"/>
  <c r="B647" i="2"/>
  <c r="F647" i="2" l="1"/>
  <c r="K647" i="2" s="1"/>
  <c r="L647" i="2"/>
  <c r="G647" i="2"/>
  <c r="J647" i="2" l="1"/>
  <c r="M647" i="2" s="1"/>
  <c r="N647" i="2" s="1"/>
  <c r="H647" i="2"/>
  <c r="I647" i="2" s="1"/>
  <c r="C648" i="2" l="1"/>
  <c r="B648" i="2"/>
  <c r="L648" i="2" l="1"/>
  <c r="F648" i="2"/>
  <c r="K648" i="2" s="1"/>
  <c r="G648" i="2"/>
  <c r="H648" i="2" l="1"/>
  <c r="I648" i="2" s="1"/>
  <c r="J648" i="2"/>
  <c r="M648" i="2" s="1"/>
  <c r="N648" i="2" s="1"/>
  <c r="C649" i="2" l="1"/>
  <c r="B649" i="2"/>
  <c r="G649" i="2" l="1"/>
  <c r="F649" i="2"/>
  <c r="K649" i="2" s="1"/>
  <c r="L649" i="2"/>
  <c r="H649" i="2" l="1"/>
  <c r="I649" i="2" s="1"/>
  <c r="J649" i="2"/>
  <c r="M649" i="2" s="1"/>
  <c r="N649" i="2" s="1"/>
  <c r="C650" i="2" l="1"/>
  <c r="B650" i="2"/>
  <c r="F650" i="2" l="1"/>
  <c r="K650" i="2" s="1"/>
  <c r="G650" i="2"/>
  <c r="L650" i="2"/>
  <c r="J650" i="2" l="1"/>
  <c r="M650" i="2" s="1"/>
  <c r="N650" i="2" s="1"/>
  <c r="H650" i="2"/>
  <c r="I650" i="2" s="1"/>
  <c r="C651" i="2" l="1"/>
  <c r="B651" i="2"/>
  <c r="G651" i="2" l="1"/>
  <c r="F651" i="2"/>
  <c r="K651" i="2" s="1"/>
  <c r="L651" i="2"/>
  <c r="H651" i="2" l="1"/>
  <c r="I651" i="2" s="1"/>
  <c r="J651" i="2"/>
  <c r="M651" i="2" s="1"/>
  <c r="N651" i="2" s="1"/>
  <c r="C652" i="2" l="1"/>
  <c r="B652" i="2"/>
  <c r="F652" i="2" l="1"/>
  <c r="K652" i="2" s="1"/>
  <c r="L652" i="2"/>
  <c r="G652" i="2"/>
  <c r="H652" i="2" l="1"/>
  <c r="I652" i="2" s="1"/>
  <c r="J652" i="2"/>
  <c r="M652" i="2" s="1"/>
  <c r="N652" i="2" s="1"/>
  <c r="C653" i="2" l="1"/>
  <c r="B653" i="2"/>
  <c r="L653" i="2" l="1"/>
  <c r="G653" i="2"/>
  <c r="F653" i="2"/>
  <c r="K653" i="2" s="1"/>
  <c r="H653" i="2" l="1"/>
  <c r="I653" i="2" s="1"/>
  <c r="J653" i="2"/>
  <c r="M653" i="2" s="1"/>
  <c r="N653" i="2" s="1"/>
  <c r="B654" i="2" l="1"/>
  <c r="C654" i="2"/>
  <c r="F654" i="2" l="1"/>
  <c r="K654" i="2" s="1"/>
  <c r="L654" i="2"/>
  <c r="G654" i="2"/>
  <c r="J654" i="2" l="1"/>
  <c r="M654" i="2" s="1"/>
  <c r="N654" i="2" s="1"/>
  <c r="H654" i="2"/>
  <c r="I654" i="2" s="1"/>
  <c r="B655" i="2" l="1"/>
  <c r="C655" i="2"/>
  <c r="F655" i="2" l="1"/>
  <c r="K655" i="2" s="1"/>
  <c r="G655" i="2"/>
  <c r="L655" i="2"/>
  <c r="H655" i="2" l="1"/>
  <c r="I655" i="2" s="1"/>
  <c r="J655" i="2"/>
  <c r="M655" i="2" s="1"/>
  <c r="N655" i="2" s="1"/>
  <c r="B656" i="2" l="1"/>
  <c r="C656" i="2"/>
  <c r="G656" i="2" l="1"/>
  <c r="L656" i="2"/>
  <c r="F656" i="2"/>
  <c r="K656" i="2" s="1"/>
  <c r="H656" i="2" l="1"/>
  <c r="I656" i="2" s="1"/>
  <c r="J656" i="2"/>
  <c r="M656" i="2" s="1"/>
  <c r="N656" i="2" s="1"/>
  <c r="C657" i="2" l="1"/>
  <c r="B657" i="2"/>
  <c r="G657" i="2" l="1"/>
  <c r="L657" i="2"/>
  <c r="F657" i="2"/>
  <c r="K657" i="2" s="1"/>
  <c r="H657" i="2" l="1"/>
  <c r="I657" i="2" s="1"/>
  <c r="J657" i="2"/>
  <c r="M657" i="2" s="1"/>
  <c r="N657" i="2" s="1"/>
  <c r="B658" i="2" l="1"/>
  <c r="C658" i="2"/>
  <c r="F658" i="2" l="1"/>
  <c r="K658" i="2" s="1"/>
  <c r="G658" i="2"/>
  <c r="L658" i="2"/>
  <c r="H658" i="2" l="1"/>
  <c r="I658" i="2" s="1"/>
  <c r="J658" i="2"/>
  <c r="M658" i="2" s="1"/>
  <c r="N658" i="2" s="1"/>
  <c r="B659" i="2" l="1"/>
  <c r="C659" i="2"/>
  <c r="L659" i="2" l="1"/>
  <c r="F659" i="2"/>
  <c r="K659" i="2" s="1"/>
  <c r="G659" i="2"/>
  <c r="J659" i="2" l="1"/>
  <c r="M659" i="2" s="1"/>
  <c r="N659" i="2" s="1"/>
  <c r="H659" i="2"/>
  <c r="I659" i="2" s="1"/>
  <c r="B660" i="2" l="1"/>
  <c r="C660" i="2"/>
  <c r="L660" i="2" l="1"/>
  <c r="F660" i="2"/>
  <c r="K660" i="2" s="1"/>
  <c r="G660" i="2"/>
  <c r="H660" i="2" l="1"/>
  <c r="I660" i="2" s="1"/>
  <c r="J660" i="2"/>
  <c r="M660" i="2" s="1"/>
  <c r="N660" i="2" s="1"/>
  <c r="B661" i="2" l="1"/>
  <c r="C661" i="2"/>
  <c r="G661" i="2" l="1"/>
  <c r="F661" i="2"/>
  <c r="K661" i="2" s="1"/>
  <c r="L661" i="2"/>
  <c r="H661" i="2" l="1"/>
  <c r="I661" i="2" s="1"/>
  <c r="J661" i="2"/>
  <c r="M661" i="2" s="1"/>
  <c r="N661" i="2" s="1"/>
  <c r="B662" i="2" l="1"/>
  <c r="C662" i="2"/>
  <c r="F662" i="2" l="1"/>
  <c r="K662" i="2" s="1"/>
  <c r="G662" i="2"/>
  <c r="L662" i="2"/>
  <c r="H662" i="2" l="1"/>
  <c r="I662" i="2" s="1"/>
  <c r="J662" i="2"/>
  <c r="M662" i="2" s="1"/>
  <c r="N662" i="2" s="1"/>
  <c r="C663" i="2" l="1"/>
  <c r="B663" i="2"/>
  <c r="F663" i="2" l="1"/>
  <c r="K663" i="2" s="1"/>
  <c r="L663" i="2"/>
  <c r="G663" i="2"/>
  <c r="H663" i="2" l="1"/>
  <c r="I663" i="2" s="1"/>
  <c r="J663" i="2"/>
  <c r="M663" i="2" s="1"/>
  <c r="N663" i="2" s="1"/>
  <c r="B664" i="2" l="1"/>
  <c r="C664" i="2"/>
  <c r="L664" i="2" l="1"/>
  <c r="F664" i="2"/>
  <c r="K664" i="2" s="1"/>
  <c r="G664" i="2"/>
  <c r="H664" i="2" l="1"/>
  <c r="I664" i="2" s="1"/>
  <c r="J664" i="2"/>
  <c r="M664" i="2" s="1"/>
  <c r="N664" i="2" s="1"/>
  <c r="C665" i="2" l="1"/>
  <c r="B665" i="2"/>
  <c r="F665" i="2" l="1"/>
  <c r="K665" i="2" s="1"/>
  <c r="G665" i="2"/>
  <c r="L665" i="2"/>
  <c r="J665" i="2" l="1"/>
  <c r="M665" i="2" s="1"/>
  <c r="N665" i="2" s="1"/>
  <c r="H665" i="2"/>
  <c r="I665" i="2" s="1"/>
  <c r="C666" i="2" l="1"/>
  <c r="B666" i="2"/>
  <c r="L666" i="2" l="1"/>
  <c r="F666" i="2"/>
  <c r="K666" i="2" s="1"/>
  <c r="G666" i="2"/>
  <c r="J666" i="2" l="1"/>
  <c r="M666" i="2" s="1"/>
  <c r="N666" i="2" s="1"/>
  <c r="H666" i="2"/>
  <c r="I666" i="2" s="1"/>
  <c r="B667" i="2" l="1"/>
  <c r="C667" i="2"/>
  <c r="G667" i="2" l="1"/>
  <c r="F667" i="2"/>
  <c r="K667" i="2" s="1"/>
  <c r="L667" i="2"/>
  <c r="H667" i="2" l="1"/>
  <c r="I667" i="2" s="1"/>
  <c r="J667" i="2"/>
  <c r="M667" i="2" s="1"/>
  <c r="N667" i="2" s="1"/>
  <c r="B668" i="2" l="1"/>
  <c r="C668" i="2"/>
  <c r="G668" i="2" l="1"/>
  <c r="F668" i="2"/>
  <c r="K668" i="2" s="1"/>
  <c r="L668" i="2"/>
  <c r="H668" i="2" l="1"/>
  <c r="I668" i="2" s="1"/>
  <c r="J668" i="2"/>
  <c r="M668" i="2" s="1"/>
  <c r="N668" i="2" s="1"/>
  <c r="C669" i="2" l="1"/>
  <c r="B669" i="2"/>
  <c r="G669" i="2" l="1"/>
  <c r="L669" i="2"/>
  <c r="F669" i="2"/>
  <c r="K669" i="2" s="1"/>
  <c r="J669" i="2" l="1"/>
  <c r="M669" i="2" s="1"/>
  <c r="N669" i="2" s="1"/>
  <c r="H669" i="2"/>
  <c r="I669" i="2" s="1"/>
  <c r="B670" i="2" l="1"/>
  <c r="C670" i="2"/>
  <c r="F670" i="2" l="1"/>
  <c r="K670" i="2" s="1"/>
  <c r="L670" i="2"/>
  <c r="G670" i="2"/>
  <c r="H670" i="2" l="1"/>
  <c r="I670" i="2" s="1"/>
  <c r="J670" i="2"/>
  <c r="M670" i="2" s="1"/>
  <c r="N670" i="2" s="1"/>
  <c r="C671" i="2" l="1"/>
  <c r="B671" i="2"/>
  <c r="G671" i="2" l="1"/>
  <c r="L671" i="2"/>
  <c r="F671" i="2"/>
  <c r="K671" i="2" s="1"/>
  <c r="H671" i="2" l="1"/>
  <c r="I671" i="2" s="1"/>
  <c r="J671" i="2"/>
  <c r="M671" i="2" s="1"/>
  <c r="N671" i="2" s="1"/>
  <c r="B672" i="2" l="1"/>
  <c r="C672" i="2"/>
  <c r="F672" i="2" l="1"/>
  <c r="K672" i="2" s="1"/>
  <c r="G672" i="2"/>
  <c r="L672" i="2"/>
  <c r="H672" i="2" l="1"/>
  <c r="I672" i="2" s="1"/>
  <c r="J672" i="2"/>
  <c r="M672" i="2" s="1"/>
  <c r="N672" i="2" s="1"/>
  <c r="B673" i="2" l="1"/>
  <c r="C673" i="2"/>
  <c r="G673" i="2" l="1"/>
  <c r="F673" i="2"/>
  <c r="K673" i="2" s="1"/>
  <c r="L673" i="2"/>
  <c r="H673" i="2" l="1"/>
  <c r="I673" i="2" s="1"/>
  <c r="J673" i="2"/>
  <c r="M673" i="2" s="1"/>
  <c r="N673" i="2" s="1"/>
  <c r="C674" i="2" l="1"/>
  <c r="B674" i="2"/>
  <c r="F674" i="2" l="1"/>
  <c r="K674" i="2" s="1"/>
  <c r="G674" i="2"/>
  <c r="L674" i="2"/>
  <c r="J674" i="2" l="1"/>
  <c r="M674" i="2" s="1"/>
  <c r="N674" i="2" s="1"/>
  <c r="H674" i="2"/>
  <c r="I674" i="2" s="1"/>
  <c r="B675" i="2" l="1"/>
  <c r="C675" i="2"/>
  <c r="F675" i="2" l="1"/>
  <c r="K675" i="2" s="1"/>
  <c r="G675" i="2"/>
  <c r="L675" i="2"/>
  <c r="J675" i="2" l="1"/>
  <c r="M675" i="2" s="1"/>
  <c r="N675" i="2" s="1"/>
  <c r="H675" i="2"/>
  <c r="I675" i="2" s="1"/>
  <c r="B676" i="2" l="1"/>
  <c r="C676" i="2"/>
  <c r="G676" i="2" l="1"/>
  <c r="L676" i="2"/>
  <c r="F676" i="2"/>
  <c r="K676" i="2" s="1"/>
  <c r="J676" i="2" l="1"/>
  <c r="M676" i="2" s="1"/>
  <c r="N676" i="2" s="1"/>
  <c r="H676" i="2"/>
  <c r="I676" i="2" s="1"/>
  <c r="C677" i="2" l="1"/>
  <c r="B677" i="2"/>
  <c r="F677" i="2" l="1"/>
  <c r="K677" i="2" s="1"/>
  <c r="L677" i="2"/>
  <c r="G677" i="2"/>
  <c r="H677" i="2" l="1"/>
  <c r="I677" i="2" s="1"/>
  <c r="J677" i="2"/>
  <c r="M677" i="2" s="1"/>
  <c r="N677" i="2" s="1"/>
  <c r="C678" i="2" l="1"/>
  <c r="B678" i="2"/>
  <c r="L678" i="2" l="1"/>
  <c r="G678" i="2"/>
  <c r="F678" i="2"/>
  <c r="K678" i="2" s="1"/>
  <c r="H678" i="2" l="1"/>
  <c r="I678" i="2" s="1"/>
  <c r="J678" i="2"/>
  <c r="M678" i="2" s="1"/>
  <c r="N678" i="2" s="1"/>
  <c r="B679" i="2" l="1"/>
  <c r="C679" i="2"/>
  <c r="F679" i="2" l="1"/>
  <c r="K679" i="2" s="1"/>
  <c r="L679" i="2"/>
  <c r="G679" i="2"/>
  <c r="H679" i="2" l="1"/>
  <c r="I679" i="2" s="1"/>
  <c r="J679" i="2"/>
  <c r="M679" i="2" s="1"/>
  <c r="N679" i="2" s="1"/>
  <c r="C680" i="2" l="1"/>
  <c r="B680" i="2"/>
  <c r="G680" i="2" l="1"/>
  <c r="L680" i="2"/>
  <c r="F680" i="2"/>
  <c r="K680" i="2" s="1"/>
  <c r="J680" i="2" l="1"/>
  <c r="M680" i="2" s="1"/>
  <c r="N680" i="2" s="1"/>
  <c r="H680" i="2"/>
  <c r="I680" i="2" s="1"/>
  <c r="C681" i="2" l="1"/>
  <c r="B681" i="2"/>
  <c r="G681" i="2" l="1"/>
  <c r="F681" i="2"/>
  <c r="K681" i="2" s="1"/>
  <c r="L681" i="2"/>
  <c r="J681" i="2" l="1"/>
  <c r="M681" i="2" s="1"/>
  <c r="N681" i="2" s="1"/>
  <c r="H681" i="2"/>
  <c r="I681" i="2" s="1"/>
  <c r="B682" i="2" l="1"/>
  <c r="C682" i="2"/>
  <c r="G682" i="2" l="1"/>
  <c r="F682" i="2"/>
  <c r="K682" i="2" s="1"/>
  <c r="L682" i="2"/>
  <c r="H682" i="2" l="1"/>
  <c r="I682" i="2" s="1"/>
  <c r="J682" i="2"/>
  <c r="M682" i="2" s="1"/>
  <c r="N682" i="2" s="1"/>
  <c r="B683" i="2" l="1"/>
  <c r="C683" i="2"/>
  <c r="F683" i="2" l="1"/>
  <c r="K683" i="2" s="1"/>
  <c r="L683" i="2"/>
  <c r="G683" i="2"/>
  <c r="H683" i="2" l="1"/>
  <c r="I683" i="2" s="1"/>
  <c r="J683" i="2"/>
  <c r="M683" i="2" s="1"/>
  <c r="N683" i="2" s="1"/>
  <c r="B684" i="2" l="1"/>
  <c r="C684" i="2"/>
  <c r="F684" i="2" l="1"/>
  <c r="K684" i="2" s="1"/>
  <c r="G684" i="2"/>
  <c r="L684" i="2"/>
  <c r="H684" i="2" l="1"/>
  <c r="I684" i="2" s="1"/>
  <c r="J684" i="2"/>
  <c r="M684" i="2" s="1"/>
  <c r="N684" i="2" s="1"/>
  <c r="C685" i="2" l="1"/>
  <c r="B685" i="2"/>
  <c r="F685" i="2" l="1"/>
  <c r="K685" i="2" s="1"/>
  <c r="L685" i="2"/>
  <c r="G685" i="2"/>
  <c r="H685" i="2" l="1"/>
  <c r="I685" i="2" s="1"/>
  <c r="J685" i="2"/>
  <c r="M685" i="2" s="1"/>
  <c r="N685" i="2" s="1"/>
  <c r="C686" i="2" l="1"/>
  <c r="B686" i="2"/>
  <c r="F686" i="2" l="1"/>
  <c r="K686" i="2" s="1"/>
  <c r="L686" i="2"/>
  <c r="G686" i="2"/>
  <c r="J686" i="2" l="1"/>
  <c r="M686" i="2" s="1"/>
  <c r="N686" i="2" s="1"/>
  <c r="H686" i="2"/>
  <c r="I686" i="2" s="1"/>
  <c r="C687" i="2" l="1"/>
  <c r="B687" i="2"/>
  <c r="L687" i="2" l="1"/>
  <c r="F687" i="2"/>
  <c r="K687" i="2" s="1"/>
  <c r="G687" i="2"/>
  <c r="H687" i="2" l="1"/>
  <c r="I687" i="2" s="1"/>
  <c r="J687" i="2"/>
  <c r="M687" i="2" s="1"/>
  <c r="N687" i="2" s="1"/>
  <c r="B688" i="2" l="1"/>
  <c r="C688" i="2"/>
  <c r="G688" i="2" l="1"/>
  <c r="F688" i="2"/>
  <c r="K688" i="2" s="1"/>
  <c r="L688" i="2"/>
  <c r="J688" i="2" l="1"/>
  <c r="M688" i="2" s="1"/>
  <c r="N688" i="2" s="1"/>
  <c r="H688" i="2"/>
  <c r="I688" i="2" s="1"/>
  <c r="C689" i="2" l="1"/>
  <c r="B689" i="2"/>
  <c r="G689" i="2" l="1"/>
  <c r="L689" i="2"/>
  <c r="F689" i="2"/>
  <c r="K689" i="2" s="1"/>
  <c r="J689" i="2" l="1"/>
  <c r="M689" i="2" s="1"/>
  <c r="N689" i="2" s="1"/>
  <c r="H689" i="2"/>
  <c r="I689" i="2" s="1"/>
  <c r="C690" i="2" l="1"/>
  <c r="B690" i="2"/>
  <c r="F690" i="2" l="1"/>
  <c r="K690" i="2" s="1"/>
  <c r="G690" i="2"/>
  <c r="L690" i="2"/>
  <c r="J690" i="2" l="1"/>
  <c r="M690" i="2" s="1"/>
  <c r="N690" i="2" s="1"/>
  <c r="H690" i="2"/>
  <c r="I690" i="2" s="1"/>
  <c r="C691" i="2" l="1"/>
  <c r="B691" i="2"/>
  <c r="L691" i="2" l="1"/>
  <c r="G691" i="2"/>
  <c r="F691" i="2"/>
  <c r="K691" i="2" s="1"/>
  <c r="J691" i="2" l="1"/>
  <c r="M691" i="2" s="1"/>
  <c r="N691" i="2" s="1"/>
  <c r="H691" i="2"/>
  <c r="I691" i="2" s="1"/>
  <c r="C692" i="2" l="1"/>
  <c r="B692" i="2"/>
  <c r="L692" i="2" l="1"/>
  <c r="F692" i="2"/>
  <c r="K692" i="2" s="1"/>
  <c r="G692" i="2"/>
  <c r="H692" i="2" l="1"/>
  <c r="I692" i="2" s="1"/>
  <c r="J692" i="2"/>
  <c r="M692" i="2" s="1"/>
  <c r="N692" i="2" s="1"/>
  <c r="C693" i="2" l="1"/>
  <c r="B693" i="2"/>
  <c r="G693" i="2" l="1"/>
  <c r="F693" i="2"/>
  <c r="K693" i="2" s="1"/>
  <c r="L693" i="2"/>
  <c r="J693" i="2" l="1"/>
  <c r="M693" i="2" s="1"/>
  <c r="N693" i="2" s="1"/>
  <c r="H693" i="2"/>
  <c r="I693" i="2" s="1"/>
  <c r="C694" i="2" l="1"/>
  <c r="B694" i="2"/>
  <c r="L694" i="2" l="1"/>
  <c r="G694" i="2"/>
  <c r="F694" i="2"/>
  <c r="K694" i="2" s="1"/>
  <c r="J694" i="2" l="1"/>
  <c r="M694" i="2" s="1"/>
  <c r="N694" i="2" s="1"/>
  <c r="H694" i="2"/>
  <c r="I694" i="2" s="1"/>
  <c r="C695" i="2" l="1"/>
  <c r="B695" i="2"/>
  <c r="F695" i="2" l="1"/>
  <c r="K695" i="2" s="1"/>
  <c r="L695" i="2"/>
  <c r="G695" i="2"/>
  <c r="J695" i="2" l="1"/>
  <c r="M695" i="2" s="1"/>
  <c r="N695" i="2" s="1"/>
  <c r="H695" i="2"/>
  <c r="I695" i="2" s="1"/>
  <c r="C696" i="2" l="1"/>
  <c r="B696" i="2"/>
  <c r="F696" i="2" l="1"/>
  <c r="K696" i="2" s="1"/>
  <c r="L696" i="2"/>
  <c r="G696" i="2"/>
  <c r="J696" i="2" l="1"/>
  <c r="M696" i="2" s="1"/>
  <c r="N696" i="2" s="1"/>
  <c r="H696" i="2"/>
  <c r="I696" i="2" s="1"/>
  <c r="B697" i="2" l="1"/>
  <c r="C697" i="2"/>
  <c r="G697" i="2" l="1"/>
  <c r="L697" i="2"/>
  <c r="F697" i="2"/>
  <c r="K697" i="2" s="1"/>
  <c r="J697" i="2" l="1"/>
  <c r="M697" i="2" s="1"/>
  <c r="N697" i="2" s="1"/>
  <c r="H697" i="2"/>
  <c r="I697" i="2" s="1"/>
  <c r="B698" i="2" l="1"/>
  <c r="C698" i="2"/>
  <c r="G698" i="2" l="1"/>
  <c r="L698" i="2"/>
  <c r="F698" i="2"/>
  <c r="K698" i="2" s="1"/>
  <c r="H698" i="2" l="1"/>
  <c r="I698" i="2" s="1"/>
  <c r="J698" i="2"/>
  <c r="M698" i="2" s="1"/>
  <c r="N698" i="2" s="1"/>
  <c r="B699" i="2" l="1"/>
  <c r="C699" i="2"/>
  <c r="F699" i="2" l="1"/>
  <c r="K699" i="2" s="1"/>
  <c r="G699" i="2"/>
  <c r="L699" i="2"/>
  <c r="J699" i="2" l="1"/>
  <c r="M699" i="2" s="1"/>
  <c r="N699" i="2" s="1"/>
  <c r="H699" i="2"/>
  <c r="I699" i="2" s="1"/>
  <c r="C700" i="2" l="1"/>
  <c r="B700" i="2"/>
  <c r="L700" i="2" l="1"/>
  <c r="F700" i="2"/>
  <c r="K700" i="2" s="1"/>
  <c r="G700" i="2"/>
  <c r="J700" i="2" l="1"/>
  <c r="M700" i="2" s="1"/>
  <c r="N700" i="2" s="1"/>
  <c r="H700" i="2"/>
  <c r="I700" i="2" s="1"/>
  <c r="C701" i="2" l="1"/>
  <c r="B701" i="2"/>
  <c r="G701" i="2" l="1"/>
  <c r="F701" i="2"/>
  <c r="K701" i="2" s="1"/>
  <c r="L701" i="2"/>
  <c r="J701" i="2" l="1"/>
  <c r="M701" i="2" s="1"/>
  <c r="N701" i="2" s="1"/>
  <c r="H701" i="2"/>
  <c r="I701" i="2" s="1"/>
  <c r="B702" i="2" l="1"/>
  <c r="C702" i="2"/>
  <c r="L702" i="2" l="1"/>
  <c r="F702" i="2"/>
  <c r="K702" i="2" s="1"/>
  <c r="G702" i="2"/>
  <c r="J702" i="2" l="1"/>
  <c r="M702" i="2" s="1"/>
  <c r="N702" i="2" s="1"/>
  <c r="H702" i="2"/>
  <c r="I702" i="2" s="1"/>
  <c r="B703" i="2" l="1"/>
  <c r="C703" i="2"/>
  <c r="L703" i="2" l="1"/>
  <c r="F703" i="2"/>
  <c r="K703" i="2" s="1"/>
  <c r="G703" i="2"/>
  <c r="H703" i="2" l="1"/>
  <c r="I703" i="2" s="1"/>
  <c r="J703" i="2"/>
  <c r="M703" i="2" s="1"/>
  <c r="N703" i="2" s="1"/>
  <c r="B704" i="2" l="1"/>
  <c r="C704" i="2"/>
  <c r="F704" i="2" l="1"/>
  <c r="K704" i="2" s="1"/>
  <c r="L704" i="2"/>
  <c r="G704" i="2"/>
  <c r="H704" i="2" l="1"/>
  <c r="I704" i="2" s="1"/>
  <c r="J704" i="2"/>
  <c r="M704" i="2" s="1"/>
  <c r="N704" i="2" s="1"/>
  <c r="B705" i="2" l="1"/>
  <c r="C705" i="2"/>
  <c r="F705" i="2" l="1"/>
  <c r="K705" i="2" s="1"/>
  <c r="L705" i="2"/>
  <c r="G705" i="2"/>
  <c r="H705" i="2" l="1"/>
  <c r="I705" i="2" s="1"/>
  <c r="J705" i="2"/>
  <c r="M705" i="2" s="1"/>
  <c r="N705" i="2" s="1"/>
  <c r="B706" i="2" l="1"/>
  <c r="C706" i="2"/>
  <c r="G706" i="2" l="1"/>
  <c r="L706" i="2"/>
  <c r="F706" i="2"/>
  <c r="K706" i="2" s="1"/>
  <c r="J706" i="2" l="1"/>
  <c r="M706" i="2" s="1"/>
  <c r="N706" i="2" s="1"/>
  <c r="H706" i="2"/>
  <c r="I706" i="2" s="1"/>
  <c r="B707" i="2" l="1"/>
  <c r="C707" i="2"/>
  <c r="F707" i="2" l="1"/>
  <c r="K707" i="2" s="1"/>
  <c r="L707" i="2"/>
  <c r="G707" i="2"/>
  <c r="J707" i="2" l="1"/>
  <c r="M707" i="2" s="1"/>
  <c r="N707" i="2" s="1"/>
  <c r="H707" i="2"/>
  <c r="I707" i="2" s="1"/>
  <c r="B708" i="2" l="1"/>
  <c r="C708" i="2"/>
  <c r="L708" i="2" l="1"/>
  <c r="G708" i="2"/>
  <c r="F708" i="2"/>
  <c r="K708" i="2" s="1"/>
  <c r="J708" i="2" l="1"/>
  <c r="M708" i="2" s="1"/>
  <c r="N708" i="2" s="1"/>
  <c r="H708" i="2"/>
  <c r="I708" i="2" s="1"/>
  <c r="B709" i="2" l="1"/>
  <c r="C709" i="2"/>
  <c r="F709" i="2" l="1"/>
  <c r="K709" i="2" s="1"/>
  <c r="G709" i="2"/>
  <c r="L709" i="2"/>
  <c r="J709" i="2" l="1"/>
  <c r="M709" i="2" s="1"/>
  <c r="N709" i="2" s="1"/>
  <c r="H709" i="2"/>
  <c r="I709" i="2" s="1"/>
  <c r="B710" i="2" l="1"/>
  <c r="C710" i="2"/>
  <c r="L710" i="2" l="1"/>
  <c r="F710" i="2"/>
  <c r="K710" i="2" s="1"/>
  <c r="G710" i="2"/>
  <c r="H710" i="2" l="1"/>
  <c r="I710" i="2" s="1"/>
  <c r="J710" i="2"/>
  <c r="M710" i="2" s="1"/>
  <c r="N710" i="2" s="1"/>
  <c r="C711" i="2" l="1"/>
  <c r="B711" i="2"/>
  <c r="G711" i="2" l="1"/>
  <c r="F711" i="2"/>
  <c r="K711" i="2" s="1"/>
  <c r="L711" i="2"/>
  <c r="J711" i="2" l="1"/>
  <c r="M711" i="2" s="1"/>
  <c r="N711" i="2" s="1"/>
  <c r="H711" i="2"/>
  <c r="I711" i="2" s="1"/>
  <c r="B712" i="2" l="1"/>
  <c r="C712" i="2"/>
  <c r="L712" i="2" l="1"/>
  <c r="G712" i="2"/>
  <c r="F712" i="2"/>
  <c r="K712" i="2" s="1"/>
  <c r="H712" i="2" l="1"/>
  <c r="I712" i="2" s="1"/>
  <c r="J712" i="2"/>
  <c r="M712" i="2" s="1"/>
  <c r="N712" i="2" s="1"/>
  <c r="C713" i="2" l="1"/>
  <c r="B713" i="2"/>
  <c r="F713" i="2" l="1"/>
  <c r="K713" i="2" s="1"/>
  <c r="L713" i="2"/>
  <c r="G713" i="2"/>
  <c r="H713" i="2" l="1"/>
  <c r="I713" i="2" s="1"/>
  <c r="J713" i="2"/>
  <c r="M713" i="2" s="1"/>
  <c r="N713" i="2" s="1"/>
  <c r="B714" i="2" l="1"/>
  <c r="C714" i="2"/>
  <c r="F714" i="2" l="1"/>
  <c r="K714" i="2" s="1"/>
  <c r="G714" i="2"/>
  <c r="L714" i="2"/>
  <c r="H714" i="2" l="1"/>
  <c r="I714" i="2" s="1"/>
  <c r="J714" i="2"/>
  <c r="M714" i="2" s="1"/>
  <c r="N714" i="2" s="1"/>
  <c r="B715" i="2" l="1"/>
  <c r="C715" i="2"/>
  <c r="G715" i="2" l="1"/>
  <c r="F715" i="2"/>
  <c r="K715" i="2" s="1"/>
  <c r="L715" i="2"/>
  <c r="H715" i="2" l="1"/>
  <c r="I715" i="2" s="1"/>
  <c r="J715" i="2"/>
  <c r="M715" i="2" s="1"/>
  <c r="N715" i="2" s="1"/>
  <c r="B716" i="2" l="1"/>
  <c r="C716" i="2"/>
  <c r="G716" i="2" l="1"/>
  <c r="F716" i="2"/>
  <c r="K716" i="2" s="1"/>
  <c r="L716" i="2"/>
  <c r="J716" i="2" l="1"/>
  <c r="M716" i="2" s="1"/>
  <c r="N716" i="2" s="1"/>
  <c r="H716" i="2"/>
  <c r="I716" i="2" s="1"/>
  <c r="C717" i="2" l="1"/>
  <c r="B717" i="2"/>
  <c r="G717" i="2" l="1"/>
  <c r="F717" i="2"/>
  <c r="K717" i="2" s="1"/>
  <c r="L717" i="2"/>
  <c r="J717" i="2" l="1"/>
  <c r="M717" i="2" s="1"/>
  <c r="N717" i="2" s="1"/>
  <c r="H717" i="2"/>
  <c r="I717" i="2" s="1"/>
  <c r="C718" i="2" l="1"/>
  <c r="B718" i="2"/>
  <c r="F718" i="2" l="1"/>
  <c r="K718" i="2" s="1"/>
  <c r="L718" i="2"/>
  <c r="G718" i="2"/>
  <c r="J718" i="2" l="1"/>
  <c r="M718" i="2" s="1"/>
  <c r="N718" i="2" s="1"/>
  <c r="H718" i="2"/>
  <c r="I718" i="2" s="1"/>
  <c r="C719" i="2" l="1"/>
  <c r="B719" i="2"/>
  <c r="G719" i="2" l="1"/>
  <c r="L719" i="2"/>
  <c r="F719" i="2"/>
  <c r="K719" i="2" s="1"/>
  <c r="J719" i="2" l="1"/>
  <c r="M719" i="2" s="1"/>
  <c r="N719" i="2" s="1"/>
  <c r="H719" i="2"/>
  <c r="I719" i="2" s="1"/>
  <c r="C720" i="2" l="1"/>
  <c r="B720" i="2"/>
  <c r="L720" i="2" l="1"/>
  <c r="F720" i="2"/>
  <c r="K720" i="2" s="1"/>
  <c r="G720" i="2"/>
  <c r="H720" i="2" l="1"/>
  <c r="I720" i="2" s="1"/>
  <c r="J720" i="2"/>
  <c r="M720" i="2" s="1"/>
  <c r="N720" i="2" s="1"/>
  <c r="C721" i="2" l="1"/>
  <c r="B721" i="2"/>
  <c r="L721" i="2" l="1"/>
  <c r="F721" i="2"/>
  <c r="K721" i="2" s="1"/>
  <c r="G721" i="2"/>
  <c r="J721" i="2" l="1"/>
  <c r="M721" i="2" s="1"/>
  <c r="N721" i="2" s="1"/>
  <c r="H721" i="2"/>
  <c r="I721" i="2" s="1"/>
  <c r="B722" i="2" l="1"/>
  <c r="C722" i="2"/>
  <c r="G722" i="2" l="1"/>
  <c r="F722" i="2"/>
  <c r="K722" i="2" s="1"/>
  <c r="L722" i="2"/>
  <c r="J722" i="2" l="1"/>
  <c r="M722" i="2" s="1"/>
  <c r="N722" i="2" s="1"/>
  <c r="H722" i="2"/>
  <c r="I722" i="2" s="1"/>
  <c r="C723" i="2" l="1"/>
  <c r="B723" i="2"/>
  <c r="F723" i="2" l="1"/>
  <c r="K723" i="2" s="1"/>
  <c r="L723" i="2"/>
  <c r="G723" i="2"/>
  <c r="H723" i="2" l="1"/>
  <c r="I723" i="2" s="1"/>
  <c r="J723" i="2"/>
  <c r="M723" i="2" s="1"/>
  <c r="N723" i="2" s="1"/>
  <c r="C724" i="2" l="1"/>
  <c r="B724" i="2"/>
  <c r="G724" i="2" l="1"/>
  <c r="L724" i="2"/>
  <c r="F724" i="2"/>
  <c r="K724" i="2" s="1"/>
  <c r="J724" i="2" l="1"/>
  <c r="M724" i="2" s="1"/>
  <c r="N724" i="2" s="1"/>
  <c r="H724" i="2"/>
  <c r="I724" i="2" s="1"/>
  <c r="B725" i="2" l="1"/>
  <c r="C725" i="2"/>
  <c r="L725" i="2" l="1"/>
  <c r="G725" i="2"/>
  <c r="F725" i="2"/>
  <c r="K725" i="2" s="1"/>
  <c r="H725" i="2" l="1"/>
  <c r="I725" i="2" s="1"/>
  <c r="J725" i="2"/>
  <c r="M725" i="2" s="1"/>
  <c r="N725" i="2" s="1"/>
  <c r="B726" i="2" l="1"/>
  <c r="C726" i="2"/>
  <c r="L726" i="2" l="1"/>
  <c r="F726" i="2"/>
  <c r="K726" i="2" s="1"/>
  <c r="G726" i="2"/>
  <c r="H726" i="2" l="1"/>
  <c r="I726" i="2" s="1"/>
  <c r="J726" i="2"/>
  <c r="M726" i="2" s="1"/>
  <c r="N726" i="2" s="1"/>
  <c r="B727" i="2" l="1"/>
  <c r="C727" i="2"/>
  <c r="F727" i="2" l="1"/>
  <c r="K727" i="2" s="1"/>
  <c r="L727" i="2"/>
  <c r="G727" i="2"/>
  <c r="H727" i="2" l="1"/>
  <c r="I727" i="2" s="1"/>
  <c r="J727" i="2"/>
  <c r="M727" i="2" s="1"/>
  <c r="N727" i="2" s="1"/>
  <c r="C728" i="2" l="1"/>
  <c r="B728" i="2"/>
  <c r="F728" i="2" l="1"/>
  <c r="K728" i="2" s="1"/>
  <c r="L728" i="2"/>
  <c r="G728" i="2"/>
  <c r="J728" i="2" l="1"/>
  <c r="M728" i="2" s="1"/>
  <c r="N728" i="2" s="1"/>
  <c r="H728" i="2"/>
  <c r="I728" i="2" s="1"/>
  <c r="C729" i="2" l="1"/>
  <c r="B729" i="2"/>
  <c r="G729" i="2" l="1"/>
  <c r="F729" i="2"/>
  <c r="K729" i="2" s="1"/>
  <c r="L729" i="2"/>
  <c r="J729" i="2" l="1"/>
  <c r="M729" i="2" s="1"/>
  <c r="N729" i="2" s="1"/>
  <c r="H729" i="2"/>
  <c r="I729" i="2" s="1"/>
  <c r="C730" i="2" l="1"/>
  <c r="B730" i="2"/>
  <c r="L730" i="2" l="1"/>
  <c r="G730" i="2"/>
  <c r="F730" i="2"/>
  <c r="K730" i="2" s="1"/>
  <c r="J730" i="2" l="1"/>
  <c r="M730" i="2" s="1"/>
  <c r="N730" i="2" s="1"/>
  <c r="H730" i="2"/>
  <c r="I730" i="2" s="1"/>
  <c r="B731" i="2" l="1"/>
  <c r="C731" i="2"/>
  <c r="F731" i="2" l="1"/>
  <c r="K731" i="2" s="1"/>
  <c r="G731" i="2"/>
  <c r="L731" i="2"/>
  <c r="H731" i="2" l="1"/>
  <c r="I731" i="2" s="1"/>
  <c r="J731" i="2"/>
  <c r="M731" i="2" s="1"/>
  <c r="N731" i="2" s="1"/>
  <c r="B732" i="2" l="1"/>
  <c r="C732" i="2"/>
  <c r="G732" i="2" l="1"/>
  <c r="F732" i="2"/>
  <c r="K732" i="2" s="1"/>
  <c r="L732" i="2"/>
  <c r="H732" i="2" l="1"/>
  <c r="I732" i="2" s="1"/>
  <c r="J732" i="2"/>
  <c r="M732" i="2" s="1"/>
  <c r="N732" i="2" s="1"/>
  <c r="C733" i="2" l="1"/>
  <c r="B733" i="2"/>
  <c r="F733" i="2" l="1"/>
  <c r="K733" i="2" s="1"/>
  <c r="G733" i="2"/>
  <c r="L733" i="2"/>
  <c r="H733" i="2" l="1"/>
  <c r="I733" i="2" s="1"/>
  <c r="J733" i="2"/>
  <c r="M733" i="2" s="1"/>
  <c r="N733" i="2" s="1"/>
  <c r="C734" i="2" l="1"/>
  <c r="B734" i="2"/>
  <c r="G734" i="2" l="1"/>
  <c r="L734" i="2"/>
  <c r="F734" i="2"/>
  <c r="K734" i="2" s="1"/>
  <c r="H734" i="2" l="1"/>
  <c r="I734" i="2" s="1"/>
  <c r="J734" i="2"/>
  <c r="M734" i="2" s="1"/>
  <c r="N734" i="2" s="1"/>
  <c r="B735" i="2" l="1"/>
  <c r="C735" i="2"/>
  <c r="L735" i="2" l="1"/>
  <c r="G735" i="2"/>
  <c r="F735" i="2"/>
  <c r="K735" i="2" s="1"/>
  <c r="J735" i="2" l="1"/>
  <c r="M735" i="2" s="1"/>
  <c r="N735" i="2" s="1"/>
  <c r="H735" i="2"/>
  <c r="I735" i="2" s="1"/>
  <c r="B736" i="2" l="1"/>
  <c r="C736" i="2"/>
  <c r="F736" i="2" l="1"/>
  <c r="K736" i="2" s="1"/>
  <c r="L736" i="2"/>
  <c r="G736" i="2"/>
  <c r="H736" i="2" l="1"/>
  <c r="I736" i="2" s="1"/>
  <c r="J736" i="2"/>
  <c r="M736" i="2" s="1"/>
  <c r="N736" i="2" s="1"/>
  <c r="C737" i="2" l="1"/>
  <c r="B737" i="2"/>
  <c r="F737" i="2" l="1"/>
  <c r="K737" i="2" s="1"/>
  <c r="G737" i="2"/>
  <c r="L737" i="2"/>
  <c r="J737" i="2" l="1"/>
  <c r="M737" i="2" s="1"/>
  <c r="N737" i="2" s="1"/>
  <c r="H737" i="2"/>
  <c r="I737" i="2" s="1"/>
  <c r="B738" i="2" l="1"/>
  <c r="C738" i="2"/>
  <c r="F738" i="2" l="1"/>
  <c r="K738" i="2" s="1"/>
  <c r="G738" i="2"/>
  <c r="L738" i="2"/>
  <c r="H738" i="2" l="1"/>
  <c r="I738" i="2" s="1"/>
  <c r="J738" i="2"/>
  <c r="M738" i="2" s="1"/>
  <c r="N738" i="2" s="1"/>
  <c r="C739" i="2" l="1"/>
  <c r="B739" i="2"/>
  <c r="G739" i="2" l="1"/>
  <c r="L739" i="2"/>
  <c r="F739" i="2"/>
  <c r="K739" i="2" s="1"/>
  <c r="H739" i="2" l="1"/>
  <c r="I739" i="2" s="1"/>
  <c r="J739" i="2"/>
  <c r="M739" i="2" s="1"/>
  <c r="N739" i="2" s="1"/>
  <c r="C740" i="2" l="1"/>
  <c r="B740" i="2"/>
  <c r="G740" i="2" l="1"/>
  <c r="L740" i="2"/>
  <c r="F740" i="2"/>
  <c r="K740" i="2" s="1"/>
  <c r="J740" i="2" l="1"/>
  <c r="M740" i="2" s="1"/>
  <c r="N740" i="2" s="1"/>
  <c r="H740" i="2"/>
  <c r="I740" i="2" s="1"/>
  <c r="B741" i="2" l="1"/>
  <c r="C741" i="2"/>
  <c r="L741" i="2" l="1"/>
  <c r="G741" i="2"/>
  <c r="F741" i="2"/>
  <c r="K741" i="2" s="1"/>
  <c r="J741" i="2" l="1"/>
  <c r="M741" i="2" s="1"/>
  <c r="N741" i="2" s="1"/>
  <c r="H741" i="2"/>
  <c r="I741" i="2" s="1"/>
  <c r="C742" i="2" l="1"/>
  <c r="B742" i="2"/>
  <c r="L742" i="2" l="1"/>
  <c r="G742" i="2"/>
  <c r="F742" i="2"/>
  <c r="K742" i="2" s="1"/>
  <c r="J742" i="2" l="1"/>
  <c r="M742" i="2" s="1"/>
  <c r="N742" i="2" s="1"/>
  <c r="H742" i="2"/>
  <c r="I742" i="2" s="1"/>
  <c r="B743" i="2" l="1"/>
  <c r="C743" i="2"/>
  <c r="F743" i="2" l="1"/>
  <c r="K743" i="2" s="1"/>
  <c r="G743" i="2"/>
  <c r="L743" i="2"/>
  <c r="J743" i="2" l="1"/>
  <c r="M743" i="2" s="1"/>
  <c r="N743" i="2" s="1"/>
  <c r="H743" i="2"/>
  <c r="I743" i="2" s="1"/>
  <c r="C744" i="2" l="1"/>
  <c r="B744" i="2"/>
  <c r="F744" i="2" l="1"/>
  <c r="K744" i="2" s="1"/>
  <c r="L744" i="2"/>
  <c r="G744" i="2"/>
  <c r="J744" i="2" l="1"/>
  <c r="M744" i="2" s="1"/>
  <c r="N744" i="2" s="1"/>
  <c r="H744" i="2"/>
  <c r="I744" i="2" s="1"/>
  <c r="B745" i="2" l="1"/>
  <c r="C745" i="2"/>
  <c r="F745" i="2" l="1"/>
  <c r="K745" i="2" s="1"/>
  <c r="L745" i="2"/>
  <c r="G745" i="2"/>
  <c r="J745" i="2" l="1"/>
  <c r="M745" i="2" s="1"/>
  <c r="N745" i="2" s="1"/>
  <c r="H745" i="2"/>
  <c r="I745" i="2" s="1"/>
  <c r="C746" i="2" l="1"/>
  <c r="B746" i="2"/>
  <c r="F746" i="2" l="1"/>
  <c r="K746" i="2" s="1"/>
  <c r="G746" i="2"/>
  <c r="L746" i="2"/>
  <c r="H746" i="2" l="1"/>
  <c r="J746" i="2"/>
  <c r="M746" i="2" s="1"/>
  <c r="N746" i="2" s="1"/>
  <c r="I746" i="2"/>
  <c r="C747" i="2" l="1"/>
  <c r="B747" i="2"/>
  <c r="L747" i="2" l="1"/>
  <c r="G747" i="2"/>
  <c r="F747" i="2"/>
  <c r="K747" i="2" s="1"/>
  <c r="J747" i="2" l="1"/>
  <c r="M747" i="2" s="1"/>
  <c r="N747" i="2" s="1"/>
  <c r="H747" i="2"/>
  <c r="I747" i="2" s="1"/>
  <c r="B748" i="2" l="1"/>
  <c r="C748" i="2"/>
  <c r="F748" i="2" l="1"/>
  <c r="K748" i="2" s="1"/>
  <c r="G748" i="2"/>
  <c r="L748" i="2"/>
  <c r="J748" i="2" l="1"/>
  <c r="M748" i="2" s="1"/>
  <c r="N748" i="2" s="1"/>
  <c r="H748" i="2"/>
  <c r="I748" i="2" s="1"/>
  <c r="C749" i="2" l="1"/>
  <c r="B749" i="2"/>
  <c r="L749" i="2" l="1"/>
  <c r="F749" i="2"/>
  <c r="K749" i="2" s="1"/>
  <c r="G749" i="2"/>
  <c r="H749" i="2" l="1"/>
  <c r="I749" i="2" s="1"/>
  <c r="J749" i="2"/>
  <c r="M749" i="2" s="1"/>
  <c r="N749" i="2" s="1"/>
  <c r="B750" i="2" l="1"/>
  <c r="C750" i="2"/>
  <c r="L750" i="2" l="1"/>
  <c r="F750" i="2"/>
  <c r="K750" i="2" s="1"/>
  <c r="G750" i="2"/>
  <c r="H750" i="2" l="1"/>
  <c r="I750" i="2" s="1"/>
  <c r="J750" i="2"/>
  <c r="M750" i="2" s="1"/>
  <c r="N750" i="2" s="1"/>
  <c r="B751" i="2" l="1"/>
  <c r="C751" i="2"/>
  <c r="G751" i="2" l="1"/>
  <c r="F751" i="2"/>
  <c r="K751" i="2" s="1"/>
  <c r="L751" i="2"/>
  <c r="H751" i="2" l="1"/>
  <c r="I751" i="2" s="1"/>
  <c r="J751" i="2"/>
  <c r="M751" i="2" s="1"/>
  <c r="N751" i="2" s="1"/>
  <c r="C752" i="2" l="1"/>
  <c r="B752" i="2"/>
  <c r="G752" i="2" l="1"/>
  <c r="F752" i="2"/>
  <c r="K752" i="2" s="1"/>
  <c r="L752" i="2"/>
  <c r="H752" i="2" l="1"/>
  <c r="I752" i="2" s="1"/>
  <c r="J752" i="2"/>
  <c r="M752" i="2" s="1"/>
  <c r="N752" i="2" s="1"/>
  <c r="C753" i="2" l="1"/>
  <c r="B753" i="2"/>
  <c r="G753" i="2" l="1"/>
  <c r="L753" i="2"/>
  <c r="F753" i="2"/>
  <c r="K753" i="2" s="1"/>
  <c r="H753" i="2" l="1"/>
  <c r="I753" i="2" s="1"/>
  <c r="J753" i="2"/>
  <c r="M753" i="2" s="1"/>
  <c r="N753" i="2" s="1"/>
  <c r="C754" i="2" l="1"/>
  <c r="B754" i="2"/>
  <c r="L754" i="2" l="1"/>
  <c r="F754" i="2"/>
  <c r="K754" i="2" s="1"/>
  <c r="G754" i="2"/>
  <c r="J754" i="2" l="1"/>
  <c r="M754" i="2" s="1"/>
  <c r="N754" i="2" s="1"/>
  <c r="H754" i="2"/>
  <c r="I754" i="2" s="1"/>
  <c r="B755" i="2" l="1"/>
  <c r="C755" i="2"/>
  <c r="F755" i="2" l="1"/>
  <c r="K755" i="2" s="1"/>
  <c r="L755" i="2"/>
  <c r="G755" i="2"/>
  <c r="H755" i="2" l="1"/>
  <c r="I755" i="2" s="1"/>
  <c r="J755" i="2"/>
  <c r="M755" i="2" s="1"/>
  <c r="N755" i="2" s="1"/>
  <c r="C756" i="2" l="1"/>
  <c r="B756" i="2"/>
  <c r="L756" i="2" l="1"/>
  <c r="F756" i="2"/>
  <c r="K756" i="2" s="1"/>
  <c r="G756" i="2"/>
  <c r="J756" i="2" l="1"/>
  <c r="M756" i="2" s="1"/>
  <c r="N756" i="2" s="1"/>
  <c r="H756" i="2"/>
  <c r="I756" i="2" s="1"/>
  <c r="C757" i="2" l="1"/>
  <c r="B757" i="2"/>
  <c r="L757" i="2" l="1"/>
  <c r="G757" i="2"/>
  <c r="F757" i="2"/>
  <c r="K757" i="2" s="1"/>
  <c r="H757" i="2" l="1"/>
  <c r="I757" i="2" s="1"/>
  <c r="J757" i="2"/>
  <c r="M757" i="2" s="1"/>
  <c r="N757" i="2" s="1"/>
  <c r="C758" i="2" l="1"/>
  <c r="B758" i="2"/>
  <c r="G758" i="2" l="1"/>
  <c r="F758" i="2"/>
  <c r="K758" i="2" s="1"/>
  <c r="L758" i="2"/>
  <c r="J758" i="2" l="1"/>
  <c r="M758" i="2" s="1"/>
  <c r="N758" i="2" s="1"/>
  <c r="H758" i="2"/>
  <c r="I758" i="2" s="1"/>
  <c r="B759" i="2" l="1"/>
  <c r="C759" i="2"/>
  <c r="G759" i="2" l="1"/>
  <c r="F759" i="2"/>
  <c r="K759" i="2" s="1"/>
  <c r="L759" i="2"/>
  <c r="H759" i="2" l="1"/>
  <c r="I759" i="2" s="1"/>
  <c r="J759" i="2"/>
  <c r="M759" i="2" s="1"/>
  <c r="N759" i="2" s="1"/>
  <c r="C760" i="2" l="1"/>
  <c r="B760" i="2"/>
  <c r="F760" i="2" l="1"/>
  <c r="K760" i="2" s="1"/>
  <c r="L760" i="2"/>
  <c r="G760" i="2"/>
  <c r="J760" i="2" l="1"/>
  <c r="M760" i="2" s="1"/>
  <c r="N760" i="2" s="1"/>
  <c r="H760" i="2"/>
  <c r="I760" i="2" s="1"/>
  <c r="B761" i="2" l="1"/>
  <c r="C761" i="2"/>
  <c r="F761" i="2" l="1"/>
  <c r="K761" i="2" s="1"/>
  <c r="G761" i="2"/>
  <c r="L761" i="2"/>
  <c r="H761" i="2" l="1"/>
  <c r="I761" i="2" s="1"/>
  <c r="J761" i="2"/>
  <c r="M761" i="2" s="1"/>
  <c r="N761" i="2" s="1"/>
  <c r="B762" i="2" l="1"/>
  <c r="C762" i="2"/>
  <c r="G762" i="2" l="1"/>
  <c r="F762" i="2"/>
  <c r="K762" i="2" s="1"/>
  <c r="L762" i="2"/>
  <c r="H762" i="2" l="1"/>
  <c r="I762" i="2" s="1"/>
  <c r="J762" i="2"/>
  <c r="M762" i="2" s="1"/>
  <c r="N762" i="2" s="1"/>
  <c r="B763" i="2" l="1"/>
  <c r="C763" i="2"/>
  <c r="F763" i="2" l="1"/>
  <c r="K763" i="2" s="1"/>
  <c r="G763" i="2"/>
  <c r="L763" i="2"/>
  <c r="J763" i="2" l="1"/>
  <c r="M763" i="2" s="1"/>
  <c r="N763" i="2" s="1"/>
  <c r="H763" i="2"/>
  <c r="I763" i="2" s="1"/>
  <c r="B764" i="2" l="1"/>
  <c r="C764" i="2"/>
  <c r="G764" i="2" l="1"/>
  <c r="F764" i="2"/>
  <c r="K764" i="2" s="1"/>
  <c r="L764" i="2"/>
  <c r="H764" i="2" l="1"/>
  <c r="I764" i="2" s="1"/>
  <c r="J764" i="2"/>
  <c r="M764" i="2" s="1"/>
  <c r="N764" i="2" s="1"/>
  <c r="B765" i="2" l="1"/>
  <c r="C765" i="2"/>
  <c r="L765" i="2" l="1"/>
  <c r="G765" i="2"/>
  <c r="F765" i="2"/>
  <c r="K765" i="2" s="1"/>
  <c r="J765" i="2" l="1"/>
  <c r="M765" i="2" s="1"/>
  <c r="N765" i="2" s="1"/>
  <c r="H765" i="2"/>
  <c r="I765" i="2" s="1"/>
  <c r="B766" i="2" l="1"/>
  <c r="C766" i="2"/>
  <c r="F766" i="2" l="1"/>
  <c r="K766" i="2" s="1"/>
  <c r="L766" i="2"/>
  <c r="G766" i="2"/>
  <c r="J766" i="2" l="1"/>
  <c r="M766" i="2" s="1"/>
  <c r="N766" i="2" s="1"/>
  <c r="H766" i="2"/>
  <c r="I766" i="2" s="1"/>
  <c r="C767" i="2" l="1"/>
  <c r="B767" i="2"/>
  <c r="F767" i="2" l="1"/>
  <c r="K767" i="2" s="1"/>
  <c r="G767" i="2"/>
  <c r="L767" i="2"/>
  <c r="J767" i="2" l="1"/>
  <c r="M767" i="2" s="1"/>
  <c r="N767" i="2" s="1"/>
  <c r="H767" i="2"/>
  <c r="I767" i="2" s="1"/>
  <c r="B768" i="2" l="1"/>
  <c r="C768" i="2"/>
  <c r="G768" i="2" l="1"/>
  <c r="L768" i="2"/>
  <c r="F768" i="2"/>
  <c r="K768" i="2" s="1"/>
  <c r="H768" i="2" l="1"/>
  <c r="I768" i="2" s="1"/>
  <c r="J768" i="2"/>
  <c r="M768" i="2" s="1"/>
  <c r="N768" i="2" s="1"/>
  <c r="B769" i="2" l="1"/>
  <c r="C769" i="2"/>
  <c r="G769" i="2" l="1"/>
  <c r="L769" i="2"/>
  <c r="F769" i="2"/>
  <c r="K769" i="2" s="1"/>
  <c r="H769" i="2" l="1"/>
  <c r="I769" i="2" s="1"/>
  <c r="J769" i="2"/>
  <c r="M769" i="2" s="1"/>
  <c r="N769" i="2" s="1"/>
  <c r="B770" i="2" l="1"/>
  <c r="C770" i="2"/>
  <c r="L770" i="2" l="1"/>
  <c r="F770" i="2"/>
  <c r="K770" i="2" s="1"/>
  <c r="G770" i="2"/>
  <c r="J770" i="2" l="1"/>
  <c r="M770" i="2" s="1"/>
  <c r="N770" i="2" s="1"/>
  <c r="H770" i="2"/>
  <c r="I770" i="2" s="1"/>
  <c r="C771" i="2" l="1"/>
  <c r="B771" i="2"/>
  <c r="F771" i="2" l="1"/>
  <c r="K771" i="2" s="1"/>
  <c r="L771" i="2"/>
  <c r="G771" i="2"/>
  <c r="H771" i="2" l="1"/>
  <c r="I771" i="2" s="1"/>
  <c r="J771" i="2"/>
  <c r="M771" i="2" s="1"/>
  <c r="N771" i="2" s="1"/>
  <c r="B772" i="2" l="1"/>
  <c r="C772" i="2"/>
  <c r="L772" i="2" l="1"/>
  <c r="F772" i="2"/>
  <c r="K772" i="2" s="1"/>
  <c r="G772" i="2"/>
  <c r="J772" i="2" l="1"/>
  <c r="M772" i="2" s="1"/>
  <c r="N772" i="2" s="1"/>
  <c r="H772" i="2"/>
  <c r="I772" i="2" s="1"/>
  <c r="B773" i="2" l="1"/>
  <c r="C773" i="2"/>
  <c r="L773" i="2" l="1"/>
  <c r="G773" i="2"/>
  <c r="F773" i="2"/>
  <c r="K773" i="2" s="1"/>
  <c r="J773" i="2" l="1"/>
  <c r="M773" i="2" s="1"/>
  <c r="N773" i="2" s="1"/>
  <c r="H773" i="2"/>
  <c r="I773" i="2" s="1"/>
  <c r="B774" i="2" l="1"/>
  <c r="C774" i="2"/>
  <c r="F774" i="2" l="1"/>
  <c r="K774" i="2" s="1"/>
  <c r="L774" i="2"/>
  <c r="G774" i="2"/>
  <c r="J774" i="2" l="1"/>
  <c r="M774" i="2" s="1"/>
  <c r="N774" i="2" s="1"/>
  <c r="H774" i="2"/>
  <c r="I774" i="2" s="1"/>
  <c r="C775" i="2" l="1"/>
  <c r="B775" i="2"/>
  <c r="L775" i="2" l="1"/>
  <c r="F775" i="2"/>
  <c r="K775" i="2" s="1"/>
  <c r="G775" i="2"/>
  <c r="J775" i="2" l="1"/>
  <c r="M775" i="2" s="1"/>
  <c r="N775" i="2" s="1"/>
  <c r="H775" i="2"/>
  <c r="I775" i="2" s="1"/>
  <c r="B776" i="2" l="1"/>
  <c r="C776" i="2"/>
  <c r="G776" i="2" l="1"/>
  <c r="L776" i="2"/>
  <c r="F776" i="2"/>
  <c r="K776" i="2" s="1"/>
  <c r="H776" i="2" l="1"/>
  <c r="I776" i="2" s="1"/>
  <c r="J776" i="2"/>
  <c r="M776" i="2" s="1"/>
  <c r="N776" i="2" s="1"/>
  <c r="C777" i="2" l="1"/>
  <c r="B777" i="2"/>
  <c r="F777" i="2" l="1"/>
  <c r="K777" i="2" s="1"/>
  <c r="G777" i="2"/>
  <c r="L777" i="2"/>
  <c r="J777" i="2" l="1"/>
  <c r="M777" i="2" s="1"/>
  <c r="N777" i="2" s="1"/>
  <c r="H777" i="2"/>
  <c r="I777" i="2" s="1"/>
  <c r="B778" i="2" l="1"/>
  <c r="C778" i="2"/>
  <c r="L778" i="2" l="1"/>
  <c r="G778" i="2"/>
  <c r="F778" i="2"/>
  <c r="K778" i="2" s="1"/>
  <c r="J778" i="2" l="1"/>
  <c r="M778" i="2" s="1"/>
  <c r="N778" i="2" s="1"/>
  <c r="H778" i="2"/>
  <c r="I778" i="2" s="1"/>
  <c r="B779" i="2" l="1"/>
  <c r="C779" i="2"/>
  <c r="L779" i="2" l="1"/>
  <c r="G779" i="2"/>
  <c r="F779" i="2"/>
  <c r="K779" i="2" s="1"/>
  <c r="J779" i="2" l="1"/>
  <c r="M779" i="2" s="1"/>
  <c r="N779" i="2" s="1"/>
  <c r="H779" i="2"/>
  <c r="I779" i="2" s="1"/>
  <c r="B780" i="2" l="1"/>
  <c r="C780" i="2"/>
  <c r="F780" i="2" l="1"/>
  <c r="K780" i="2" s="1"/>
  <c r="G780" i="2"/>
  <c r="L780" i="2"/>
  <c r="H780" i="2" l="1"/>
  <c r="I780" i="2" s="1"/>
  <c r="J780" i="2"/>
  <c r="M780" i="2" s="1"/>
  <c r="N780" i="2" s="1"/>
  <c r="C781" i="2" l="1"/>
  <c r="B781" i="2"/>
  <c r="F781" i="2" l="1"/>
  <c r="K781" i="2" s="1"/>
  <c r="L781" i="2"/>
  <c r="G781" i="2"/>
  <c r="H781" i="2" l="1"/>
  <c r="I781" i="2" s="1"/>
  <c r="J781" i="2"/>
  <c r="M781" i="2" s="1"/>
  <c r="N781" i="2" s="1"/>
  <c r="C782" i="2" l="1"/>
  <c r="B782" i="2"/>
  <c r="G782" i="2" l="1"/>
  <c r="F782" i="2"/>
  <c r="K782" i="2" s="1"/>
  <c r="L782" i="2"/>
  <c r="J782" i="2" l="1"/>
  <c r="M782" i="2" s="1"/>
  <c r="N782" i="2" s="1"/>
  <c r="H782" i="2"/>
  <c r="I782" i="2" s="1"/>
  <c r="C783" i="2" l="1"/>
  <c r="B783" i="2"/>
  <c r="F783" i="2" l="1"/>
  <c r="K783" i="2" s="1"/>
  <c r="L783" i="2"/>
  <c r="G783" i="2"/>
  <c r="H783" i="2" l="1"/>
  <c r="I783" i="2" s="1"/>
  <c r="J783" i="2"/>
  <c r="M783" i="2" s="1"/>
  <c r="N783" i="2" s="1"/>
  <c r="B784" i="2" l="1"/>
  <c r="C784" i="2"/>
  <c r="G784" i="2" l="1"/>
  <c r="L784" i="2"/>
  <c r="F784" i="2"/>
  <c r="K784" i="2" s="1"/>
  <c r="J784" i="2" l="1"/>
  <c r="M784" i="2" s="1"/>
  <c r="N784" i="2" s="1"/>
  <c r="H784" i="2"/>
  <c r="I784" i="2" s="1"/>
  <c r="C785" i="2" l="1"/>
  <c r="B785" i="2"/>
  <c r="G785" i="2" l="1"/>
  <c r="L785" i="2"/>
  <c r="F785" i="2"/>
  <c r="K785" i="2" s="1"/>
  <c r="H785" i="2" l="1"/>
  <c r="I785" i="2" s="1"/>
  <c r="J785" i="2"/>
  <c r="M785" i="2" s="1"/>
  <c r="N785" i="2" s="1"/>
  <c r="B786" i="2" l="1"/>
  <c r="C786" i="2"/>
  <c r="G786" i="2" l="1"/>
  <c r="L786" i="2"/>
  <c r="F786" i="2"/>
  <c r="K786" i="2" s="1"/>
  <c r="H786" i="2" l="1"/>
  <c r="I786" i="2" s="1"/>
  <c r="J786" i="2"/>
  <c r="M786" i="2" s="1"/>
  <c r="N786" i="2" s="1"/>
  <c r="B787" i="2" l="1"/>
  <c r="C787" i="2"/>
  <c r="F787" i="2" l="1"/>
  <c r="K787" i="2" s="1"/>
  <c r="L787" i="2"/>
  <c r="G787" i="2"/>
  <c r="H787" i="2" l="1"/>
  <c r="I787" i="2" s="1"/>
  <c r="J787" i="2"/>
  <c r="M787" i="2" s="1"/>
  <c r="N787" i="2" s="1"/>
  <c r="B788" i="2" l="1"/>
  <c r="C788" i="2"/>
  <c r="F788" i="2" l="1"/>
  <c r="K788" i="2" s="1"/>
  <c r="L788" i="2"/>
  <c r="G788" i="2"/>
  <c r="H788" i="2" l="1"/>
  <c r="I788" i="2" s="1"/>
  <c r="J788" i="2"/>
  <c r="M788" i="2" s="1"/>
  <c r="N788" i="2" s="1"/>
  <c r="B789" i="2" l="1"/>
  <c r="C789" i="2"/>
  <c r="F789" i="2" l="1"/>
  <c r="K789" i="2" s="1"/>
  <c r="G789" i="2"/>
  <c r="L789" i="2"/>
  <c r="H789" i="2" l="1"/>
  <c r="I789" i="2" s="1"/>
  <c r="J789" i="2"/>
  <c r="M789" i="2" s="1"/>
  <c r="N789" i="2" s="1"/>
  <c r="B790" i="2" l="1"/>
  <c r="C790" i="2"/>
  <c r="F790" i="2" l="1"/>
  <c r="K790" i="2" s="1"/>
  <c r="L790" i="2"/>
  <c r="G790" i="2"/>
  <c r="H790" i="2" l="1"/>
  <c r="I790" i="2" s="1"/>
  <c r="J790" i="2"/>
  <c r="M790" i="2" s="1"/>
  <c r="N790" i="2" s="1"/>
  <c r="B791" i="2" l="1"/>
  <c r="C791" i="2"/>
  <c r="F791" i="2" l="1"/>
  <c r="K791" i="2" s="1"/>
  <c r="L791" i="2"/>
  <c r="G791" i="2"/>
  <c r="H791" i="2" l="1"/>
  <c r="I791" i="2" s="1"/>
  <c r="J791" i="2"/>
  <c r="M791" i="2" s="1"/>
  <c r="N791" i="2" s="1"/>
  <c r="B792" i="2" l="1"/>
  <c r="C792" i="2"/>
  <c r="F792" i="2" l="1"/>
  <c r="K792" i="2" s="1"/>
  <c r="G792" i="2"/>
  <c r="L792" i="2"/>
  <c r="J792" i="2" l="1"/>
  <c r="M792" i="2" s="1"/>
  <c r="N792" i="2" s="1"/>
  <c r="H792" i="2"/>
  <c r="I792" i="2" s="1"/>
  <c r="C793" i="2" l="1"/>
  <c r="B793" i="2"/>
  <c r="L793" i="2" l="1"/>
  <c r="G793" i="2"/>
  <c r="F793" i="2"/>
  <c r="K793" i="2" s="1"/>
  <c r="J793" i="2" l="1"/>
  <c r="M793" i="2" s="1"/>
  <c r="N793" i="2" s="1"/>
  <c r="H793" i="2"/>
  <c r="I793" i="2" s="1"/>
  <c r="B794" i="2" l="1"/>
  <c r="C794" i="2"/>
  <c r="L794" i="2" l="1"/>
  <c r="G794" i="2"/>
  <c r="F794" i="2"/>
  <c r="K794" i="2" s="1"/>
  <c r="J794" i="2" l="1"/>
  <c r="M794" i="2" s="1"/>
  <c r="N794" i="2" s="1"/>
  <c r="H794" i="2"/>
  <c r="I794" i="2" s="1"/>
  <c r="C795" i="2" l="1"/>
  <c r="B795" i="2"/>
  <c r="G795" i="2" l="1"/>
  <c r="L795" i="2"/>
  <c r="F795" i="2"/>
  <c r="K795" i="2" s="1"/>
  <c r="H795" i="2" l="1"/>
  <c r="I795" i="2" s="1"/>
  <c r="J795" i="2"/>
  <c r="M795" i="2" s="1"/>
  <c r="N795" i="2" s="1"/>
  <c r="B796" i="2" l="1"/>
  <c r="C796" i="2"/>
  <c r="G796" i="2" l="1"/>
  <c r="F796" i="2"/>
  <c r="K796" i="2" s="1"/>
  <c r="L796" i="2"/>
  <c r="J796" i="2" l="1"/>
  <c r="M796" i="2" s="1"/>
  <c r="N796" i="2" s="1"/>
  <c r="H796" i="2"/>
  <c r="I796" i="2" s="1"/>
  <c r="B797" i="2" l="1"/>
  <c r="C797" i="2"/>
  <c r="L797" i="2" l="1"/>
  <c r="F797" i="2"/>
  <c r="K797" i="2" s="1"/>
  <c r="G797" i="2"/>
  <c r="J797" i="2" l="1"/>
  <c r="M797" i="2" s="1"/>
  <c r="N797" i="2" s="1"/>
  <c r="H797" i="2"/>
  <c r="I797" i="2" s="1"/>
  <c r="B798" i="2" l="1"/>
  <c r="C798" i="2"/>
  <c r="F798" i="2" l="1"/>
  <c r="K798" i="2" s="1"/>
  <c r="G798" i="2"/>
  <c r="L798" i="2"/>
  <c r="H798" i="2" l="1"/>
  <c r="I798" i="2" s="1"/>
  <c r="J798" i="2"/>
  <c r="M798" i="2" s="1"/>
  <c r="N798" i="2" s="1"/>
  <c r="B799" i="2" l="1"/>
  <c r="C799" i="2"/>
  <c r="F799" i="2" l="1"/>
  <c r="K799" i="2" s="1"/>
  <c r="L799" i="2"/>
  <c r="G799" i="2"/>
  <c r="J799" i="2" l="1"/>
  <c r="M799" i="2" s="1"/>
  <c r="N799" i="2" s="1"/>
  <c r="H799" i="2"/>
  <c r="I799" i="2" s="1"/>
  <c r="C800" i="2" l="1"/>
  <c r="B800" i="2"/>
  <c r="G800" i="2" l="1"/>
  <c r="F800" i="2"/>
  <c r="K800" i="2" s="1"/>
  <c r="L800" i="2"/>
  <c r="H800" i="2" l="1"/>
  <c r="I800" i="2" s="1"/>
  <c r="J800" i="2"/>
  <c r="M800" i="2" s="1"/>
  <c r="N800" i="2" s="1"/>
  <c r="C801" i="2" l="1"/>
  <c r="B801" i="2"/>
  <c r="F801" i="2" l="1"/>
  <c r="K801" i="2" s="1"/>
  <c r="L801" i="2"/>
  <c r="G801" i="2"/>
  <c r="J801" i="2" l="1"/>
  <c r="M801" i="2" s="1"/>
  <c r="N801" i="2" s="1"/>
  <c r="H801" i="2"/>
  <c r="I801" i="2" s="1"/>
  <c r="C802" i="2" l="1"/>
  <c r="B802" i="2"/>
  <c r="F802" i="2" l="1"/>
  <c r="K802" i="2" s="1"/>
  <c r="L802" i="2"/>
  <c r="G802" i="2"/>
  <c r="H802" i="2" l="1"/>
  <c r="I802" i="2" s="1"/>
  <c r="J802" i="2"/>
  <c r="M802" i="2" s="1"/>
  <c r="N802" i="2" s="1"/>
  <c r="B803" i="2" l="1"/>
  <c r="C803" i="2"/>
  <c r="G803" i="2" l="1"/>
  <c r="F803" i="2"/>
  <c r="K803" i="2" s="1"/>
  <c r="L803" i="2"/>
  <c r="J803" i="2" l="1"/>
  <c r="M803" i="2" s="1"/>
  <c r="N803" i="2" s="1"/>
  <c r="H803" i="2"/>
  <c r="I803" i="2" s="1"/>
  <c r="C804" i="2" l="1"/>
  <c r="B804" i="2"/>
  <c r="F804" i="2" l="1"/>
  <c r="K804" i="2" s="1"/>
  <c r="G804" i="2"/>
  <c r="L804" i="2"/>
  <c r="H804" i="2" l="1"/>
  <c r="I804" i="2" s="1"/>
  <c r="J804" i="2"/>
  <c r="M804" i="2" s="1"/>
  <c r="N804" i="2" s="1"/>
  <c r="B805" i="2" l="1"/>
  <c r="C805" i="2"/>
  <c r="G805" i="2" l="1"/>
  <c r="L805" i="2"/>
  <c r="F805" i="2"/>
  <c r="K805" i="2" s="1"/>
  <c r="J805" i="2" l="1"/>
  <c r="M805" i="2" s="1"/>
  <c r="N805" i="2" s="1"/>
  <c r="H805" i="2"/>
  <c r="I805" i="2" s="1"/>
  <c r="C806" i="2" l="1"/>
  <c r="B806" i="2"/>
  <c r="L806" i="2" l="1"/>
  <c r="F806" i="2"/>
  <c r="K806" i="2" s="1"/>
  <c r="G806" i="2"/>
  <c r="H806" i="2" l="1"/>
  <c r="I806" i="2" s="1"/>
  <c r="J806" i="2"/>
  <c r="M806" i="2" s="1"/>
  <c r="N806" i="2" s="1"/>
  <c r="C807" i="2" l="1"/>
  <c r="B807" i="2"/>
  <c r="G807" i="2" l="1"/>
  <c r="F807" i="2"/>
  <c r="K807" i="2" s="1"/>
  <c r="L807" i="2"/>
  <c r="J807" i="2" l="1"/>
  <c r="M807" i="2" s="1"/>
  <c r="N807" i="2" s="1"/>
  <c r="H807" i="2"/>
  <c r="I807" i="2" s="1"/>
  <c r="B808" i="2" l="1"/>
  <c r="C808" i="2"/>
  <c r="F808" i="2" l="1"/>
  <c r="K808" i="2" s="1"/>
  <c r="G808" i="2"/>
  <c r="L808" i="2"/>
  <c r="H808" i="2" l="1"/>
  <c r="I808" i="2" s="1"/>
  <c r="J808" i="2"/>
  <c r="M808" i="2" s="1"/>
  <c r="N808" i="2" s="1"/>
  <c r="C809" i="2" l="1"/>
  <c r="B809" i="2"/>
  <c r="G809" i="2" l="1"/>
  <c r="F809" i="2"/>
  <c r="K809" i="2" s="1"/>
  <c r="L809" i="2"/>
  <c r="H809" i="2" l="1"/>
  <c r="I809" i="2" s="1"/>
  <c r="J809" i="2"/>
  <c r="M809" i="2" s="1"/>
  <c r="N809" i="2" s="1"/>
  <c r="B810" i="2" l="1"/>
  <c r="C810" i="2"/>
  <c r="L810" i="2" l="1"/>
  <c r="G810" i="2"/>
  <c r="F810" i="2"/>
  <c r="K810" i="2" s="1"/>
  <c r="J810" i="2" l="1"/>
  <c r="M810" i="2" s="1"/>
  <c r="N810" i="2" s="1"/>
  <c r="H810" i="2"/>
  <c r="I810" i="2" s="1"/>
  <c r="C811" i="2" l="1"/>
  <c r="B811" i="2"/>
  <c r="L811" i="2" l="1"/>
  <c r="F811" i="2"/>
  <c r="K811" i="2" s="1"/>
  <c r="G811" i="2"/>
  <c r="H811" i="2" l="1"/>
  <c r="I811" i="2" s="1"/>
  <c r="J811" i="2"/>
  <c r="M811" i="2" s="1"/>
  <c r="N811" i="2" s="1"/>
  <c r="C812" i="2" l="1"/>
  <c r="B812" i="2"/>
  <c r="G812" i="2" l="1"/>
  <c r="F812" i="2"/>
  <c r="K812" i="2" s="1"/>
  <c r="L812" i="2"/>
  <c r="H812" i="2" l="1"/>
  <c r="I812" i="2" s="1"/>
  <c r="J812" i="2"/>
  <c r="M812" i="2" s="1"/>
  <c r="N812" i="2" s="1"/>
  <c r="C813" i="2" l="1"/>
  <c r="B813" i="2"/>
  <c r="F813" i="2" l="1"/>
  <c r="K813" i="2" s="1"/>
  <c r="G813" i="2"/>
  <c r="L813" i="2"/>
  <c r="H813" i="2" l="1"/>
  <c r="I813" i="2" s="1"/>
  <c r="J813" i="2"/>
  <c r="M813" i="2" s="1"/>
  <c r="N813" i="2" s="1"/>
  <c r="B814" i="2" l="1"/>
  <c r="C814" i="2"/>
  <c r="F814" i="2" l="1"/>
  <c r="K814" i="2" s="1"/>
  <c r="L814" i="2"/>
  <c r="G814" i="2"/>
  <c r="J814" i="2" l="1"/>
  <c r="M814" i="2" s="1"/>
  <c r="N814" i="2" s="1"/>
  <c r="H814" i="2"/>
  <c r="I814" i="2" s="1"/>
  <c r="B815" i="2" l="1"/>
  <c r="C815" i="2"/>
  <c r="F815" i="2" l="1"/>
  <c r="K815" i="2" s="1"/>
  <c r="G815" i="2"/>
  <c r="L815" i="2"/>
  <c r="J815" i="2" l="1"/>
  <c r="M815" i="2" s="1"/>
  <c r="N815" i="2" s="1"/>
  <c r="H815" i="2"/>
  <c r="I815" i="2" s="1"/>
  <c r="B816" i="2" l="1"/>
  <c r="C816" i="2"/>
  <c r="G816" i="2" l="1"/>
  <c r="L816" i="2"/>
  <c r="F816" i="2"/>
  <c r="K816" i="2" s="1"/>
  <c r="H816" i="2" l="1"/>
  <c r="I816" i="2" s="1"/>
  <c r="J816" i="2"/>
  <c r="M816" i="2" s="1"/>
  <c r="N816" i="2" s="1"/>
  <c r="C817" i="2" l="1"/>
  <c r="B817" i="2"/>
  <c r="F817" i="2" l="1"/>
  <c r="K817" i="2" s="1"/>
  <c r="L817" i="2"/>
  <c r="G817" i="2"/>
  <c r="H817" i="2" l="1"/>
  <c r="I817" i="2" s="1"/>
  <c r="J817" i="2"/>
  <c r="M817" i="2" s="1"/>
  <c r="N817" i="2" s="1"/>
  <c r="B818" i="2" l="1"/>
  <c r="C818" i="2"/>
  <c r="G818" i="2" l="1"/>
  <c r="L818" i="2"/>
  <c r="F818" i="2"/>
  <c r="K818" i="2" s="1"/>
  <c r="H818" i="2" l="1"/>
  <c r="I818" i="2" s="1"/>
  <c r="J818" i="2"/>
  <c r="M818" i="2" s="1"/>
  <c r="N818" i="2" s="1"/>
  <c r="C819" i="2" l="1"/>
  <c r="B819" i="2"/>
  <c r="L819" i="2" l="1"/>
  <c r="G819" i="2"/>
  <c r="F819" i="2"/>
  <c r="K819" i="2" s="1"/>
  <c r="J819" i="2" l="1"/>
  <c r="M819" i="2" s="1"/>
  <c r="N819" i="2" s="1"/>
  <c r="H819" i="2"/>
  <c r="I819" i="2" s="1"/>
  <c r="C820" i="2" l="1"/>
  <c r="B820" i="2"/>
  <c r="G820" i="2" l="1"/>
  <c r="F820" i="2"/>
  <c r="K820" i="2" s="1"/>
  <c r="L820" i="2"/>
  <c r="J820" i="2" l="1"/>
  <c r="M820" i="2" s="1"/>
  <c r="N820" i="2" s="1"/>
  <c r="H820" i="2"/>
  <c r="I820" i="2" s="1"/>
  <c r="B821" i="2" l="1"/>
  <c r="C821" i="2"/>
  <c r="F821" i="2" l="1"/>
  <c r="K821" i="2" s="1"/>
  <c r="L821" i="2"/>
  <c r="G821" i="2"/>
  <c r="J821" i="2" l="1"/>
  <c r="M821" i="2" s="1"/>
  <c r="N821" i="2" s="1"/>
  <c r="H821" i="2"/>
  <c r="I821" i="2" s="1"/>
  <c r="B822" i="2" l="1"/>
  <c r="C822" i="2"/>
  <c r="L822" i="2" l="1"/>
  <c r="F822" i="2"/>
  <c r="K822" i="2" s="1"/>
  <c r="G822" i="2"/>
  <c r="H822" i="2" l="1"/>
  <c r="I822" i="2" s="1"/>
  <c r="J822" i="2"/>
  <c r="M822" i="2" s="1"/>
  <c r="N822" i="2" s="1"/>
  <c r="C823" i="2" l="1"/>
  <c r="B823" i="2"/>
  <c r="L823" i="2" l="1"/>
  <c r="G823" i="2"/>
  <c r="F823" i="2"/>
  <c r="K823" i="2" s="1"/>
  <c r="H823" i="2" l="1"/>
  <c r="I823" i="2" s="1"/>
  <c r="J823" i="2"/>
  <c r="M823" i="2" s="1"/>
  <c r="N823" i="2" s="1"/>
  <c r="B824" i="2" l="1"/>
  <c r="C824" i="2"/>
  <c r="L824" i="2" l="1"/>
  <c r="F824" i="2"/>
  <c r="K824" i="2" s="1"/>
  <c r="G824" i="2"/>
  <c r="H824" i="2" l="1"/>
  <c r="I824" i="2" s="1"/>
  <c r="J824" i="2"/>
  <c r="M824" i="2" s="1"/>
  <c r="N824" i="2" s="1"/>
  <c r="C825" i="2" l="1"/>
  <c r="B825" i="2"/>
  <c r="F825" i="2" l="1"/>
  <c r="K825" i="2" s="1"/>
  <c r="G825" i="2"/>
  <c r="L825" i="2"/>
  <c r="J825" i="2" l="1"/>
  <c r="M825" i="2" s="1"/>
  <c r="N825" i="2" s="1"/>
  <c r="H825" i="2"/>
  <c r="I825" i="2" s="1"/>
  <c r="B826" i="2" l="1"/>
  <c r="C826" i="2"/>
  <c r="G826" i="2" l="1"/>
  <c r="L826" i="2"/>
  <c r="F826" i="2"/>
  <c r="K826" i="2" s="1"/>
  <c r="H826" i="2" l="1"/>
  <c r="I826" i="2" s="1"/>
  <c r="J826" i="2"/>
  <c r="M826" i="2" s="1"/>
  <c r="N826" i="2" s="1"/>
  <c r="B827" i="2" l="1"/>
  <c r="C827" i="2"/>
  <c r="G827" i="2" l="1"/>
  <c r="F827" i="2"/>
  <c r="K827" i="2" s="1"/>
  <c r="L827" i="2"/>
  <c r="H827" i="2" l="1"/>
  <c r="I827" i="2" s="1"/>
  <c r="J827" i="2"/>
  <c r="M827" i="2" s="1"/>
  <c r="N827" i="2" s="1"/>
  <c r="B828" i="2" l="1"/>
  <c r="C828" i="2"/>
  <c r="L828" i="2" l="1"/>
  <c r="F828" i="2"/>
  <c r="K828" i="2" s="1"/>
  <c r="G828" i="2"/>
  <c r="J828" i="2" l="1"/>
  <c r="M828" i="2" s="1"/>
  <c r="N828" i="2" s="1"/>
  <c r="H828" i="2"/>
  <c r="I828" i="2" s="1"/>
  <c r="C829" i="2" l="1"/>
  <c r="B829" i="2"/>
  <c r="L829" i="2" l="1"/>
  <c r="G829" i="2"/>
  <c r="F829" i="2"/>
  <c r="K829" i="2" s="1"/>
  <c r="H829" i="2" l="1"/>
  <c r="I829" i="2" s="1"/>
  <c r="J829" i="2"/>
  <c r="M829" i="2" s="1"/>
  <c r="N829" i="2" s="1"/>
  <c r="C830" i="2" l="1"/>
  <c r="B830" i="2"/>
  <c r="F830" i="2" l="1"/>
  <c r="K830" i="2" s="1"/>
  <c r="G830" i="2"/>
  <c r="L830" i="2"/>
  <c r="J830" i="2" l="1"/>
  <c r="M830" i="2" s="1"/>
  <c r="N830" i="2" s="1"/>
  <c r="H830" i="2"/>
  <c r="I830" i="2" s="1"/>
  <c r="B831" i="2" l="1"/>
  <c r="C831" i="2"/>
  <c r="L831" i="2" l="1"/>
  <c r="F831" i="2"/>
  <c r="K831" i="2" s="1"/>
  <c r="G831" i="2"/>
  <c r="J831" i="2" l="1"/>
  <c r="M831" i="2" s="1"/>
  <c r="N831" i="2" s="1"/>
  <c r="H831" i="2"/>
  <c r="I831" i="2" s="1"/>
  <c r="C832" i="2" l="1"/>
  <c r="B832" i="2"/>
  <c r="F832" i="2" l="1"/>
  <c r="K832" i="2" s="1"/>
  <c r="G832" i="2"/>
  <c r="L832" i="2"/>
  <c r="J832" i="2" l="1"/>
  <c r="M832" i="2" s="1"/>
  <c r="N832" i="2" s="1"/>
  <c r="H832" i="2"/>
  <c r="I832" i="2" s="1"/>
  <c r="B833" i="2" l="1"/>
  <c r="C833" i="2"/>
  <c r="L833" i="2" l="1"/>
  <c r="G833" i="2"/>
  <c r="F833" i="2"/>
  <c r="K833" i="2" s="1"/>
  <c r="J833" i="2" l="1"/>
  <c r="M833" i="2" s="1"/>
  <c r="N833" i="2" s="1"/>
  <c r="H833" i="2"/>
  <c r="I833" i="2" s="1"/>
  <c r="B834" i="2" l="1"/>
  <c r="C834" i="2"/>
  <c r="G834" i="2" l="1"/>
  <c r="L834" i="2"/>
  <c r="F834" i="2"/>
  <c r="K834" i="2" s="1"/>
  <c r="J834" i="2" l="1"/>
  <c r="M834" i="2" s="1"/>
  <c r="N834" i="2" s="1"/>
  <c r="H834" i="2"/>
  <c r="I834" i="2" s="1"/>
  <c r="B835" i="2" l="1"/>
  <c r="C835" i="2"/>
  <c r="F835" i="2" l="1"/>
  <c r="K835" i="2" s="1"/>
  <c r="L835" i="2"/>
  <c r="G835" i="2"/>
  <c r="H835" i="2" l="1"/>
  <c r="I835" i="2" s="1"/>
  <c r="J835" i="2"/>
  <c r="M835" i="2" s="1"/>
  <c r="N835" i="2" s="1"/>
  <c r="B836" i="2" l="1"/>
  <c r="C836" i="2"/>
  <c r="G836" i="2" l="1"/>
  <c r="L836" i="2"/>
  <c r="F836" i="2"/>
  <c r="K836" i="2" s="1"/>
  <c r="J836" i="2" l="1"/>
  <c r="M836" i="2" s="1"/>
  <c r="N836" i="2" s="1"/>
  <c r="H836" i="2"/>
  <c r="I836" i="2" s="1"/>
  <c r="B837" i="2" l="1"/>
  <c r="C837" i="2"/>
  <c r="F837" i="2" l="1"/>
  <c r="K837" i="2" s="1"/>
  <c r="L837" i="2"/>
  <c r="G837" i="2"/>
  <c r="J837" i="2" l="1"/>
  <c r="M837" i="2" s="1"/>
  <c r="N837" i="2" s="1"/>
  <c r="H837" i="2"/>
  <c r="I837" i="2" s="1"/>
  <c r="B838" i="2" l="1"/>
  <c r="C838" i="2"/>
  <c r="G838" i="2" l="1"/>
  <c r="F838" i="2"/>
  <c r="K838" i="2" s="1"/>
  <c r="L838" i="2"/>
  <c r="J838" i="2" l="1"/>
  <c r="M838" i="2" s="1"/>
  <c r="N838" i="2" s="1"/>
  <c r="H838" i="2"/>
  <c r="I838" i="2" s="1"/>
  <c r="B839" i="2" l="1"/>
  <c r="C839" i="2"/>
  <c r="G839" i="2" l="1"/>
  <c r="L839" i="2"/>
  <c r="F839" i="2"/>
  <c r="K839" i="2" s="1"/>
  <c r="H839" i="2" l="1"/>
  <c r="I839" i="2" s="1"/>
  <c r="J839" i="2"/>
  <c r="M839" i="2" s="1"/>
  <c r="N839" i="2" s="1"/>
  <c r="C840" i="2" l="1"/>
  <c r="B840" i="2"/>
  <c r="G840" i="2" l="1"/>
  <c r="L840" i="2"/>
  <c r="F840" i="2"/>
  <c r="K840" i="2" s="1"/>
  <c r="H840" i="2" l="1"/>
  <c r="I840" i="2" s="1"/>
  <c r="J840" i="2"/>
  <c r="M840" i="2" s="1"/>
  <c r="N840" i="2" s="1"/>
  <c r="B841" i="2" l="1"/>
  <c r="C841" i="2"/>
  <c r="L841" i="2" l="1"/>
  <c r="G841" i="2"/>
  <c r="F841" i="2"/>
  <c r="K841" i="2" s="1"/>
  <c r="H841" i="2" l="1"/>
  <c r="I841" i="2" s="1"/>
  <c r="J841" i="2"/>
  <c r="M841" i="2" s="1"/>
  <c r="N841" i="2" s="1"/>
  <c r="B842" i="2" l="1"/>
  <c r="C842" i="2"/>
  <c r="L842" i="2" l="1"/>
  <c r="G842" i="2"/>
  <c r="F842" i="2"/>
  <c r="K842" i="2" s="1"/>
  <c r="H842" i="2" l="1"/>
  <c r="I842" i="2" s="1"/>
  <c r="J842" i="2"/>
  <c r="M842" i="2" s="1"/>
  <c r="N842" i="2" s="1"/>
  <c r="C843" i="2" l="1"/>
  <c r="B843" i="2"/>
  <c r="F843" i="2" l="1"/>
  <c r="K843" i="2" s="1"/>
  <c r="G843" i="2"/>
  <c r="L843" i="2"/>
  <c r="J843" i="2" l="1"/>
  <c r="M843" i="2" s="1"/>
  <c r="N843" i="2" s="1"/>
  <c r="H843" i="2"/>
  <c r="I843" i="2" s="1"/>
  <c r="C844" i="2" l="1"/>
  <c r="B844" i="2"/>
  <c r="F844" i="2" l="1"/>
  <c r="K844" i="2" s="1"/>
  <c r="L844" i="2"/>
  <c r="G844" i="2"/>
  <c r="J844" i="2" l="1"/>
  <c r="M844" i="2" s="1"/>
  <c r="N844" i="2" s="1"/>
  <c r="H844" i="2"/>
  <c r="I844" i="2" s="1"/>
  <c r="B845" i="2" l="1"/>
  <c r="C845" i="2"/>
  <c r="L845" i="2" l="1"/>
  <c r="F845" i="2"/>
  <c r="K845" i="2" s="1"/>
  <c r="G845" i="2"/>
  <c r="J845" i="2" l="1"/>
  <c r="M845" i="2" s="1"/>
  <c r="N845" i="2" s="1"/>
  <c r="H845" i="2"/>
  <c r="I845" i="2" s="1"/>
  <c r="B846" i="2" l="1"/>
  <c r="C846" i="2"/>
  <c r="F846" i="2" l="1"/>
  <c r="K846" i="2" s="1"/>
  <c r="G846" i="2"/>
  <c r="L846" i="2"/>
  <c r="H846" i="2" l="1"/>
  <c r="I846" i="2" s="1"/>
  <c r="J846" i="2"/>
  <c r="M846" i="2" s="1"/>
  <c r="N846" i="2" s="1"/>
  <c r="B847" i="2" l="1"/>
  <c r="C847" i="2"/>
  <c r="G847" i="2" l="1"/>
  <c r="F847" i="2"/>
  <c r="K847" i="2" s="1"/>
  <c r="L847" i="2"/>
  <c r="H847" i="2" l="1"/>
  <c r="I847" i="2" s="1"/>
  <c r="J847" i="2"/>
  <c r="M847" i="2" s="1"/>
  <c r="N847" i="2" s="1"/>
  <c r="B848" i="2" l="1"/>
  <c r="C848" i="2"/>
  <c r="F848" i="2" l="1"/>
  <c r="K848" i="2" s="1"/>
  <c r="L848" i="2"/>
  <c r="G848" i="2"/>
  <c r="H848" i="2" l="1"/>
  <c r="I848" i="2" s="1"/>
  <c r="J848" i="2"/>
  <c r="M848" i="2" s="1"/>
  <c r="N848" i="2" s="1"/>
  <c r="B849" i="2" l="1"/>
  <c r="C849" i="2"/>
  <c r="F849" i="2" l="1"/>
  <c r="K849" i="2" s="1"/>
  <c r="L849" i="2"/>
  <c r="G849" i="2"/>
  <c r="H849" i="2" l="1"/>
  <c r="I849" i="2" s="1"/>
  <c r="J849" i="2"/>
  <c r="M849" i="2" s="1"/>
  <c r="N849" i="2" s="1"/>
  <c r="B850" i="2" l="1"/>
  <c r="C850" i="2"/>
  <c r="F850" i="2" l="1"/>
  <c r="K850" i="2" s="1"/>
  <c r="L850" i="2"/>
  <c r="G850" i="2"/>
  <c r="H850" i="2" l="1"/>
  <c r="I850" i="2" s="1"/>
  <c r="J850" i="2"/>
  <c r="M850" i="2" s="1"/>
  <c r="N850" i="2" s="1"/>
  <c r="B851" i="2" l="1"/>
  <c r="C851" i="2"/>
  <c r="L851" i="2" l="1"/>
  <c r="F851" i="2"/>
  <c r="K851" i="2" s="1"/>
  <c r="G851" i="2"/>
  <c r="J851" i="2" l="1"/>
  <c r="M851" i="2" s="1"/>
  <c r="N851" i="2" s="1"/>
  <c r="H851" i="2"/>
  <c r="I851" i="2" s="1"/>
  <c r="C852" i="2" l="1"/>
  <c r="B852" i="2"/>
  <c r="L852" i="2" l="1"/>
  <c r="F852" i="2"/>
  <c r="K852" i="2" s="1"/>
  <c r="G852" i="2"/>
  <c r="H852" i="2" l="1"/>
  <c r="I852" i="2" s="1"/>
  <c r="J852" i="2"/>
  <c r="M852" i="2" s="1"/>
  <c r="N852" i="2" s="1"/>
  <c r="C853" i="2" l="1"/>
  <c r="B853" i="2"/>
  <c r="L853" i="2" l="1"/>
  <c r="G853" i="2"/>
  <c r="F853" i="2"/>
  <c r="K853" i="2" s="1"/>
  <c r="H853" i="2" l="1"/>
  <c r="I853" i="2" s="1"/>
  <c r="J853" i="2"/>
  <c r="M853" i="2" s="1"/>
  <c r="N853" i="2" s="1"/>
  <c r="C854" i="2" l="1"/>
  <c r="B854" i="2"/>
  <c r="G854" i="2" l="1"/>
  <c r="L854" i="2"/>
  <c r="F854" i="2"/>
  <c r="K854" i="2" s="1"/>
  <c r="J854" i="2" l="1"/>
  <c r="M854" i="2" s="1"/>
  <c r="N854" i="2" s="1"/>
  <c r="H854" i="2"/>
  <c r="I854" i="2" s="1"/>
  <c r="C855" i="2" l="1"/>
  <c r="B855" i="2"/>
  <c r="F855" i="2" l="1"/>
  <c r="K855" i="2" s="1"/>
  <c r="L855" i="2"/>
  <c r="G855" i="2"/>
  <c r="J855" i="2" l="1"/>
  <c r="M855" i="2" s="1"/>
  <c r="N855" i="2" s="1"/>
  <c r="H855" i="2"/>
  <c r="I855" i="2" s="1"/>
  <c r="B856" i="2" l="1"/>
  <c r="C856" i="2"/>
  <c r="L856" i="2" l="1"/>
  <c r="F856" i="2"/>
  <c r="K856" i="2" s="1"/>
  <c r="G856" i="2"/>
  <c r="H856" i="2" l="1"/>
  <c r="I856" i="2" s="1"/>
  <c r="J856" i="2"/>
  <c r="M856" i="2" s="1"/>
  <c r="N856" i="2" s="1"/>
  <c r="C857" i="2" l="1"/>
  <c r="B857" i="2"/>
  <c r="F857" i="2" l="1"/>
  <c r="K857" i="2" s="1"/>
  <c r="L857" i="2"/>
  <c r="G857" i="2"/>
  <c r="H857" i="2" l="1"/>
  <c r="I857" i="2" s="1"/>
  <c r="J857" i="2"/>
  <c r="M857" i="2" s="1"/>
  <c r="N857" i="2" s="1"/>
  <c r="B858" i="2" l="1"/>
  <c r="C858" i="2"/>
  <c r="G858" i="2" l="1"/>
  <c r="F858" i="2"/>
  <c r="K858" i="2" s="1"/>
  <c r="L858" i="2"/>
  <c r="J858" i="2" l="1"/>
  <c r="M858" i="2" s="1"/>
  <c r="N858" i="2" s="1"/>
  <c r="H858" i="2"/>
  <c r="I858" i="2" s="1"/>
  <c r="B859" i="2" l="1"/>
  <c r="C859" i="2"/>
  <c r="L859" i="2" l="1"/>
  <c r="F859" i="2"/>
  <c r="K859" i="2" s="1"/>
  <c r="G859" i="2"/>
  <c r="H859" i="2" l="1"/>
  <c r="I859" i="2" s="1"/>
  <c r="J859" i="2"/>
  <c r="M859" i="2" s="1"/>
  <c r="N859" i="2" s="1"/>
  <c r="C860" i="2" l="1"/>
  <c r="B860" i="2"/>
  <c r="L860" i="2" l="1"/>
  <c r="F860" i="2"/>
  <c r="K860" i="2" s="1"/>
  <c r="G860" i="2"/>
  <c r="J860" i="2" l="1"/>
  <c r="M860" i="2" s="1"/>
  <c r="N860" i="2" s="1"/>
  <c r="H860" i="2"/>
  <c r="I860" i="2" s="1"/>
  <c r="C861" i="2" l="1"/>
  <c r="B861" i="2"/>
  <c r="F861" i="2" l="1"/>
  <c r="K861" i="2" s="1"/>
  <c r="L861" i="2"/>
  <c r="G861" i="2"/>
  <c r="H861" i="2" l="1"/>
  <c r="I861" i="2" s="1"/>
  <c r="J861" i="2"/>
  <c r="M861" i="2" s="1"/>
  <c r="N861" i="2" s="1"/>
  <c r="B862" i="2" l="1"/>
  <c r="C862" i="2"/>
  <c r="G862" i="2" l="1"/>
  <c r="L862" i="2"/>
  <c r="F862" i="2"/>
  <c r="K862" i="2" s="1"/>
  <c r="J862" i="2" l="1"/>
  <c r="M862" i="2" s="1"/>
  <c r="N862" i="2" s="1"/>
  <c r="H862" i="2"/>
  <c r="I862" i="2" s="1"/>
  <c r="B863" i="2" l="1"/>
  <c r="C863" i="2"/>
  <c r="L863" i="2" l="1"/>
  <c r="F863" i="2"/>
  <c r="K863" i="2" s="1"/>
  <c r="G863" i="2"/>
  <c r="J863" i="2" l="1"/>
  <c r="M863" i="2" s="1"/>
  <c r="N863" i="2" s="1"/>
  <c r="H863" i="2"/>
  <c r="I863" i="2" s="1"/>
  <c r="C864" i="2" l="1"/>
  <c r="B864" i="2"/>
  <c r="F864" i="2" l="1"/>
  <c r="K864" i="2" s="1"/>
  <c r="L864" i="2"/>
  <c r="G864" i="2"/>
  <c r="J864" i="2" l="1"/>
  <c r="M864" i="2" s="1"/>
  <c r="N864" i="2" s="1"/>
  <c r="H864" i="2"/>
  <c r="I864" i="2" s="1"/>
  <c r="B865" i="2" l="1"/>
  <c r="C865" i="2"/>
  <c r="L865" i="2" l="1"/>
  <c r="G865" i="2"/>
  <c r="F865" i="2"/>
  <c r="K865" i="2" s="1"/>
  <c r="J865" i="2" l="1"/>
  <c r="M865" i="2" s="1"/>
  <c r="N865" i="2" s="1"/>
  <c r="H865" i="2"/>
  <c r="I865" i="2" s="1"/>
  <c r="B866" i="2" l="1"/>
  <c r="C866" i="2"/>
  <c r="G866" i="2" l="1"/>
  <c r="F866" i="2"/>
  <c r="K866" i="2" s="1"/>
  <c r="L866" i="2"/>
  <c r="J866" i="2" l="1"/>
  <c r="M866" i="2" s="1"/>
  <c r="N866" i="2" s="1"/>
  <c r="H866" i="2"/>
  <c r="I866" i="2" s="1"/>
  <c r="C867" i="2" l="1"/>
  <c r="B867" i="2"/>
  <c r="G867" i="2" l="1"/>
  <c r="L867" i="2"/>
  <c r="F867" i="2"/>
  <c r="K867" i="2" s="1"/>
  <c r="J867" i="2" l="1"/>
  <c r="M867" i="2" s="1"/>
  <c r="N867" i="2" s="1"/>
  <c r="H867" i="2"/>
  <c r="I867" i="2" s="1"/>
  <c r="C868" i="2" l="1"/>
  <c r="B868" i="2"/>
  <c r="F868" i="2" l="1"/>
  <c r="K868" i="2" s="1"/>
  <c r="G868" i="2"/>
  <c r="L868" i="2"/>
  <c r="J868" i="2" l="1"/>
  <c r="M868" i="2" s="1"/>
  <c r="N868" i="2" s="1"/>
  <c r="H868" i="2"/>
  <c r="I868" i="2" s="1"/>
  <c r="B869" i="2" l="1"/>
  <c r="C869" i="2"/>
  <c r="G869" i="2" l="1"/>
  <c r="L869" i="2"/>
  <c r="F869" i="2"/>
  <c r="K869" i="2" s="1"/>
  <c r="H869" i="2" l="1"/>
  <c r="I869" i="2" s="1"/>
  <c r="J869" i="2"/>
  <c r="M869" i="2" s="1"/>
  <c r="N869" i="2" s="1"/>
  <c r="C870" i="2" l="1"/>
  <c r="B870" i="2"/>
  <c r="F870" i="2" l="1"/>
  <c r="K870" i="2" s="1"/>
  <c r="G870" i="2"/>
  <c r="L870" i="2"/>
  <c r="J870" i="2" l="1"/>
  <c r="M870" i="2" s="1"/>
  <c r="N870" i="2" s="1"/>
  <c r="H870" i="2"/>
  <c r="I870" i="2" s="1"/>
  <c r="B871" i="2" l="1"/>
  <c r="C871" i="2"/>
  <c r="G871" i="2" l="1"/>
  <c r="L871" i="2"/>
  <c r="F871" i="2"/>
  <c r="K871" i="2" s="1"/>
  <c r="H871" i="2" l="1"/>
  <c r="I871" i="2" s="1"/>
  <c r="J871" i="2"/>
  <c r="M871" i="2" s="1"/>
  <c r="N871" i="2" s="1"/>
  <c r="B872" i="2" l="1"/>
  <c r="C872" i="2"/>
  <c r="L872" i="2" l="1"/>
  <c r="F872" i="2"/>
  <c r="K872" i="2" s="1"/>
  <c r="G872" i="2"/>
  <c r="H872" i="2" l="1"/>
  <c r="I872" i="2" s="1"/>
  <c r="J872" i="2"/>
  <c r="M872" i="2" s="1"/>
  <c r="N872" i="2" s="1"/>
  <c r="C873" i="2" l="1"/>
  <c r="B873" i="2"/>
  <c r="L873" i="2" l="1"/>
  <c r="G873" i="2"/>
  <c r="F873" i="2"/>
  <c r="K873" i="2" s="1"/>
  <c r="H873" i="2" l="1"/>
  <c r="I873" i="2" s="1"/>
  <c r="J873" i="2"/>
  <c r="M873" i="2" s="1"/>
  <c r="N873" i="2" s="1"/>
  <c r="C874" i="2" l="1"/>
  <c r="B874" i="2"/>
  <c r="L874" i="2" l="1"/>
  <c r="F874" i="2"/>
  <c r="K874" i="2" s="1"/>
  <c r="G874" i="2"/>
  <c r="H874" i="2" l="1"/>
  <c r="I874" i="2" s="1"/>
  <c r="J874" i="2"/>
  <c r="M874" i="2" s="1"/>
  <c r="N874" i="2" s="1"/>
  <c r="C875" i="2" l="1"/>
  <c r="B875" i="2"/>
  <c r="F875" i="2" l="1"/>
  <c r="K875" i="2" s="1"/>
  <c r="G875" i="2"/>
  <c r="L875" i="2"/>
  <c r="H875" i="2" l="1"/>
  <c r="I875" i="2" s="1"/>
  <c r="J875" i="2"/>
  <c r="M875" i="2" s="1"/>
  <c r="N875" i="2" s="1"/>
  <c r="C876" i="2" l="1"/>
  <c r="B876" i="2"/>
  <c r="G876" i="2" l="1"/>
  <c r="F876" i="2"/>
  <c r="K876" i="2" s="1"/>
  <c r="L876" i="2"/>
  <c r="J876" i="2" l="1"/>
  <c r="M876" i="2" s="1"/>
  <c r="N876" i="2" s="1"/>
  <c r="H876" i="2"/>
  <c r="I876" i="2" s="1"/>
  <c r="C877" i="2" l="1"/>
  <c r="B877" i="2"/>
  <c r="F877" i="2" l="1"/>
  <c r="K877" i="2" s="1"/>
  <c r="G877" i="2"/>
  <c r="L877" i="2"/>
  <c r="H877" i="2" l="1"/>
  <c r="I877" i="2" s="1"/>
  <c r="J877" i="2"/>
  <c r="M877" i="2" s="1"/>
  <c r="N877" i="2" s="1"/>
  <c r="B878" i="2" l="1"/>
  <c r="C878" i="2"/>
  <c r="G878" i="2" l="1"/>
  <c r="L878" i="2"/>
  <c r="F878" i="2"/>
  <c r="K878" i="2" s="1"/>
  <c r="J878" i="2" l="1"/>
  <c r="M878" i="2" s="1"/>
  <c r="N878" i="2" s="1"/>
  <c r="H878" i="2"/>
  <c r="I878" i="2" s="1"/>
  <c r="C879" i="2" l="1"/>
  <c r="B879" i="2"/>
  <c r="F879" i="2" l="1"/>
  <c r="K879" i="2" s="1"/>
  <c r="L879" i="2"/>
  <c r="G879" i="2"/>
  <c r="J879" i="2" l="1"/>
  <c r="M879" i="2" s="1"/>
  <c r="N879" i="2" s="1"/>
  <c r="H879" i="2"/>
  <c r="I879" i="2" s="1"/>
  <c r="B880" i="2" l="1"/>
  <c r="C880" i="2"/>
  <c r="L880" i="2" l="1"/>
  <c r="G880" i="2"/>
  <c r="F880" i="2"/>
  <c r="K880" i="2" s="1"/>
  <c r="H880" i="2" l="1"/>
  <c r="I880" i="2"/>
  <c r="J880" i="2"/>
  <c r="M880" i="2" s="1"/>
  <c r="N880" i="2" s="1"/>
  <c r="C881" i="2" l="1"/>
  <c r="B881" i="2"/>
  <c r="F881" i="2" l="1"/>
  <c r="K881" i="2" s="1"/>
  <c r="G881" i="2"/>
  <c r="L881" i="2"/>
  <c r="J881" i="2" l="1"/>
  <c r="M881" i="2" s="1"/>
  <c r="N881" i="2" s="1"/>
  <c r="H881" i="2"/>
  <c r="I881" i="2" s="1"/>
  <c r="C882" i="2" l="1"/>
  <c r="B882" i="2"/>
  <c r="L882" i="2" l="1"/>
  <c r="G882" i="2"/>
  <c r="F882" i="2"/>
  <c r="K882" i="2" s="1"/>
  <c r="J882" i="2" l="1"/>
  <c r="M882" i="2" s="1"/>
  <c r="N882" i="2" s="1"/>
  <c r="H882" i="2"/>
  <c r="I882" i="2" s="1"/>
  <c r="B883" i="2" l="1"/>
  <c r="C883" i="2"/>
  <c r="G883" i="2" l="1"/>
  <c r="L883" i="2"/>
  <c r="F883" i="2"/>
  <c r="K883" i="2" s="1"/>
  <c r="J883" i="2" l="1"/>
  <c r="M883" i="2" s="1"/>
  <c r="N883" i="2" s="1"/>
  <c r="H883" i="2"/>
  <c r="I883" i="2" s="1"/>
  <c r="B884" i="2" l="1"/>
  <c r="C884" i="2"/>
  <c r="F884" i="2" l="1"/>
  <c r="K884" i="2" s="1"/>
  <c r="G884" i="2"/>
  <c r="L884" i="2"/>
  <c r="J884" i="2" l="1"/>
  <c r="M884" i="2" s="1"/>
  <c r="N884" i="2" s="1"/>
  <c r="H884" i="2"/>
  <c r="I884" i="2" s="1"/>
  <c r="B885" i="2" l="1"/>
  <c r="C885" i="2"/>
  <c r="L885" i="2" l="1"/>
  <c r="G885" i="2"/>
  <c r="F885" i="2"/>
  <c r="K885" i="2" s="1"/>
  <c r="J885" i="2" l="1"/>
  <c r="M885" i="2" s="1"/>
  <c r="N885" i="2" s="1"/>
  <c r="H885" i="2"/>
  <c r="I885" i="2" s="1"/>
  <c r="B886" i="2" l="1"/>
  <c r="C886" i="2"/>
  <c r="F886" i="2" l="1"/>
  <c r="K886" i="2" s="1"/>
  <c r="G886" i="2"/>
  <c r="L886" i="2"/>
  <c r="H886" i="2" l="1"/>
  <c r="I886" i="2" s="1"/>
  <c r="J886" i="2"/>
  <c r="M886" i="2" s="1"/>
  <c r="N886" i="2" s="1"/>
  <c r="C887" i="2" l="1"/>
  <c r="B887" i="2"/>
  <c r="G887" i="2" l="1"/>
  <c r="L887" i="2"/>
  <c r="F887" i="2"/>
  <c r="K887" i="2" s="1"/>
  <c r="J887" i="2" l="1"/>
  <c r="M887" i="2" s="1"/>
  <c r="N887" i="2" s="1"/>
  <c r="H887" i="2"/>
  <c r="I887" i="2" s="1"/>
  <c r="B888" i="2" l="1"/>
  <c r="C888" i="2"/>
  <c r="F888" i="2" l="1"/>
  <c r="K888" i="2" s="1"/>
  <c r="G888" i="2"/>
  <c r="L888" i="2"/>
  <c r="J888" i="2" l="1"/>
  <c r="M888" i="2" s="1"/>
  <c r="N888" i="2" s="1"/>
  <c r="H888" i="2"/>
  <c r="I888" i="2" s="1"/>
  <c r="C889" i="2" l="1"/>
  <c r="B889" i="2"/>
  <c r="F889" i="2" l="1"/>
  <c r="K889" i="2" s="1"/>
  <c r="L889" i="2"/>
  <c r="G889" i="2"/>
  <c r="H889" i="2" l="1"/>
  <c r="J889" i="2"/>
  <c r="M889" i="2" s="1"/>
  <c r="N889" i="2" s="1"/>
  <c r="I889" i="2"/>
  <c r="C890" i="2" l="1"/>
  <c r="B890" i="2"/>
  <c r="L890" i="2" l="1"/>
  <c r="G890" i="2"/>
  <c r="F890" i="2"/>
  <c r="K890" i="2" s="1"/>
  <c r="J890" i="2" l="1"/>
  <c r="M890" i="2" s="1"/>
  <c r="N890" i="2" s="1"/>
  <c r="H890" i="2"/>
  <c r="I890" i="2" s="1"/>
  <c r="B891" i="2" l="1"/>
  <c r="C891" i="2"/>
  <c r="F891" i="2" l="1"/>
  <c r="K891" i="2" s="1"/>
  <c r="G891" i="2"/>
  <c r="L891" i="2"/>
  <c r="H891" i="2" l="1"/>
  <c r="I891" i="2" s="1"/>
  <c r="J891" i="2"/>
  <c r="M891" i="2" s="1"/>
  <c r="N891" i="2" s="1"/>
  <c r="B892" i="2" l="1"/>
  <c r="C892" i="2"/>
  <c r="F892" i="2" l="1"/>
  <c r="K892" i="2" s="1"/>
  <c r="L892" i="2"/>
  <c r="G892" i="2"/>
  <c r="H892" i="2" l="1"/>
  <c r="I892" i="2" s="1"/>
  <c r="J892" i="2"/>
  <c r="M892" i="2" s="1"/>
  <c r="N892" i="2" s="1"/>
  <c r="C893" i="2" l="1"/>
  <c r="B893" i="2"/>
  <c r="L893" i="2" l="1"/>
  <c r="F893" i="2"/>
  <c r="K893" i="2" s="1"/>
  <c r="G893" i="2"/>
  <c r="J893" i="2" l="1"/>
  <c r="M893" i="2" s="1"/>
  <c r="N893" i="2" s="1"/>
  <c r="H893" i="2"/>
  <c r="I893" i="2" s="1"/>
  <c r="C894" i="2" l="1"/>
  <c r="B894" i="2"/>
  <c r="G894" i="2" l="1"/>
  <c r="F894" i="2"/>
  <c r="K894" i="2" s="1"/>
  <c r="L894" i="2"/>
  <c r="J894" i="2" l="1"/>
  <c r="M894" i="2" s="1"/>
  <c r="N894" i="2" s="1"/>
  <c r="H894" i="2"/>
  <c r="I894" i="2" s="1"/>
  <c r="B895" i="2" l="1"/>
  <c r="C895" i="2"/>
  <c r="L895" i="2" l="1"/>
  <c r="F895" i="2"/>
  <c r="K895" i="2" s="1"/>
  <c r="G895" i="2"/>
  <c r="J895" i="2" l="1"/>
  <c r="M895" i="2" s="1"/>
  <c r="N895" i="2" s="1"/>
  <c r="H895" i="2"/>
  <c r="I895" i="2" s="1"/>
  <c r="B896" i="2" l="1"/>
  <c r="C896" i="2"/>
  <c r="L896" i="2" l="1"/>
  <c r="F896" i="2"/>
  <c r="K896" i="2" s="1"/>
  <c r="G896" i="2"/>
  <c r="J896" i="2" l="1"/>
  <c r="M896" i="2" s="1"/>
  <c r="N896" i="2" s="1"/>
  <c r="H896" i="2"/>
  <c r="I896" i="2" s="1"/>
  <c r="B897" i="2" l="1"/>
  <c r="C897" i="2"/>
  <c r="G897" i="2" l="1"/>
  <c r="L897" i="2"/>
  <c r="F897" i="2"/>
  <c r="K897" i="2" s="1"/>
  <c r="J897" i="2" l="1"/>
  <c r="M897" i="2" s="1"/>
  <c r="N897" i="2" s="1"/>
  <c r="H897" i="2"/>
  <c r="I897" i="2" s="1"/>
  <c r="B898" i="2" l="1"/>
  <c r="C898" i="2"/>
  <c r="L898" i="2" l="1"/>
  <c r="G898" i="2"/>
  <c r="F898" i="2"/>
  <c r="K898" i="2" s="1"/>
  <c r="H898" i="2" l="1"/>
  <c r="J898" i="2"/>
  <c r="M898" i="2" s="1"/>
  <c r="N898" i="2" s="1"/>
  <c r="I898" i="2"/>
  <c r="B899" i="2" l="1"/>
  <c r="C899" i="2"/>
  <c r="L899" i="2" l="1"/>
  <c r="F899" i="2"/>
  <c r="K899" i="2" s="1"/>
  <c r="G899" i="2"/>
  <c r="J899" i="2" l="1"/>
  <c r="M899" i="2" s="1"/>
  <c r="N899" i="2" s="1"/>
  <c r="H899" i="2"/>
  <c r="I899" i="2" s="1"/>
  <c r="C900" i="2" l="1"/>
  <c r="B900" i="2"/>
  <c r="F900" i="2" l="1"/>
  <c r="K900" i="2" s="1"/>
  <c r="G900" i="2"/>
  <c r="L900" i="2"/>
  <c r="H900" i="2" l="1"/>
  <c r="I900" i="2" s="1"/>
  <c r="J900" i="2"/>
  <c r="M900" i="2" s="1"/>
  <c r="N900" i="2" s="1"/>
  <c r="C901" i="2" l="1"/>
  <c r="B901" i="2"/>
  <c r="G901" i="2" l="1"/>
  <c r="L901" i="2"/>
  <c r="F901" i="2"/>
  <c r="K901" i="2" s="1"/>
  <c r="J901" i="2" l="1"/>
  <c r="M901" i="2" s="1"/>
  <c r="N901" i="2" s="1"/>
  <c r="H901" i="2"/>
  <c r="I901" i="2" s="1"/>
  <c r="B902" i="2" l="1"/>
  <c r="C902" i="2"/>
  <c r="L902" i="2" l="1"/>
  <c r="F902" i="2"/>
  <c r="K902" i="2" s="1"/>
  <c r="G902" i="2"/>
  <c r="H902" i="2" l="1"/>
  <c r="I902" i="2" s="1"/>
  <c r="J902" i="2"/>
  <c r="M902" i="2" s="1"/>
  <c r="N902" i="2" s="1"/>
  <c r="B903" i="2" l="1"/>
  <c r="C903" i="2"/>
  <c r="L903" i="2" l="1"/>
  <c r="G903" i="2"/>
  <c r="F903" i="2"/>
  <c r="K903" i="2" s="1"/>
  <c r="H903" i="2" l="1"/>
  <c r="I903" i="2" s="1"/>
  <c r="J903" i="2"/>
  <c r="M903" i="2" s="1"/>
  <c r="N903" i="2" s="1"/>
  <c r="B904" i="2" l="1"/>
  <c r="C904" i="2"/>
  <c r="G904" i="2" l="1"/>
  <c r="L904" i="2"/>
  <c r="F904" i="2"/>
  <c r="K904" i="2" s="1"/>
  <c r="H904" i="2" l="1"/>
  <c r="I904" i="2" s="1"/>
  <c r="J904" i="2"/>
  <c r="M904" i="2" s="1"/>
  <c r="N904" i="2" s="1"/>
  <c r="C905" i="2" l="1"/>
  <c r="B905" i="2"/>
  <c r="F905" i="2" l="1"/>
  <c r="K905" i="2" s="1"/>
  <c r="L905" i="2"/>
  <c r="G905" i="2"/>
  <c r="J905" i="2" l="1"/>
  <c r="M905" i="2" s="1"/>
  <c r="N905" i="2" s="1"/>
  <c r="H905" i="2"/>
  <c r="I905" i="2" s="1"/>
  <c r="C906" i="2" l="1"/>
  <c r="B906" i="2"/>
  <c r="F906" i="2" l="1"/>
  <c r="K906" i="2" s="1"/>
  <c r="G906" i="2"/>
  <c r="L906" i="2"/>
  <c r="J906" i="2" l="1"/>
  <c r="M906" i="2" s="1"/>
  <c r="N906" i="2" s="1"/>
  <c r="H906" i="2"/>
  <c r="I906" i="2" s="1"/>
  <c r="B907" i="2" l="1"/>
  <c r="C907" i="2"/>
  <c r="F907" i="2" l="1"/>
  <c r="K907" i="2" s="1"/>
  <c r="L907" i="2"/>
  <c r="G907" i="2"/>
  <c r="H907" i="2" l="1"/>
  <c r="I907" i="2"/>
  <c r="J907" i="2"/>
  <c r="M907" i="2" s="1"/>
  <c r="N907" i="2" s="1"/>
  <c r="C908" i="2" l="1"/>
  <c r="B908" i="2"/>
  <c r="G908" i="2" l="1"/>
  <c r="L908" i="2"/>
  <c r="F908" i="2"/>
  <c r="K908" i="2" s="1"/>
  <c r="J908" i="2" l="1"/>
  <c r="M908" i="2" s="1"/>
  <c r="N908" i="2" s="1"/>
  <c r="H908" i="2"/>
  <c r="I908" i="2" s="1"/>
  <c r="C909" i="2" l="1"/>
  <c r="B909" i="2"/>
  <c r="F909" i="2" l="1"/>
  <c r="K909" i="2" s="1"/>
  <c r="L909" i="2"/>
  <c r="G909" i="2"/>
  <c r="H909" i="2" l="1"/>
  <c r="I909" i="2" s="1"/>
  <c r="J909" i="2"/>
  <c r="M909" i="2" s="1"/>
  <c r="N909" i="2" s="1"/>
  <c r="C910" i="2" l="1"/>
  <c r="B910" i="2"/>
  <c r="G910" i="2" l="1"/>
  <c r="L910" i="2"/>
  <c r="F910" i="2"/>
  <c r="K910" i="2" s="1"/>
  <c r="H910" i="2" l="1"/>
  <c r="I910" i="2" s="1"/>
  <c r="J910" i="2"/>
  <c r="M910" i="2" s="1"/>
  <c r="N910" i="2" s="1"/>
  <c r="C911" i="2" l="1"/>
  <c r="B911" i="2"/>
  <c r="L911" i="2" l="1"/>
  <c r="F911" i="2"/>
  <c r="K911" i="2" s="1"/>
  <c r="G911" i="2"/>
  <c r="J911" i="2" l="1"/>
  <c r="M911" i="2" s="1"/>
  <c r="N911" i="2" s="1"/>
  <c r="H911" i="2"/>
  <c r="I911" i="2" s="1"/>
  <c r="C912" i="2" l="1"/>
  <c r="B912" i="2"/>
  <c r="G912" i="2" l="1"/>
  <c r="F912" i="2"/>
  <c r="K912" i="2" s="1"/>
  <c r="L912" i="2"/>
  <c r="H912" i="2" l="1"/>
  <c r="I912" i="2" s="1"/>
  <c r="J912" i="2"/>
  <c r="M912" i="2" s="1"/>
  <c r="N912" i="2" s="1"/>
  <c r="C913" i="2" l="1"/>
  <c r="B913" i="2"/>
  <c r="G913" i="2" l="1"/>
  <c r="L913" i="2"/>
  <c r="F913" i="2"/>
  <c r="K913" i="2" s="1"/>
  <c r="J913" i="2" l="1"/>
  <c r="M913" i="2" s="1"/>
  <c r="N913" i="2" s="1"/>
  <c r="H913" i="2"/>
  <c r="I913" i="2" s="1"/>
  <c r="C914" i="2" l="1"/>
  <c r="B914" i="2"/>
  <c r="F914" i="2" l="1"/>
  <c r="K914" i="2" s="1"/>
  <c r="G914" i="2"/>
  <c r="L914" i="2"/>
  <c r="J914" i="2" l="1"/>
  <c r="M914" i="2" s="1"/>
  <c r="N914" i="2" s="1"/>
  <c r="H914" i="2"/>
  <c r="I914" i="2" s="1"/>
  <c r="B915" i="2" l="1"/>
  <c r="C915" i="2"/>
  <c r="F915" i="2" l="1"/>
  <c r="K915" i="2" s="1"/>
  <c r="G915" i="2"/>
  <c r="L915" i="2"/>
  <c r="H915" i="2" l="1"/>
  <c r="I915" i="2" s="1"/>
  <c r="J915" i="2"/>
  <c r="M915" i="2" s="1"/>
  <c r="N915" i="2" s="1"/>
  <c r="C916" i="2" l="1"/>
  <c r="B916" i="2"/>
  <c r="F916" i="2" l="1"/>
  <c r="K916" i="2" s="1"/>
  <c r="L916" i="2"/>
  <c r="G916" i="2"/>
  <c r="J916" i="2" l="1"/>
  <c r="M916" i="2" s="1"/>
  <c r="N916" i="2" s="1"/>
  <c r="H916" i="2"/>
  <c r="I916" i="2" s="1"/>
  <c r="C917" i="2" l="1"/>
  <c r="B917" i="2"/>
  <c r="L917" i="2" l="1"/>
  <c r="F917" i="2"/>
  <c r="K917" i="2" s="1"/>
  <c r="G917" i="2"/>
  <c r="H917" i="2" l="1"/>
  <c r="I917" i="2" s="1"/>
  <c r="J917" i="2"/>
  <c r="M917" i="2" s="1"/>
  <c r="N917" i="2" s="1"/>
  <c r="C918" i="2" l="1"/>
  <c r="B918" i="2"/>
  <c r="F918" i="2" l="1"/>
  <c r="K918" i="2" s="1"/>
  <c r="L918" i="2"/>
  <c r="G918" i="2"/>
  <c r="J918" i="2" l="1"/>
  <c r="M918" i="2" s="1"/>
  <c r="N918" i="2" s="1"/>
  <c r="H918" i="2"/>
  <c r="I918" i="2" s="1"/>
  <c r="B919" i="2" l="1"/>
  <c r="C919" i="2"/>
  <c r="L919" i="2" l="1"/>
  <c r="F919" i="2"/>
  <c r="K919" i="2" s="1"/>
  <c r="G919" i="2"/>
  <c r="J919" i="2" l="1"/>
  <c r="M919" i="2" s="1"/>
  <c r="N919" i="2" s="1"/>
  <c r="H919" i="2"/>
  <c r="I919" i="2" s="1"/>
  <c r="B920" i="2" l="1"/>
  <c r="C920" i="2"/>
  <c r="L920" i="2" l="1"/>
  <c r="G920" i="2"/>
  <c r="F920" i="2"/>
  <c r="K920" i="2" s="1"/>
  <c r="H920" i="2" l="1"/>
  <c r="I920" i="2" s="1"/>
  <c r="J920" i="2"/>
  <c r="M920" i="2" s="1"/>
  <c r="N920" i="2" s="1"/>
  <c r="C921" i="2" l="1"/>
  <c r="B921" i="2"/>
  <c r="G921" i="2" l="1"/>
  <c r="F921" i="2"/>
  <c r="K921" i="2" s="1"/>
  <c r="L921" i="2"/>
  <c r="J921" i="2" l="1"/>
  <c r="M921" i="2" s="1"/>
  <c r="N921" i="2" s="1"/>
  <c r="H921" i="2"/>
  <c r="I921" i="2" s="1"/>
  <c r="C922" i="2" l="1"/>
  <c r="B922" i="2"/>
  <c r="G922" i="2" l="1"/>
  <c r="L922" i="2"/>
  <c r="F922" i="2"/>
  <c r="K922" i="2" s="1"/>
  <c r="J922" i="2" l="1"/>
  <c r="M922" i="2" s="1"/>
  <c r="N922" i="2" s="1"/>
  <c r="H922" i="2"/>
  <c r="I922" i="2" s="1"/>
  <c r="C923" i="2" l="1"/>
  <c r="B923" i="2"/>
  <c r="G923" i="2" l="1"/>
  <c r="F923" i="2"/>
  <c r="K923" i="2" s="1"/>
  <c r="L923" i="2"/>
  <c r="J923" i="2" l="1"/>
  <c r="M923" i="2" s="1"/>
  <c r="N923" i="2" s="1"/>
  <c r="H923" i="2"/>
  <c r="I923" i="2" s="1"/>
  <c r="B924" i="2" l="1"/>
  <c r="C924" i="2"/>
  <c r="F924" i="2" l="1"/>
  <c r="K924" i="2" s="1"/>
  <c r="G924" i="2"/>
  <c r="L924" i="2"/>
  <c r="H924" i="2" l="1"/>
  <c r="I924" i="2" s="1"/>
  <c r="J924" i="2"/>
  <c r="M924" i="2" s="1"/>
  <c r="N924" i="2" s="1"/>
  <c r="C925" i="2" l="1"/>
  <c r="B925" i="2"/>
  <c r="G925" i="2" l="1"/>
  <c r="L925" i="2"/>
  <c r="F925" i="2"/>
  <c r="K925" i="2" s="1"/>
  <c r="H925" i="2" l="1"/>
  <c r="I925" i="2" s="1"/>
  <c r="J925" i="2"/>
  <c r="M925" i="2" s="1"/>
  <c r="N925" i="2" s="1"/>
  <c r="C926" i="2" l="1"/>
  <c r="B926" i="2"/>
  <c r="F926" i="2" l="1"/>
  <c r="K926" i="2" s="1"/>
  <c r="G926" i="2"/>
  <c r="L926" i="2"/>
  <c r="J926" i="2" l="1"/>
  <c r="M926" i="2" s="1"/>
  <c r="N926" i="2" s="1"/>
  <c r="H926" i="2"/>
  <c r="I926" i="2" s="1"/>
  <c r="C927" i="2" l="1"/>
  <c r="B927" i="2"/>
  <c r="G927" i="2" l="1"/>
  <c r="L927" i="2"/>
  <c r="F927" i="2"/>
  <c r="K927" i="2" s="1"/>
  <c r="H927" i="2" l="1"/>
  <c r="I927" i="2" s="1"/>
  <c r="J927" i="2"/>
  <c r="M927" i="2" s="1"/>
  <c r="N927" i="2" s="1"/>
  <c r="B928" i="2" l="1"/>
  <c r="C928" i="2"/>
  <c r="F928" i="2" l="1"/>
  <c r="K928" i="2" s="1"/>
  <c r="G928" i="2"/>
  <c r="L928" i="2"/>
  <c r="J928" i="2" l="1"/>
  <c r="M928" i="2" s="1"/>
  <c r="N928" i="2" s="1"/>
  <c r="H928" i="2"/>
  <c r="I928" i="2" s="1"/>
  <c r="B929" i="2" l="1"/>
  <c r="C929" i="2"/>
  <c r="L929" i="2" l="1"/>
  <c r="F929" i="2"/>
  <c r="K929" i="2" s="1"/>
  <c r="G929" i="2"/>
  <c r="J929" i="2" l="1"/>
  <c r="M929" i="2" s="1"/>
  <c r="N929" i="2" s="1"/>
  <c r="H929" i="2"/>
  <c r="I929" i="2" s="1"/>
  <c r="B930" i="2" l="1"/>
  <c r="C930" i="2"/>
  <c r="F930" i="2" l="1"/>
  <c r="K930" i="2" s="1"/>
  <c r="G930" i="2"/>
  <c r="L930" i="2"/>
  <c r="J930" i="2" l="1"/>
  <c r="M930" i="2" s="1"/>
  <c r="N930" i="2" s="1"/>
  <c r="H930" i="2"/>
  <c r="I930" i="2" s="1"/>
  <c r="C931" i="2" l="1"/>
  <c r="B931" i="2"/>
  <c r="G931" i="2" l="1"/>
  <c r="L931" i="2"/>
  <c r="F931" i="2"/>
  <c r="K931" i="2" s="1"/>
  <c r="H931" i="2" l="1"/>
  <c r="I931" i="2" s="1"/>
  <c r="J931" i="2"/>
  <c r="M931" i="2" s="1"/>
  <c r="N931" i="2" s="1"/>
  <c r="C932" i="2" l="1"/>
  <c r="B932" i="2"/>
  <c r="L932" i="2" l="1"/>
  <c r="G932" i="2"/>
  <c r="F932" i="2"/>
  <c r="K932" i="2" s="1"/>
  <c r="H932" i="2" l="1"/>
  <c r="I932" i="2" s="1"/>
  <c r="J932" i="2"/>
  <c r="M932" i="2" s="1"/>
  <c r="N932" i="2" s="1"/>
  <c r="B933" i="2" l="1"/>
  <c r="C933" i="2"/>
  <c r="G933" i="2" l="1"/>
  <c r="L933" i="2"/>
  <c r="F933" i="2"/>
  <c r="K933" i="2" s="1"/>
  <c r="J933" i="2" l="1"/>
  <c r="M933" i="2" s="1"/>
  <c r="N933" i="2" s="1"/>
  <c r="H933" i="2"/>
  <c r="I933" i="2" s="1"/>
  <c r="B934" i="2" l="1"/>
  <c r="C934" i="2"/>
  <c r="F934" i="2" l="1"/>
  <c r="K934" i="2" s="1"/>
  <c r="L934" i="2"/>
  <c r="G934" i="2"/>
  <c r="H934" i="2" l="1"/>
  <c r="I934" i="2" s="1"/>
  <c r="J934" i="2"/>
  <c r="M934" i="2" s="1"/>
  <c r="N934" i="2" s="1"/>
  <c r="C935" i="2" l="1"/>
  <c r="B935" i="2"/>
  <c r="F935" i="2" l="1"/>
  <c r="K935" i="2" s="1"/>
  <c r="L935" i="2"/>
  <c r="G935" i="2"/>
  <c r="J935" i="2" l="1"/>
  <c r="M935" i="2" s="1"/>
  <c r="N935" i="2" s="1"/>
  <c r="H935" i="2"/>
  <c r="I935" i="2" s="1"/>
  <c r="B936" i="2" l="1"/>
  <c r="C936" i="2"/>
  <c r="L936" i="2" l="1"/>
  <c r="F936" i="2"/>
  <c r="K936" i="2" s="1"/>
  <c r="G936" i="2"/>
  <c r="H936" i="2" l="1"/>
  <c r="I936" i="2" s="1"/>
  <c r="J936" i="2"/>
  <c r="M936" i="2" s="1"/>
  <c r="N936" i="2" s="1"/>
  <c r="C937" i="2" l="1"/>
  <c r="B937" i="2"/>
  <c r="L937" i="2" l="1"/>
  <c r="G937" i="2"/>
  <c r="F937" i="2"/>
  <c r="K937" i="2" s="1"/>
  <c r="H937" i="2" l="1"/>
  <c r="I937" i="2" s="1"/>
  <c r="J937" i="2"/>
  <c r="M937" i="2" s="1"/>
  <c r="N937" i="2" s="1"/>
  <c r="B938" i="2" l="1"/>
  <c r="C938" i="2"/>
  <c r="G938" i="2" l="1"/>
  <c r="F938" i="2"/>
  <c r="K938" i="2" s="1"/>
  <c r="L938" i="2"/>
  <c r="J938" i="2" l="1"/>
  <c r="M938" i="2" s="1"/>
  <c r="N938" i="2" s="1"/>
  <c r="H938" i="2"/>
  <c r="I938" i="2" s="1"/>
  <c r="C939" i="2" l="1"/>
  <c r="B939" i="2"/>
  <c r="G939" i="2" l="1"/>
  <c r="F939" i="2"/>
  <c r="K939" i="2" s="1"/>
  <c r="L939" i="2"/>
  <c r="H939" i="2" l="1"/>
  <c r="I939" i="2" s="1"/>
  <c r="J939" i="2"/>
  <c r="M939" i="2" s="1"/>
  <c r="N939" i="2" s="1"/>
  <c r="B940" i="2" l="1"/>
  <c r="C940" i="2"/>
  <c r="L940" i="2" l="1"/>
  <c r="F940" i="2"/>
  <c r="K940" i="2" s="1"/>
  <c r="G940" i="2"/>
  <c r="H940" i="2" l="1"/>
  <c r="I940" i="2" s="1"/>
  <c r="J940" i="2"/>
  <c r="M940" i="2" s="1"/>
  <c r="N940" i="2" s="1"/>
  <c r="B941" i="2" l="1"/>
  <c r="C941" i="2"/>
  <c r="G941" i="2" l="1"/>
  <c r="L941" i="2"/>
  <c r="F941" i="2"/>
  <c r="K941" i="2" s="1"/>
  <c r="J941" i="2" l="1"/>
  <c r="M941" i="2" s="1"/>
  <c r="N941" i="2" s="1"/>
  <c r="H941" i="2"/>
  <c r="I941" i="2" s="1"/>
  <c r="C942" i="2" l="1"/>
  <c r="B942" i="2"/>
  <c r="F942" i="2" l="1"/>
  <c r="K942" i="2" s="1"/>
  <c r="L942" i="2"/>
  <c r="G942" i="2"/>
  <c r="J942" i="2" l="1"/>
  <c r="M942" i="2" s="1"/>
  <c r="N942" i="2" s="1"/>
  <c r="H942" i="2"/>
  <c r="I942" i="2" s="1"/>
  <c r="B943" i="2" l="1"/>
  <c r="C943" i="2"/>
  <c r="F943" i="2" l="1"/>
  <c r="K943" i="2" s="1"/>
  <c r="L943" i="2"/>
  <c r="G943" i="2"/>
  <c r="H943" i="2" l="1"/>
  <c r="I943" i="2" s="1"/>
  <c r="J943" i="2"/>
  <c r="M943" i="2" s="1"/>
  <c r="N943" i="2" s="1"/>
  <c r="C944" i="2" l="1"/>
  <c r="B944" i="2"/>
  <c r="L944" i="2" l="1"/>
  <c r="F944" i="2"/>
  <c r="K944" i="2" s="1"/>
  <c r="G944" i="2"/>
  <c r="H944" i="2" l="1"/>
  <c r="I944" i="2" s="1"/>
  <c r="J944" i="2"/>
  <c r="M944" i="2" s="1"/>
  <c r="N944" i="2" s="1"/>
  <c r="B945" i="2" l="1"/>
  <c r="C945" i="2"/>
  <c r="F945" i="2" l="1"/>
  <c r="K945" i="2" s="1"/>
  <c r="L945" i="2"/>
  <c r="G945" i="2"/>
  <c r="H945" i="2" l="1"/>
  <c r="I945" i="2" s="1"/>
  <c r="J945" i="2"/>
  <c r="M945" i="2" s="1"/>
  <c r="N945" i="2" s="1"/>
  <c r="C946" i="2" l="1"/>
  <c r="B946" i="2"/>
  <c r="F946" i="2" l="1"/>
  <c r="K946" i="2" s="1"/>
  <c r="G946" i="2"/>
  <c r="L946" i="2"/>
  <c r="H946" i="2" l="1"/>
  <c r="I946" i="2" s="1"/>
  <c r="J946" i="2"/>
  <c r="M946" i="2" s="1"/>
  <c r="N946" i="2" s="1"/>
  <c r="C947" i="2" l="1"/>
  <c r="B947" i="2"/>
  <c r="L947" i="2" l="1"/>
  <c r="F947" i="2"/>
  <c r="K947" i="2" s="1"/>
  <c r="G947" i="2"/>
  <c r="H947" i="2" l="1"/>
  <c r="I947" i="2" s="1"/>
  <c r="J947" i="2"/>
  <c r="M947" i="2" s="1"/>
  <c r="N947" i="2" s="1"/>
  <c r="C948" i="2" l="1"/>
  <c r="B948" i="2"/>
  <c r="F948" i="2" l="1"/>
  <c r="K948" i="2" s="1"/>
  <c r="L948" i="2"/>
  <c r="G948" i="2"/>
  <c r="J948" i="2" l="1"/>
  <c r="M948" i="2" s="1"/>
  <c r="N948" i="2" s="1"/>
  <c r="H948" i="2"/>
  <c r="I948" i="2" s="1"/>
  <c r="B949" i="2" l="1"/>
  <c r="C949" i="2"/>
  <c r="G949" i="2" l="1"/>
  <c r="F949" i="2"/>
  <c r="K949" i="2" s="1"/>
  <c r="L949" i="2"/>
  <c r="H949" i="2" l="1"/>
  <c r="I949" i="2" s="1"/>
  <c r="J949" i="2"/>
  <c r="M949" i="2" s="1"/>
  <c r="N949" i="2" s="1"/>
  <c r="B950" i="2" l="1"/>
  <c r="C950" i="2"/>
  <c r="L950" i="2" l="1"/>
  <c r="G950" i="2"/>
  <c r="F950" i="2"/>
  <c r="K950" i="2" s="1"/>
  <c r="H950" i="2" l="1"/>
  <c r="I950" i="2" s="1"/>
  <c r="J950" i="2"/>
  <c r="M950" i="2" s="1"/>
  <c r="N950" i="2" s="1"/>
  <c r="B951" i="2" l="1"/>
  <c r="C951" i="2"/>
  <c r="L951" i="2" l="1"/>
  <c r="F951" i="2"/>
  <c r="K951" i="2" s="1"/>
  <c r="G951" i="2"/>
  <c r="H951" i="2" l="1"/>
  <c r="I951" i="2" s="1"/>
  <c r="J951" i="2"/>
  <c r="M951" i="2" s="1"/>
  <c r="N951" i="2" s="1"/>
  <c r="B952" i="2" l="1"/>
  <c r="C952" i="2"/>
  <c r="F952" i="2" l="1"/>
  <c r="K952" i="2" s="1"/>
  <c r="L952" i="2"/>
  <c r="G952" i="2"/>
  <c r="J952" i="2" l="1"/>
  <c r="M952" i="2" s="1"/>
  <c r="N952" i="2" s="1"/>
  <c r="H952" i="2"/>
  <c r="I952" i="2" s="1"/>
  <c r="B953" i="2" l="1"/>
  <c r="C953" i="2"/>
  <c r="G953" i="2" l="1"/>
  <c r="L953" i="2"/>
  <c r="F953" i="2"/>
  <c r="K953" i="2" s="1"/>
  <c r="H953" i="2" l="1"/>
  <c r="I953" i="2" s="1"/>
  <c r="J953" i="2"/>
  <c r="M953" i="2" s="1"/>
  <c r="N953" i="2" s="1"/>
  <c r="B954" i="2" l="1"/>
  <c r="C954" i="2"/>
  <c r="F954" i="2" l="1"/>
  <c r="K954" i="2" s="1"/>
  <c r="L954" i="2"/>
  <c r="G954" i="2"/>
  <c r="J954" i="2" l="1"/>
  <c r="M954" i="2" s="1"/>
  <c r="N954" i="2" s="1"/>
  <c r="H954" i="2"/>
  <c r="I954" i="2" s="1"/>
  <c r="C955" i="2" l="1"/>
  <c r="B955" i="2"/>
  <c r="L955" i="2" l="1"/>
  <c r="G955" i="2"/>
  <c r="F955" i="2"/>
  <c r="K955" i="2" s="1"/>
  <c r="J955" i="2" l="1"/>
  <c r="M955" i="2" s="1"/>
  <c r="N955" i="2" s="1"/>
  <c r="H955" i="2"/>
  <c r="I955" i="2" s="1"/>
  <c r="B956" i="2" l="1"/>
  <c r="C956" i="2"/>
  <c r="L956" i="2" l="1"/>
  <c r="G956" i="2"/>
  <c r="F956" i="2"/>
  <c r="K956" i="2" s="1"/>
  <c r="H956" i="2" l="1"/>
  <c r="I956" i="2" s="1"/>
  <c r="J956" i="2"/>
  <c r="M956" i="2" s="1"/>
  <c r="N956" i="2" s="1"/>
  <c r="B957" i="2" l="1"/>
  <c r="C957" i="2"/>
  <c r="G957" i="2" l="1"/>
  <c r="F957" i="2"/>
  <c r="K957" i="2" s="1"/>
  <c r="L957" i="2"/>
  <c r="H957" i="2" l="1"/>
  <c r="I957" i="2" s="1"/>
  <c r="J957" i="2"/>
  <c r="M957" i="2" s="1"/>
  <c r="N957" i="2" s="1"/>
  <c r="B958" i="2" l="1"/>
  <c r="C958" i="2"/>
  <c r="L958" i="2" l="1"/>
  <c r="G958" i="2"/>
  <c r="F958" i="2"/>
  <c r="K958" i="2" s="1"/>
  <c r="H958" i="2" l="1"/>
  <c r="I958" i="2" s="1"/>
  <c r="J958" i="2"/>
  <c r="M958" i="2" s="1"/>
  <c r="N958" i="2" s="1"/>
  <c r="B959" i="2" l="1"/>
  <c r="C959" i="2"/>
  <c r="L959" i="2" l="1"/>
  <c r="G959" i="2"/>
  <c r="F959" i="2"/>
  <c r="K959" i="2" s="1"/>
  <c r="J959" i="2" l="1"/>
  <c r="M959" i="2" s="1"/>
  <c r="N959" i="2" s="1"/>
  <c r="H959" i="2"/>
  <c r="I959" i="2" s="1"/>
  <c r="B960" i="2" l="1"/>
  <c r="C960" i="2"/>
  <c r="F960" i="2" l="1"/>
  <c r="K960" i="2" s="1"/>
  <c r="L960" i="2"/>
  <c r="G960" i="2"/>
  <c r="H960" i="2" l="1"/>
  <c r="I960" i="2" s="1"/>
  <c r="J960" i="2"/>
  <c r="M960" i="2" s="1"/>
  <c r="N960" i="2" s="1"/>
  <c r="C961" i="2" l="1"/>
  <c r="B961" i="2"/>
  <c r="L961" i="2" l="1"/>
  <c r="F961" i="2"/>
  <c r="K961" i="2" s="1"/>
  <c r="G961" i="2"/>
  <c r="H961" i="2" l="1"/>
  <c r="I961" i="2" s="1"/>
  <c r="J961" i="2"/>
  <c r="M961" i="2" s="1"/>
  <c r="N961" i="2" s="1"/>
  <c r="C962" i="2" l="1"/>
  <c r="B962" i="2"/>
  <c r="G962" i="2" l="1"/>
  <c r="L962" i="2"/>
  <c r="F962" i="2"/>
  <c r="K962" i="2" s="1"/>
  <c r="J962" i="2" l="1"/>
  <c r="M962" i="2" s="1"/>
  <c r="N962" i="2" s="1"/>
  <c r="H962" i="2"/>
  <c r="I962" i="2" s="1"/>
  <c r="C963" i="2" l="1"/>
  <c r="B963" i="2"/>
  <c r="L963" i="2" l="1"/>
  <c r="G963" i="2"/>
  <c r="F963" i="2"/>
  <c r="K963" i="2" s="1"/>
  <c r="J963" i="2" l="1"/>
  <c r="M963" i="2" s="1"/>
  <c r="N963" i="2" s="1"/>
  <c r="H963" i="2"/>
  <c r="I963" i="2" s="1"/>
  <c r="C964" i="2" l="1"/>
  <c r="B964" i="2"/>
  <c r="G964" i="2" l="1"/>
  <c r="L964" i="2"/>
  <c r="F964" i="2"/>
  <c r="K964" i="2" s="1"/>
  <c r="H964" i="2" l="1"/>
  <c r="I964" i="2" s="1"/>
  <c r="J964" i="2"/>
  <c r="M964" i="2" s="1"/>
  <c r="N964" i="2" s="1"/>
  <c r="C965" i="2" l="1"/>
  <c r="B965" i="2"/>
  <c r="L965" i="2" l="1"/>
  <c r="F965" i="2"/>
  <c r="K965" i="2" s="1"/>
  <c r="G965" i="2"/>
  <c r="J965" i="2" l="1"/>
  <c r="M965" i="2" s="1"/>
  <c r="N965" i="2" s="1"/>
  <c r="H965" i="2"/>
  <c r="I965" i="2" s="1"/>
  <c r="C966" i="2" l="1"/>
  <c r="B966" i="2"/>
  <c r="F966" i="2" l="1"/>
  <c r="K966" i="2" s="1"/>
  <c r="G966" i="2"/>
  <c r="L966" i="2"/>
  <c r="J966" i="2" l="1"/>
  <c r="M966" i="2" s="1"/>
  <c r="N966" i="2" s="1"/>
  <c r="H966" i="2"/>
  <c r="I966" i="2" s="1"/>
  <c r="C967" i="2" l="1"/>
  <c r="B967" i="2"/>
  <c r="G967" i="2" l="1"/>
  <c r="L967" i="2"/>
  <c r="F967" i="2"/>
  <c r="K967" i="2" s="1"/>
  <c r="J967" i="2" l="1"/>
  <c r="M967" i="2" s="1"/>
  <c r="N967" i="2" s="1"/>
  <c r="H967" i="2"/>
  <c r="I967" i="2" s="1"/>
  <c r="B968" i="2" l="1"/>
  <c r="C968" i="2"/>
  <c r="F968" i="2" l="1"/>
  <c r="K968" i="2" s="1"/>
  <c r="L968" i="2"/>
  <c r="G968" i="2"/>
  <c r="H968" i="2" l="1"/>
  <c r="I968" i="2" s="1"/>
  <c r="J968" i="2"/>
  <c r="M968" i="2" s="1"/>
  <c r="N968" i="2" s="1"/>
  <c r="C969" i="2" l="1"/>
  <c r="B969" i="2"/>
  <c r="F969" i="2" l="1"/>
  <c r="K969" i="2" s="1"/>
  <c r="L969" i="2"/>
  <c r="G969" i="2"/>
  <c r="J969" i="2" l="1"/>
  <c r="M969" i="2" s="1"/>
  <c r="N969" i="2" s="1"/>
  <c r="H969" i="2"/>
  <c r="I969" i="2" s="1"/>
  <c r="B970" i="2" l="1"/>
  <c r="C970" i="2"/>
  <c r="F970" i="2" l="1"/>
  <c r="K970" i="2" s="1"/>
  <c r="L970" i="2"/>
  <c r="G970" i="2"/>
  <c r="H970" i="2" l="1"/>
  <c r="I970" i="2" s="1"/>
  <c r="J970" i="2"/>
  <c r="M970" i="2" s="1"/>
  <c r="N970" i="2" s="1"/>
  <c r="C971" i="2" l="1"/>
  <c r="B971" i="2"/>
  <c r="F971" i="2" l="1"/>
  <c r="K971" i="2" s="1"/>
  <c r="L971" i="2"/>
  <c r="G971" i="2"/>
  <c r="J971" i="2" l="1"/>
  <c r="M971" i="2" s="1"/>
  <c r="N971" i="2" s="1"/>
  <c r="H971" i="2"/>
  <c r="I971" i="2" s="1"/>
  <c r="C972" i="2" l="1"/>
  <c r="B972" i="2"/>
  <c r="F972" i="2" l="1"/>
  <c r="K972" i="2" s="1"/>
  <c r="G972" i="2"/>
  <c r="L972" i="2"/>
  <c r="J972" i="2" l="1"/>
  <c r="M972" i="2" s="1"/>
  <c r="N972" i="2" s="1"/>
  <c r="H972" i="2"/>
  <c r="I972" i="2" s="1"/>
  <c r="C973" i="2" l="1"/>
  <c r="B973" i="2"/>
  <c r="F973" i="2" l="1"/>
  <c r="K973" i="2" s="1"/>
  <c r="L973" i="2"/>
  <c r="G973" i="2"/>
  <c r="H973" i="2" l="1"/>
  <c r="I973" i="2" s="1"/>
  <c r="J973" i="2"/>
  <c r="M973" i="2" s="1"/>
  <c r="N973" i="2" s="1"/>
  <c r="B974" i="2" l="1"/>
  <c r="C974" i="2"/>
  <c r="G974" i="2" l="1"/>
  <c r="F974" i="2"/>
  <c r="K974" i="2" s="1"/>
  <c r="L974" i="2"/>
  <c r="H974" i="2" l="1"/>
  <c r="I974" i="2" s="1"/>
  <c r="J974" i="2"/>
  <c r="M974" i="2" s="1"/>
  <c r="N974" i="2" s="1"/>
  <c r="C975" i="2" l="1"/>
  <c r="B975" i="2"/>
  <c r="F975" i="2" l="1"/>
  <c r="K975" i="2" s="1"/>
  <c r="G975" i="2"/>
  <c r="L975" i="2"/>
  <c r="H975" i="2" l="1"/>
  <c r="I975" i="2" s="1"/>
  <c r="J975" i="2"/>
  <c r="M975" i="2" s="1"/>
  <c r="N975" i="2" s="1"/>
  <c r="C976" i="2" l="1"/>
  <c r="B976" i="2"/>
  <c r="L976" i="2" l="1"/>
  <c r="G976" i="2"/>
  <c r="F976" i="2"/>
  <c r="K976" i="2" s="1"/>
  <c r="J976" i="2" l="1"/>
  <c r="M976" i="2" s="1"/>
  <c r="N976" i="2" s="1"/>
  <c r="H976" i="2"/>
  <c r="I976" i="2" s="1"/>
  <c r="C977" i="2" l="1"/>
  <c r="B977" i="2"/>
  <c r="F977" i="2" l="1"/>
  <c r="K977" i="2" s="1"/>
  <c r="G977" i="2"/>
  <c r="L977" i="2"/>
  <c r="H977" i="2" l="1"/>
  <c r="I977" i="2" s="1"/>
  <c r="J977" i="2"/>
  <c r="M977" i="2" s="1"/>
  <c r="N977" i="2" s="1"/>
  <c r="C978" i="2" l="1"/>
  <c r="B978" i="2"/>
  <c r="G978" i="2" l="1"/>
  <c r="F978" i="2"/>
  <c r="K978" i="2" s="1"/>
  <c r="L978" i="2"/>
  <c r="J978" i="2" l="1"/>
  <c r="M978" i="2" s="1"/>
  <c r="N978" i="2" s="1"/>
  <c r="H978" i="2"/>
  <c r="I978" i="2" s="1"/>
  <c r="C979" i="2" l="1"/>
  <c r="B979" i="2"/>
  <c r="G979" i="2" l="1"/>
  <c r="F979" i="2"/>
  <c r="K979" i="2" s="1"/>
  <c r="L979" i="2"/>
  <c r="J979" i="2" l="1"/>
  <c r="M979" i="2" s="1"/>
  <c r="N979" i="2" s="1"/>
  <c r="H979" i="2"/>
  <c r="I979" i="2" s="1"/>
  <c r="C980" i="2" l="1"/>
  <c r="B980" i="2"/>
  <c r="F980" i="2" l="1"/>
  <c r="K980" i="2" s="1"/>
  <c r="L980" i="2"/>
  <c r="G980" i="2"/>
  <c r="H980" i="2" l="1"/>
  <c r="I980" i="2" s="1"/>
  <c r="J980" i="2"/>
  <c r="M980" i="2" s="1"/>
  <c r="N980" i="2" s="1"/>
  <c r="C981" i="2" l="1"/>
  <c r="B981" i="2"/>
  <c r="L981" i="2" l="1"/>
  <c r="G981" i="2"/>
  <c r="F981" i="2"/>
  <c r="K981" i="2" s="1"/>
  <c r="H981" i="2" l="1"/>
  <c r="I981" i="2" s="1"/>
  <c r="J981" i="2"/>
  <c r="M981" i="2" s="1"/>
  <c r="N981" i="2" s="1"/>
  <c r="B982" i="2" l="1"/>
  <c r="C982" i="2"/>
  <c r="L982" i="2" l="1"/>
  <c r="G982" i="2"/>
  <c r="F982" i="2"/>
  <c r="K982" i="2" s="1"/>
  <c r="J982" i="2" l="1"/>
  <c r="M982" i="2" s="1"/>
  <c r="N982" i="2" s="1"/>
  <c r="H982" i="2"/>
  <c r="I982" i="2" s="1"/>
  <c r="B983" i="2" l="1"/>
  <c r="C983" i="2"/>
  <c r="G983" i="2" l="1"/>
  <c r="L983" i="2"/>
  <c r="F983" i="2"/>
  <c r="K983" i="2" s="1"/>
  <c r="J983" i="2" l="1"/>
  <c r="M983" i="2" s="1"/>
  <c r="N983" i="2" s="1"/>
  <c r="H983" i="2"/>
  <c r="I983" i="2" s="1"/>
  <c r="B984" i="2" l="1"/>
  <c r="C984" i="2"/>
  <c r="F984" i="2" l="1"/>
  <c r="K984" i="2" s="1"/>
  <c r="G984" i="2"/>
  <c r="L984" i="2"/>
  <c r="H984" i="2" l="1"/>
  <c r="I984" i="2" s="1"/>
  <c r="J984" i="2"/>
  <c r="M984" i="2" s="1"/>
  <c r="N984" i="2" s="1"/>
  <c r="B985" i="2" l="1"/>
  <c r="C985" i="2"/>
  <c r="L985" i="2" l="1"/>
  <c r="G985" i="2"/>
  <c r="F985" i="2"/>
  <c r="K985" i="2" s="1"/>
  <c r="J985" i="2" l="1"/>
  <c r="M985" i="2" s="1"/>
  <c r="N985" i="2" s="1"/>
  <c r="H985" i="2"/>
  <c r="I985" i="2" s="1"/>
  <c r="B986" i="2" l="1"/>
  <c r="C986" i="2"/>
  <c r="L986" i="2" l="1"/>
  <c r="F986" i="2"/>
  <c r="K986" i="2" s="1"/>
  <c r="G986" i="2"/>
  <c r="H986" i="2" l="1"/>
  <c r="I986" i="2" s="1"/>
  <c r="J986" i="2"/>
  <c r="M986" i="2" s="1"/>
  <c r="N986" i="2" s="1"/>
  <c r="C987" i="2" l="1"/>
  <c r="B987" i="2"/>
  <c r="G987" i="2" l="1"/>
  <c r="F987" i="2"/>
  <c r="K987" i="2" s="1"/>
  <c r="L987" i="2"/>
  <c r="J987" i="2" l="1"/>
  <c r="M987" i="2" s="1"/>
  <c r="N987" i="2" s="1"/>
  <c r="H987" i="2"/>
  <c r="I987" i="2" s="1"/>
  <c r="C988" i="2" l="1"/>
  <c r="B988" i="2"/>
  <c r="L988" i="2" l="1"/>
  <c r="F988" i="2"/>
  <c r="K988" i="2" s="1"/>
  <c r="G988" i="2"/>
  <c r="J988" i="2" l="1"/>
  <c r="M988" i="2" s="1"/>
  <c r="N988" i="2" s="1"/>
  <c r="H988" i="2"/>
  <c r="I988" i="2" s="1"/>
  <c r="B989" i="2" l="1"/>
  <c r="C989" i="2"/>
  <c r="G989" i="2" l="1"/>
  <c r="L989" i="2"/>
  <c r="F989" i="2"/>
  <c r="K989" i="2" s="1"/>
  <c r="H989" i="2" l="1"/>
  <c r="I989" i="2" s="1"/>
  <c r="J989" i="2"/>
  <c r="M989" i="2" s="1"/>
  <c r="N989" i="2" s="1"/>
  <c r="C990" i="2" l="1"/>
  <c r="B990" i="2"/>
  <c r="G990" i="2" l="1"/>
  <c r="F990" i="2"/>
  <c r="K990" i="2" s="1"/>
  <c r="L990" i="2"/>
  <c r="J990" i="2" l="1"/>
  <c r="M990" i="2" s="1"/>
  <c r="N990" i="2" s="1"/>
  <c r="H990" i="2"/>
  <c r="I990" i="2" s="1"/>
  <c r="B991" i="2" l="1"/>
  <c r="C991" i="2"/>
  <c r="G991" i="2" l="1"/>
  <c r="L991" i="2"/>
  <c r="F991" i="2"/>
  <c r="K991" i="2" s="1"/>
  <c r="H991" i="2" l="1"/>
  <c r="I991" i="2" s="1"/>
  <c r="J991" i="2"/>
  <c r="M991" i="2" s="1"/>
  <c r="N991" i="2" s="1"/>
  <c r="C992" i="2" l="1"/>
  <c r="B992" i="2"/>
  <c r="F992" i="2" l="1"/>
  <c r="K992" i="2" s="1"/>
  <c r="G992" i="2"/>
  <c r="L992" i="2"/>
  <c r="J992" i="2" l="1"/>
  <c r="M992" i="2" s="1"/>
  <c r="N992" i="2" s="1"/>
  <c r="H992" i="2"/>
  <c r="I992" i="2" s="1"/>
  <c r="B993" i="2" l="1"/>
  <c r="C993" i="2"/>
  <c r="L993" i="2" l="1"/>
  <c r="G993" i="2"/>
  <c r="F993" i="2"/>
  <c r="K993" i="2" s="1"/>
  <c r="H993" i="2" l="1"/>
  <c r="I993" i="2" s="1"/>
  <c r="J993" i="2"/>
  <c r="M993" i="2" s="1"/>
  <c r="N993" i="2" s="1"/>
  <c r="C994" i="2" l="1"/>
  <c r="B994" i="2"/>
  <c r="G994" i="2" l="1"/>
  <c r="F994" i="2"/>
  <c r="K994" i="2" s="1"/>
  <c r="L994" i="2"/>
  <c r="H994" i="2" l="1"/>
  <c r="I994" i="2" s="1"/>
  <c r="J994" i="2"/>
  <c r="M994" i="2" s="1"/>
  <c r="N994" i="2" s="1"/>
  <c r="B995" i="2" l="1"/>
  <c r="C995" i="2"/>
  <c r="G995" i="2" l="1"/>
  <c r="F995" i="2"/>
  <c r="K995" i="2" s="1"/>
  <c r="L995" i="2"/>
  <c r="J995" i="2" l="1"/>
  <c r="M995" i="2" s="1"/>
  <c r="N995" i="2" s="1"/>
  <c r="H995" i="2"/>
  <c r="I995" i="2" s="1"/>
  <c r="B996" i="2" l="1"/>
  <c r="C996" i="2"/>
  <c r="L996" i="2" l="1"/>
  <c r="F996" i="2"/>
  <c r="K996" i="2" s="1"/>
  <c r="G996" i="2"/>
  <c r="H996" i="2" l="1"/>
  <c r="I996" i="2" s="1"/>
  <c r="J996" i="2"/>
  <c r="M996" i="2" s="1"/>
  <c r="N996" i="2" s="1"/>
  <c r="C997" i="2" l="1"/>
  <c r="B997" i="2"/>
  <c r="L997" i="2" l="1"/>
  <c r="F997" i="2"/>
  <c r="K997" i="2" s="1"/>
  <c r="G997" i="2"/>
  <c r="J997" i="2" l="1"/>
  <c r="M997" i="2" s="1"/>
  <c r="N997" i="2" s="1"/>
  <c r="H997" i="2"/>
  <c r="I997" i="2" s="1"/>
  <c r="B998" i="2" l="1"/>
  <c r="C998" i="2"/>
  <c r="F998" i="2" l="1"/>
  <c r="K998" i="2" s="1"/>
  <c r="L998" i="2"/>
  <c r="G998" i="2"/>
  <c r="J998" i="2" l="1"/>
  <c r="M998" i="2" s="1"/>
  <c r="N998" i="2" s="1"/>
  <c r="H998" i="2"/>
  <c r="I998" i="2" s="1"/>
  <c r="C999" i="2" l="1"/>
  <c r="B999" i="2"/>
  <c r="F999" i="2" l="1"/>
  <c r="K999" i="2" s="1"/>
  <c r="G999" i="2"/>
  <c r="L999" i="2"/>
  <c r="J999" i="2" l="1"/>
  <c r="M999" i="2" s="1"/>
  <c r="N999" i="2" s="1"/>
  <c r="H999" i="2"/>
  <c r="I999" i="2" s="1"/>
  <c r="B1000" i="2" l="1"/>
  <c r="C1000" i="2"/>
  <c r="G1000" i="2" l="1"/>
  <c r="L1000" i="2"/>
  <c r="F1000" i="2"/>
  <c r="K1000" i="2" s="1"/>
  <c r="H1000" i="2" l="1"/>
  <c r="I1000" i="2" s="1"/>
  <c r="J1000" i="2"/>
  <c r="M1000" i="2" s="1"/>
  <c r="N1000" i="2" s="1"/>
  <c r="B1001" i="2" l="1"/>
  <c r="C1001" i="2"/>
  <c r="F1001" i="2" l="1"/>
  <c r="K1001" i="2" s="1"/>
  <c r="L1001" i="2"/>
  <c r="G1001" i="2"/>
  <c r="H1001" i="2" l="1"/>
  <c r="I1001" i="2" s="1"/>
  <c r="J1001" i="2"/>
  <c r="M1001" i="2" s="1"/>
  <c r="N1001" i="2" s="1"/>
  <c r="C1002" i="2" l="1"/>
  <c r="B1002" i="2"/>
  <c r="G1002" i="2" l="1"/>
  <c r="L1002" i="2"/>
  <c r="F1002" i="2"/>
  <c r="K1002" i="2" s="1"/>
  <c r="H1002" i="2" l="1"/>
  <c r="I1002" i="2" s="1"/>
  <c r="J1002" i="2"/>
  <c r="M1002" i="2" s="1"/>
  <c r="N1002" i="2" s="1"/>
  <c r="C1003" i="2" l="1"/>
  <c r="B1003" i="2"/>
  <c r="L1003" i="2" l="1"/>
  <c r="G1003" i="2"/>
  <c r="F1003" i="2"/>
  <c r="K1003" i="2" s="1"/>
  <c r="J1003" i="2" l="1"/>
  <c r="M1003" i="2" s="1"/>
  <c r="N1003" i="2" s="1"/>
  <c r="H1003" i="2"/>
  <c r="I1003" i="2" s="1"/>
  <c r="B1004" i="2" l="1"/>
  <c r="C1004" i="2"/>
  <c r="G1004" i="2" l="1"/>
  <c r="L1004" i="2"/>
  <c r="F1004" i="2"/>
  <c r="K1004" i="2" s="1"/>
  <c r="J1004" i="2" l="1"/>
  <c r="M1004" i="2" s="1"/>
  <c r="N1004" i="2" s="1"/>
  <c r="H1004" i="2"/>
  <c r="I1004" i="2" s="1"/>
  <c r="C1005" i="2" l="1"/>
  <c r="B1005" i="2"/>
  <c r="G1005" i="2" l="1"/>
  <c r="L1005" i="2"/>
  <c r="F1005" i="2"/>
  <c r="K1005" i="2" s="1"/>
  <c r="J1005" i="2" l="1"/>
  <c r="M1005" i="2" s="1"/>
  <c r="N1005" i="2" s="1"/>
  <c r="H1005" i="2"/>
  <c r="I1005" i="2" s="1"/>
  <c r="C1006" i="2" l="1"/>
  <c r="B1006" i="2"/>
  <c r="G1006" i="2" l="1"/>
  <c r="L1006" i="2"/>
  <c r="F1006" i="2"/>
  <c r="K1006" i="2" s="1"/>
  <c r="J1006" i="2" l="1"/>
  <c r="M1006" i="2" s="1"/>
  <c r="N1006" i="2" s="1"/>
  <c r="H1006" i="2"/>
  <c r="I1006" i="2" s="1"/>
  <c r="C1007" i="2" l="1"/>
  <c r="B1007" i="2"/>
  <c r="L1007" i="2" l="1"/>
  <c r="G1007" i="2"/>
  <c r="F1007" i="2"/>
  <c r="K1007" i="2" s="1"/>
  <c r="H1007" i="2" l="1"/>
  <c r="I1007" i="2" s="1"/>
  <c r="J1007" i="2"/>
  <c r="M1007" i="2" s="1"/>
  <c r="N1007" i="2" s="1"/>
  <c r="B1008" i="2" l="1"/>
  <c r="C1008" i="2"/>
  <c r="G1008" i="2" l="1"/>
  <c r="L1008" i="2"/>
  <c r="F1008" i="2"/>
  <c r="K1008" i="2" s="1"/>
  <c r="J1008" i="2" l="1"/>
  <c r="M1008" i="2" s="1"/>
  <c r="N1008" i="2" s="1"/>
  <c r="H1008" i="2"/>
  <c r="I1008" i="2" s="1"/>
  <c r="B1009" i="2" l="1"/>
  <c r="C1009" i="2"/>
  <c r="L1009" i="2" l="1"/>
  <c r="F1009" i="2"/>
  <c r="K1009" i="2" s="1"/>
  <c r="G1009" i="2"/>
  <c r="J1009" i="2" l="1"/>
  <c r="M1009" i="2" s="1"/>
  <c r="N1009" i="2" s="1"/>
  <c r="H1009" i="2"/>
  <c r="I1009" i="2" s="1"/>
  <c r="C1010" i="2" l="1"/>
  <c r="B1010" i="2"/>
  <c r="G1010" i="2" l="1"/>
  <c r="L1010" i="2"/>
  <c r="F1010" i="2"/>
  <c r="K1010" i="2" s="1"/>
  <c r="H1010" i="2" l="1"/>
  <c r="I1010" i="2" s="1"/>
  <c r="J1010" i="2"/>
  <c r="M1010" i="2" s="1"/>
  <c r="N1010" i="2" s="1"/>
  <c r="C1011" i="2" l="1"/>
  <c r="B1011" i="2"/>
  <c r="F1011" i="2" l="1"/>
  <c r="K1011" i="2" s="1"/>
  <c r="G1011" i="2"/>
  <c r="L1011" i="2"/>
  <c r="J1011" i="2" l="1"/>
  <c r="M1011" i="2" s="1"/>
  <c r="N1011" i="2" s="1"/>
  <c r="H1011" i="2"/>
  <c r="I1011" i="2" s="1"/>
  <c r="C1012" i="2" l="1"/>
  <c r="B1012" i="2"/>
  <c r="G1012" i="2" l="1"/>
  <c r="L1012" i="2"/>
  <c r="F1012" i="2"/>
  <c r="K1012" i="2" s="1"/>
  <c r="J1012" i="2" l="1"/>
  <c r="M1012" i="2" s="1"/>
  <c r="N1012" i="2" s="1"/>
  <c r="H1012" i="2"/>
  <c r="I1012" i="2" s="1"/>
  <c r="B1013" i="2" l="1"/>
  <c r="C1013" i="2"/>
  <c r="G1013" i="2" l="1"/>
  <c r="F1013" i="2"/>
  <c r="K1013" i="2" s="1"/>
  <c r="L1013" i="2"/>
  <c r="J1013" i="2" l="1"/>
  <c r="M1013" i="2" s="1"/>
  <c r="N1013" i="2" s="1"/>
  <c r="H1013" i="2"/>
  <c r="I1013" i="2" s="1"/>
  <c r="B1014" i="2" l="1"/>
  <c r="C1014" i="2"/>
  <c r="G1014" i="2" l="1"/>
  <c r="L1014" i="2"/>
  <c r="F1014" i="2"/>
  <c r="K1014" i="2" s="1"/>
  <c r="H1014" i="2" l="1"/>
  <c r="I1014" i="2" s="1"/>
  <c r="J1014" i="2"/>
  <c r="M1014" i="2" s="1"/>
  <c r="N1014" i="2" s="1"/>
  <c r="C1015" i="2" l="1"/>
  <c r="B1015" i="2"/>
  <c r="G1015" i="2" l="1"/>
  <c r="L1015" i="2"/>
  <c r="F1015" i="2"/>
  <c r="K1015" i="2" s="1"/>
  <c r="H1015" i="2" l="1"/>
  <c r="I1015" i="2" s="1"/>
  <c r="J1015" i="2"/>
  <c r="M1015" i="2" s="1"/>
  <c r="N1015" i="2" s="1"/>
  <c r="C1016" i="2" l="1"/>
  <c r="B1016" i="2"/>
  <c r="G1016" i="2" l="1"/>
  <c r="L1016" i="2"/>
  <c r="F1016" i="2"/>
  <c r="K1016" i="2" s="1"/>
  <c r="J1016" i="2" l="1"/>
  <c r="M1016" i="2" s="1"/>
  <c r="N1016" i="2" s="1"/>
  <c r="H1016" i="2"/>
  <c r="I1016" i="2" s="1"/>
  <c r="B1017" i="2" l="1"/>
  <c r="C1017" i="2"/>
  <c r="G1017" i="2" l="1"/>
  <c r="L1017" i="2"/>
  <c r="F1017" i="2"/>
  <c r="K1017" i="2" s="1"/>
  <c r="J1017" i="2" l="1"/>
  <c r="M1017" i="2" s="1"/>
  <c r="N1017" i="2" s="1"/>
  <c r="H1017" i="2"/>
  <c r="I1017" i="2" s="1"/>
  <c r="B1018" i="2" l="1"/>
  <c r="C1018" i="2"/>
  <c r="F1018" i="2" l="1"/>
  <c r="K1018" i="2" s="1"/>
  <c r="G1018" i="2"/>
  <c r="L1018" i="2"/>
  <c r="H1018" i="2" l="1"/>
  <c r="I1018" i="2" s="1"/>
  <c r="J1018" i="2"/>
  <c r="M1018" i="2" s="1"/>
  <c r="N1018" i="2" s="1"/>
  <c r="C1019" i="2" l="1"/>
  <c r="B1019" i="2"/>
  <c r="F1019" i="2" l="1"/>
  <c r="K1019" i="2" s="1"/>
  <c r="G1019" i="2"/>
  <c r="L1019" i="2"/>
  <c r="H1019" i="2" l="1"/>
  <c r="I1019" i="2" s="1"/>
  <c r="J1019" i="2"/>
  <c r="M1019" i="2" s="1"/>
  <c r="N1019" i="2" s="1"/>
  <c r="C1020" i="2" l="1"/>
  <c r="B1020" i="2"/>
  <c r="G1020" i="2" l="1"/>
  <c r="L1020" i="2"/>
  <c r="F1020" i="2"/>
  <c r="K1020" i="2" s="1"/>
  <c r="H1020" i="2" l="1"/>
  <c r="I1020" i="2" s="1"/>
  <c r="J1020" i="2"/>
  <c r="M1020" i="2" s="1"/>
  <c r="N1020" i="2" s="1"/>
  <c r="C1021" i="2" l="1"/>
  <c r="B1021" i="2"/>
  <c r="L1021" i="2" l="1"/>
  <c r="F1021" i="2"/>
  <c r="K1021" i="2" s="1"/>
  <c r="G1021" i="2"/>
  <c r="J1021" i="2" l="1"/>
  <c r="M1021" i="2" s="1"/>
  <c r="N1021" i="2" s="1"/>
  <c r="H1021" i="2"/>
  <c r="I1021" i="2" s="1"/>
  <c r="C1022" i="2" l="1"/>
  <c r="B1022" i="2"/>
  <c r="F1022" i="2" l="1"/>
  <c r="K1022" i="2" s="1"/>
  <c r="L1022" i="2"/>
  <c r="G1022" i="2"/>
  <c r="H1022" i="2" l="1"/>
  <c r="I1022" i="2" s="1"/>
  <c r="J1022" i="2"/>
  <c r="M1022" i="2" s="1"/>
  <c r="N1022" i="2" s="1"/>
  <c r="C1023" i="2" l="1"/>
  <c r="B1023" i="2"/>
  <c r="L1023" i="2" l="1"/>
  <c r="G1023" i="2"/>
  <c r="F1023" i="2"/>
  <c r="K1023" i="2" s="1"/>
  <c r="H1023" i="2" l="1"/>
  <c r="I1023" i="2" s="1"/>
  <c r="J1023" i="2"/>
  <c r="M1023" i="2" s="1"/>
  <c r="N1023" i="2" s="1"/>
  <c r="B1024" i="2" l="1"/>
  <c r="C1024" i="2"/>
  <c r="G1024" i="2" l="1"/>
  <c r="L1024" i="2"/>
  <c r="F1024" i="2"/>
  <c r="K1024" i="2" s="1"/>
  <c r="J1024" i="2" l="1"/>
  <c r="M1024" i="2" s="1"/>
  <c r="N1024" i="2" s="1"/>
  <c r="H1024" i="2"/>
  <c r="I1024" i="2" s="1"/>
  <c r="C1025" i="2" l="1"/>
  <c r="B1025" i="2"/>
  <c r="L1025" i="2" l="1"/>
  <c r="F1025" i="2"/>
  <c r="K1025" i="2" s="1"/>
  <c r="G1025" i="2"/>
  <c r="J1025" i="2" l="1"/>
  <c r="M1025" i="2" s="1"/>
  <c r="N1025" i="2" s="1"/>
  <c r="H1025" i="2"/>
  <c r="I1025" i="2" s="1"/>
  <c r="C1026" i="2" l="1"/>
  <c r="B1026" i="2"/>
  <c r="G1026" i="2" l="1"/>
  <c r="L1026" i="2"/>
  <c r="F1026" i="2"/>
  <c r="K1026" i="2" s="1"/>
  <c r="J1026" i="2" l="1"/>
  <c r="M1026" i="2" s="1"/>
  <c r="N1026" i="2" s="1"/>
  <c r="H1026" i="2"/>
  <c r="I1026" i="2" s="1"/>
  <c r="B1027" i="2" l="1"/>
  <c r="C1027" i="2"/>
  <c r="F1027" i="2" l="1"/>
  <c r="K1027" i="2" s="1"/>
  <c r="L1027" i="2"/>
  <c r="G1027" i="2"/>
  <c r="H1027" i="2" l="1"/>
  <c r="I1027" i="2" s="1"/>
  <c r="J1027" i="2"/>
  <c r="M1027" i="2" s="1"/>
  <c r="N1027" i="2" s="1"/>
  <c r="B1028" i="2" l="1"/>
  <c r="C1028" i="2"/>
  <c r="L1028" i="2" l="1"/>
  <c r="F1028" i="2"/>
  <c r="K1028" i="2" s="1"/>
  <c r="G1028" i="2"/>
  <c r="H1028" i="2" l="1"/>
  <c r="I1028" i="2" s="1"/>
  <c r="J1028" i="2"/>
  <c r="M1028" i="2" s="1"/>
  <c r="N1028" i="2" s="1"/>
  <c r="C1029" i="2" l="1"/>
  <c r="B1029" i="2"/>
  <c r="L1029" i="2" l="1"/>
  <c r="G1029" i="2"/>
  <c r="F1029" i="2"/>
  <c r="K1029" i="2" s="1"/>
  <c r="H1029" i="2" l="1"/>
  <c r="I1029" i="2" s="1"/>
  <c r="J1029" i="2"/>
  <c r="M1029" i="2" s="1"/>
  <c r="N1029" i="2" s="1"/>
  <c r="C1030" i="2" l="1"/>
  <c r="B1030" i="2"/>
  <c r="F1030" i="2" l="1"/>
  <c r="K1030" i="2" s="1"/>
  <c r="L1030" i="2"/>
  <c r="G1030" i="2"/>
  <c r="J1030" i="2" l="1"/>
  <c r="M1030" i="2" s="1"/>
  <c r="N1030" i="2" s="1"/>
  <c r="H1030" i="2"/>
  <c r="I1030" i="2" s="1"/>
  <c r="B1031" i="2" l="1"/>
  <c r="C1031" i="2"/>
  <c r="F1031" i="2" l="1"/>
  <c r="K1031" i="2" s="1"/>
  <c r="L1031" i="2"/>
  <c r="G1031" i="2"/>
  <c r="J1031" i="2" l="1"/>
  <c r="M1031" i="2" s="1"/>
  <c r="N1031" i="2" s="1"/>
  <c r="H1031" i="2"/>
  <c r="I1031" i="2" s="1"/>
  <c r="C1032" i="2" l="1"/>
  <c r="B1032" i="2"/>
  <c r="G1032" i="2" l="1"/>
  <c r="L1032" i="2"/>
  <c r="F1032" i="2"/>
  <c r="K1032" i="2" s="1"/>
  <c r="J1032" i="2" l="1"/>
  <c r="M1032" i="2" s="1"/>
  <c r="N1032" i="2" s="1"/>
  <c r="H1032" i="2"/>
  <c r="I1032" i="2" s="1"/>
  <c r="B1033" i="2" l="1"/>
  <c r="C1033" i="2"/>
  <c r="L1033" i="2" l="1"/>
  <c r="F1033" i="2"/>
  <c r="K1033" i="2" s="1"/>
  <c r="G1033" i="2"/>
  <c r="J1033" i="2" l="1"/>
  <c r="M1033" i="2" s="1"/>
  <c r="N1033" i="2" s="1"/>
  <c r="H1033" i="2"/>
  <c r="I1033" i="2" s="1"/>
  <c r="B1034" i="2" l="1"/>
  <c r="C1034" i="2"/>
  <c r="F1034" i="2" l="1"/>
  <c r="K1034" i="2" s="1"/>
  <c r="L1034" i="2"/>
  <c r="G1034" i="2"/>
  <c r="J1034" i="2" l="1"/>
  <c r="M1034" i="2" s="1"/>
  <c r="N1034" i="2" s="1"/>
  <c r="H1034" i="2"/>
  <c r="I1034" i="2" s="1"/>
  <c r="C1035" i="2" l="1"/>
  <c r="B1035" i="2"/>
  <c r="L1035" i="2" l="1"/>
  <c r="F1035" i="2"/>
  <c r="K1035" i="2" s="1"/>
  <c r="G1035" i="2"/>
  <c r="H1035" i="2" l="1"/>
  <c r="I1035" i="2" s="1"/>
  <c r="J1035" i="2"/>
  <c r="M1035" i="2" s="1"/>
  <c r="N1035" i="2" s="1"/>
  <c r="B1036" i="2" l="1"/>
  <c r="C1036" i="2"/>
  <c r="F1036" i="2" l="1"/>
  <c r="K1036" i="2" s="1"/>
  <c r="L1036" i="2"/>
  <c r="G1036" i="2"/>
  <c r="J1036" i="2" l="1"/>
  <c r="M1036" i="2" s="1"/>
  <c r="N1036" i="2" s="1"/>
  <c r="H1036" i="2"/>
  <c r="I1036" i="2" s="1"/>
  <c r="C1037" i="2" l="1"/>
  <c r="B1037" i="2"/>
  <c r="G1037" i="2" l="1"/>
  <c r="F1037" i="2"/>
  <c r="K1037" i="2" s="1"/>
  <c r="L1037" i="2"/>
  <c r="J1037" i="2" l="1"/>
  <c r="M1037" i="2" s="1"/>
  <c r="N1037" i="2" s="1"/>
  <c r="H1037" i="2"/>
  <c r="I1037" i="2" s="1"/>
  <c r="B1038" i="2" l="1"/>
  <c r="C1038" i="2"/>
  <c r="L1038" i="2" l="1"/>
  <c r="F1038" i="2"/>
  <c r="K1038" i="2" s="1"/>
  <c r="G1038" i="2"/>
  <c r="H1038" i="2" l="1"/>
  <c r="I1038" i="2" s="1"/>
  <c r="J1038" i="2"/>
  <c r="M1038" i="2" s="1"/>
  <c r="N1038" i="2" s="1"/>
  <c r="B1039" i="2" l="1"/>
  <c r="C1039" i="2"/>
  <c r="F1039" i="2" l="1"/>
  <c r="K1039" i="2" s="1"/>
  <c r="L1039" i="2"/>
  <c r="G1039" i="2"/>
  <c r="H1039" i="2" l="1"/>
  <c r="I1039" i="2" s="1"/>
  <c r="J1039" i="2"/>
  <c r="M1039" i="2" s="1"/>
  <c r="N1039" i="2" s="1"/>
  <c r="C1040" i="2" l="1"/>
  <c r="B1040" i="2"/>
  <c r="F1040" i="2" l="1"/>
  <c r="K1040" i="2" s="1"/>
  <c r="L1040" i="2"/>
  <c r="G1040" i="2"/>
  <c r="H1040" i="2" l="1"/>
  <c r="I1040" i="2" s="1"/>
  <c r="J1040" i="2"/>
  <c r="M1040" i="2" s="1"/>
  <c r="N1040" i="2" s="1"/>
  <c r="C1041" i="2" l="1"/>
  <c r="B1041" i="2"/>
  <c r="L1041" i="2" l="1"/>
  <c r="G1041" i="2"/>
  <c r="F1041" i="2"/>
  <c r="K1041" i="2" s="1"/>
  <c r="H1041" i="2" l="1"/>
  <c r="I1041" i="2" s="1"/>
  <c r="J1041" i="2"/>
  <c r="M1041" i="2" s="1"/>
  <c r="N1041" i="2" s="1"/>
  <c r="B1042" i="2" l="1"/>
  <c r="C1042" i="2"/>
  <c r="F1042" i="2" l="1"/>
  <c r="K1042" i="2" s="1"/>
  <c r="L1042" i="2"/>
  <c r="G1042" i="2"/>
  <c r="H1042" i="2" l="1"/>
  <c r="I1042" i="2" s="1"/>
  <c r="J1042" i="2"/>
  <c r="M1042" i="2" s="1"/>
  <c r="N1042" i="2" s="1"/>
  <c r="B1043" i="2" l="1"/>
  <c r="C1043" i="2"/>
  <c r="G1043" i="2" l="1"/>
  <c r="F1043" i="2"/>
  <c r="K1043" i="2" s="1"/>
  <c r="L1043" i="2"/>
  <c r="H1043" i="2" l="1"/>
  <c r="I1043" i="2" s="1"/>
  <c r="J1043" i="2"/>
  <c r="M1043" i="2" s="1"/>
  <c r="N1043" i="2" s="1"/>
  <c r="B1044" i="2" l="1"/>
  <c r="C1044" i="2"/>
  <c r="F1044" i="2" l="1"/>
  <c r="K1044" i="2" s="1"/>
  <c r="L1044" i="2"/>
  <c r="G1044" i="2"/>
  <c r="J1044" i="2" l="1"/>
  <c r="M1044" i="2" s="1"/>
  <c r="N1044" i="2" s="1"/>
  <c r="H1044" i="2"/>
  <c r="I1044" i="2" s="1"/>
  <c r="B1045" i="2" l="1"/>
  <c r="C1045" i="2"/>
  <c r="F1045" i="2" l="1"/>
  <c r="K1045" i="2" s="1"/>
  <c r="G1045" i="2"/>
  <c r="L1045" i="2"/>
  <c r="J1045" i="2" l="1"/>
  <c r="M1045" i="2" s="1"/>
  <c r="N1045" i="2" s="1"/>
  <c r="H1045" i="2"/>
  <c r="I1045" i="2" s="1"/>
  <c r="B1046" i="2" l="1"/>
  <c r="C1046" i="2"/>
  <c r="L1046" i="2" l="1"/>
  <c r="F1046" i="2"/>
  <c r="K1046" i="2" s="1"/>
  <c r="G1046" i="2"/>
  <c r="J1046" i="2" l="1"/>
  <c r="M1046" i="2" s="1"/>
  <c r="N1046" i="2" s="1"/>
  <c r="H1046" i="2"/>
  <c r="I1046" i="2" s="1"/>
  <c r="B1047" i="2" l="1"/>
  <c r="C1047" i="2"/>
  <c r="G1047" i="2" l="1"/>
  <c r="L1047" i="2"/>
  <c r="F1047" i="2"/>
  <c r="K1047" i="2" s="1"/>
  <c r="H1047" i="2" l="1"/>
  <c r="I1047" i="2" s="1"/>
  <c r="J1047" i="2"/>
  <c r="M1047" i="2" s="1"/>
  <c r="N1047" i="2" s="1"/>
  <c r="B1048" i="2" l="1"/>
  <c r="C1048" i="2"/>
  <c r="F1048" i="2" l="1"/>
  <c r="K1048" i="2" s="1"/>
  <c r="G1048" i="2"/>
  <c r="L1048" i="2"/>
  <c r="H1048" i="2" l="1"/>
  <c r="I1048" i="2" s="1"/>
  <c r="J1048" i="2"/>
  <c r="M1048" i="2" s="1"/>
  <c r="N1048" i="2" s="1"/>
  <c r="B1049" i="2" l="1"/>
  <c r="C1049" i="2"/>
  <c r="L1049" i="2" l="1"/>
  <c r="G1049" i="2"/>
  <c r="F1049" i="2"/>
  <c r="K1049" i="2" s="1"/>
  <c r="H1049" i="2" l="1"/>
  <c r="I1049" i="2" s="1"/>
  <c r="J1049" i="2"/>
  <c r="M1049" i="2" s="1"/>
  <c r="N1049" i="2" s="1"/>
  <c r="B1050" i="2" l="1"/>
  <c r="C1050" i="2"/>
  <c r="F1050" i="2" l="1"/>
  <c r="K1050" i="2" s="1"/>
  <c r="G1050" i="2"/>
  <c r="L1050" i="2"/>
  <c r="H1050" i="2" l="1"/>
  <c r="I1050" i="2" s="1"/>
  <c r="J1050" i="2"/>
  <c r="M1050" i="2" s="1"/>
  <c r="N1050" i="2" s="1"/>
  <c r="B1051" i="2" l="1"/>
  <c r="C1051" i="2"/>
  <c r="F1051" i="2" l="1"/>
  <c r="K1051" i="2" s="1"/>
  <c r="G1051" i="2"/>
  <c r="L1051" i="2"/>
  <c r="J1051" i="2" l="1"/>
  <c r="M1051" i="2" s="1"/>
  <c r="N1051" i="2" s="1"/>
  <c r="H1051" i="2"/>
  <c r="I1051" i="2" s="1"/>
  <c r="B1052" i="2" l="1"/>
  <c r="C1052" i="2"/>
  <c r="G1052" i="2" l="1"/>
  <c r="F1052" i="2"/>
  <c r="K1052" i="2" s="1"/>
  <c r="L1052" i="2"/>
  <c r="J1052" i="2" l="1"/>
  <c r="M1052" i="2" s="1"/>
  <c r="N1052" i="2" s="1"/>
  <c r="H1052" i="2"/>
  <c r="I1052" i="2" s="1"/>
  <c r="B1053" i="2" l="1"/>
  <c r="C1053" i="2"/>
  <c r="L1053" i="2" l="1"/>
  <c r="F1053" i="2"/>
  <c r="K1053" i="2" s="1"/>
  <c r="G1053" i="2"/>
  <c r="H1053" i="2" l="1"/>
  <c r="I1053" i="2" s="1"/>
  <c r="J1053" i="2"/>
  <c r="M1053" i="2" s="1"/>
  <c r="N1053" i="2" s="1"/>
  <c r="B1054" i="2" l="1"/>
  <c r="C1054" i="2"/>
  <c r="G1054" i="2" l="1"/>
  <c r="L1054" i="2"/>
  <c r="F1054" i="2"/>
  <c r="K1054" i="2" s="1"/>
  <c r="J1054" i="2" l="1"/>
  <c r="M1054" i="2" s="1"/>
  <c r="N1054" i="2" s="1"/>
  <c r="H1054" i="2"/>
  <c r="I1054" i="2" s="1"/>
  <c r="C1055" i="2" l="1"/>
  <c r="B1055" i="2"/>
  <c r="G1055" i="2" l="1"/>
  <c r="F1055" i="2"/>
  <c r="K1055" i="2" s="1"/>
  <c r="L1055" i="2"/>
  <c r="H1055" i="2" l="1"/>
  <c r="I1055" i="2" s="1"/>
  <c r="J1055" i="2"/>
  <c r="M1055" i="2" s="1"/>
  <c r="N1055" i="2" s="1"/>
  <c r="B1056" i="2" l="1"/>
  <c r="C1056" i="2"/>
  <c r="G1056" i="2" l="1"/>
  <c r="F1056" i="2"/>
  <c r="K1056" i="2" s="1"/>
  <c r="L1056" i="2"/>
  <c r="J1056" i="2" l="1"/>
  <c r="M1056" i="2" s="1"/>
  <c r="N1056" i="2" s="1"/>
  <c r="H1056" i="2"/>
  <c r="I1056" i="2" s="1"/>
  <c r="B1057" i="2" l="1"/>
  <c r="C1057" i="2"/>
  <c r="G1057" i="2" l="1"/>
  <c r="F1057" i="2"/>
  <c r="K1057" i="2" s="1"/>
  <c r="L1057" i="2"/>
  <c r="H1057" i="2" l="1"/>
  <c r="I1057" i="2" s="1"/>
  <c r="J1057" i="2"/>
  <c r="M1057" i="2" s="1"/>
  <c r="N1057" i="2" s="1"/>
  <c r="B1058" i="2" l="1"/>
  <c r="C1058" i="2"/>
  <c r="G1058" i="2" l="1"/>
  <c r="F1058" i="2"/>
  <c r="K1058" i="2" s="1"/>
  <c r="L1058" i="2"/>
  <c r="H1058" i="2" l="1"/>
  <c r="I1058" i="2" s="1"/>
  <c r="J1058" i="2"/>
  <c r="M1058" i="2" s="1"/>
  <c r="N1058" i="2" s="1"/>
  <c r="C1059" i="2" l="1"/>
  <c r="B1059" i="2"/>
  <c r="G1059" i="2" l="1"/>
  <c r="F1059" i="2"/>
  <c r="K1059" i="2" s="1"/>
  <c r="L1059" i="2"/>
  <c r="H1059" i="2" l="1"/>
  <c r="I1059" i="2" s="1"/>
  <c r="J1059" i="2"/>
  <c r="M1059" i="2" s="1"/>
  <c r="N1059" i="2" s="1"/>
  <c r="B1060" i="2" l="1"/>
  <c r="C1060" i="2"/>
  <c r="F1060" i="2" l="1"/>
  <c r="K1060" i="2" s="1"/>
  <c r="L1060" i="2"/>
  <c r="G1060" i="2"/>
  <c r="J1060" i="2" l="1"/>
  <c r="M1060" i="2" s="1"/>
  <c r="N1060" i="2" s="1"/>
  <c r="H1060" i="2"/>
  <c r="I1060" i="2" s="1"/>
  <c r="B1061" i="2" l="1"/>
  <c r="C1061" i="2"/>
  <c r="F1061" i="2" l="1"/>
  <c r="K1061" i="2" s="1"/>
  <c r="G1061" i="2"/>
  <c r="L1061" i="2"/>
  <c r="H1061" i="2" l="1"/>
  <c r="I1061" i="2" s="1"/>
  <c r="J1061" i="2"/>
  <c r="M1061" i="2" s="1"/>
  <c r="N1061" i="2" s="1"/>
  <c r="B1062" i="2" l="1"/>
  <c r="C1062" i="2"/>
  <c r="G1062" i="2" l="1"/>
  <c r="L1062" i="2"/>
  <c r="F1062" i="2"/>
  <c r="K1062" i="2" s="1"/>
  <c r="J1062" i="2" l="1"/>
  <c r="M1062" i="2" s="1"/>
  <c r="N1062" i="2" s="1"/>
  <c r="H1062" i="2"/>
  <c r="I1062" i="2" s="1"/>
  <c r="B1063" i="2" l="1"/>
  <c r="C1063" i="2"/>
  <c r="L1063" i="2" l="1"/>
  <c r="F1063" i="2"/>
  <c r="K1063" i="2" s="1"/>
  <c r="G1063" i="2"/>
  <c r="J1063" i="2" l="1"/>
  <c r="M1063" i="2" s="1"/>
  <c r="N1063" i="2" s="1"/>
  <c r="H1063" i="2"/>
  <c r="I1063" i="2" s="1"/>
  <c r="B1064" i="2" l="1"/>
  <c r="C1064" i="2"/>
  <c r="G1064" i="2" l="1"/>
  <c r="L1064" i="2"/>
  <c r="F1064" i="2"/>
  <c r="K1064" i="2" s="1"/>
  <c r="J1064" i="2" l="1"/>
  <c r="M1064" i="2" s="1"/>
  <c r="N1064" i="2" s="1"/>
  <c r="H1064" i="2"/>
  <c r="I1064" i="2" s="1"/>
  <c r="B1065" i="2" l="1"/>
  <c r="C1065" i="2"/>
  <c r="G1065" i="2" l="1"/>
  <c r="F1065" i="2"/>
  <c r="K1065" i="2" s="1"/>
  <c r="L1065" i="2"/>
  <c r="J1065" i="2" l="1"/>
  <c r="M1065" i="2" s="1"/>
  <c r="N1065" i="2" s="1"/>
  <c r="H1065" i="2"/>
  <c r="I1065" i="2" s="1"/>
  <c r="C1066" i="2" l="1"/>
  <c r="B1066" i="2"/>
  <c r="F1066" i="2" l="1"/>
  <c r="K1066" i="2" s="1"/>
  <c r="L1066" i="2"/>
  <c r="G1066" i="2"/>
  <c r="J1066" i="2" l="1"/>
  <c r="M1066" i="2" s="1"/>
  <c r="N1066" i="2" s="1"/>
  <c r="H1066" i="2"/>
  <c r="I1066" i="2" s="1"/>
  <c r="B1067" i="2" l="1"/>
  <c r="C1067" i="2"/>
  <c r="F1067" i="2" l="1"/>
  <c r="K1067" i="2" s="1"/>
  <c r="G1067" i="2"/>
  <c r="L1067" i="2"/>
  <c r="J1067" i="2" l="1"/>
  <c r="M1067" i="2" s="1"/>
  <c r="N1067" i="2" s="1"/>
  <c r="H1067" i="2"/>
  <c r="I1067" i="2" s="1"/>
  <c r="C1068" i="2" l="1"/>
  <c r="B1068" i="2"/>
  <c r="G1068" i="2" l="1"/>
  <c r="F1068" i="2"/>
  <c r="K1068" i="2" s="1"/>
  <c r="L1068" i="2"/>
  <c r="J1068" i="2" l="1"/>
  <c r="M1068" i="2" s="1"/>
  <c r="N1068" i="2" s="1"/>
  <c r="H1068" i="2"/>
  <c r="I1068" i="2" s="1"/>
  <c r="B1069" i="2" l="1"/>
  <c r="C1069" i="2"/>
  <c r="F1069" i="2" l="1"/>
  <c r="K1069" i="2" s="1"/>
  <c r="G1069" i="2"/>
  <c r="L1069" i="2"/>
  <c r="J1069" i="2" l="1"/>
  <c r="M1069" i="2" s="1"/>
  <c r="N1069" i="2" s="1"/>
  <c r="H1069" i="2"/>
  <c r="I1069" i="2" s="1"/>
  <c r="B1070" i="2" l="1"/>
  <c r="C1070" i="2"/>
  <c r="G1070" i="2" l="1"/>
  <c r="L1070" i="2"/>
  <c r="F1070" i="2"/>
  <c r="K1070" i="2" s="1"/>
  <c r="J1070" i="2" l="1"/>
  <c r="M1070" i="2" s="1"/>
  <c r="N1070" i="2" s="1"/>
  <c r="H1070" i="2"/>
  <c r="I1070" i="2" s="1"/>
  <c r="C1071" i="2" l="1"/>
  <c r="B1071" i="2"/>
  <c r="L1071" i="2" l="1"/>
  <c r="F1071" i="2"/>
  <c r="K1071" i="2" s="1"/>
  <c r="G1071" i="2"/>
  <c r="H1071" i="2" l="1"/>
  <c r="I1071" i="2" s="1"/>
  <c r="J1071" i="2"/>
  <c r="M1071" i="2" s="1"/>
  <c r="N1071" i="2" s="1"/>
  <c r="B1072" i="2" l="1"/>
  <c r="C1072" i="2"/>
  <c r="F1072" i="2" l="1"/>
  <c r="K1072" i="2" s="1"/>
  <c r="L1072" i="2"/>
  <c r="G1072" i="2"/>
  <c r="J1072" i="2" l="1"/>
  <c r="M1072" i="2" s="1"/>
  <c r="N1072" i="2" s="1"/>
  <c r="H1072" i="2"/>
  <c r="I1072" i="2" s="1"/>
  <c r="B1073" i="2" l="1"/>
  <c r="C1073" i="2"/>
  <c r="L1073" i="2" l="1"/>
  <c r="F1073" i="2"/>
  <c r="K1073" i="2" s="1"/>
  <c r="G1073" i="2"/>
  <c r="J1073" i="2" l="1"/>
  <c r="M1073" i="2" s="1"/>
  <c r="N1073" i="2" s="1"/>
  <c r="H1073" i="2"/>
  <c r="I1073" i="2" s="1"/>
  <c r="B1074" i="2" l="1"/>
  <c r="C1074" i="2"/>
  <c r="G1074" i="2" l="1"/>
  <c r="L1074" i="2"/>
  <c r="F1074" i="2"/>
  <c r="K1074" i="2" s="1"/>
  <c r="J1074" i="2" l="1"/>
  <c r="M1074" i="2" s="1"/>
  <c r="N1074" i="2" s="1"/>
  <c r="H1074" i="2"/>
  <c r="I1074" i="2" s="1"/>
  <c r="B1075" i="2" l="1"/>
  <c r="C1075" i="2"/>
  <c r="L1075" i="2" l="1"/>
  <c r="F1075" i="2"/>
  <c r="K1075" i="2" s="1"/>
  <c r="G1075" i="2"/>
  <c r="J1075" i="2" l="1"/>
  <c r="M1075" i="2" s="1"/>
  <c r="N1075" i="2" s="1"/>
  <c r="H1075" i="2"/>
  <c r="I1075" i="2" s="1"/>
  <c r="C1076" i="2" l="1"/>
  <c r="B1076" i="2"/>
  <c r="L1076" i="2" l="1"/>
  <c r="G1076" i="2"/>
  <c r="F1076" i="2"/>
  <c r="K1076" i="2" s="1"/>
  <c r="H1076" i="2" l="1"/>
  <c r="I1076" i="2" s="1"/>
  <c r="J1076" i="2"/>
  <c r="M1076" i="2" s="1"/>
  <c r="N1076" i="2" s="1"/>
  <c r="B1077" i="2" l="1"/>
  <c r="C1077" i="2"/>
  <c r="F1077" i="2" l="1"/>
  <c r="K1077" i="2" s="1"/>
  <c r="L1077" i="2"/>
  <c r="G1077" i="2"/>
  <c r="J1077" i="2" l="1"/>
  <c r="M1077" i="2" s="1"/>
  <c r="N1077" i="2" s="1"/>
  <c r="H1077" i="2"/>
  <c r="I1077" i="2" s="1"/>
  <c r="C1078" i="2" l="1"/>
  <c r="B1078" i="2"/>
  <c r="L1078" i="2" l="1"/>
  <c r="F1078" i="2"/>
  <c r="K1078" i="2" s="1"/>
  <c r="G1078" i="2"/>
  <c r="H1078" i="2" l="1"/>
  <c r="I1078" i="2" s="1"/>
  <c r="J1078" i="2"/>
  <c r="M1078" i="2" s="1"/>
  <c r="N1078" i="2" s="1"/>
  <c r="C1079" i="2" l="1"/>
  <c r="B1079" i="2"/>
  <c r="F1079" i="2" l="1"/>
  <c r="K1079" i="2" s="1"/>
  <c r="G1079" i="2"/>
  <c r="L1079" i="2"/>
  <c r="H1079" i="2" l="1"/>
  <c r="I1079" i="2" s="1"/>
  <c r="J1079" i="2"/>
  <c r="M1079" i="2" s="1"/>
  <c r="N1079" i="2" s="1"/>
  <c r="B1080" i="2" l="1"/>
  <c r="C1080" i="2"/>
  <c r="G1080" i="2" l="1"/>
  <c r="F1080" i="2"/>
  <c r="K1080" i="2" s="1"/>
  <c r="L1080" i="2"/>
  <c r="J1080" i="2" l="1"/>
  <c r="M1080" i="2" s="1"/>
  <c r="N1080" i="2" s="1"/>
  <c r="H1080" i="2"/>
  <c r="I1080" i="2" s="1"/>
  <c r="B1081" i="2" l="1"/>
  <c r="C1081" i="2"/>
  <c r="L1081" i="2" l="1"/>
  <c r="F1081" i="2"/>
  <c r="K1081" i="2" s="1"/>
  <c r="G1081" i="2"/>
  <c r="H1081" i="2" l="1"/>
  <c r="I1081" i="2" s="1"/>
  <c r="J1081" i="2"/>
  <c r="M1081" i="2" s="1"/>
  <c r="N1081" i="2" s="1"/>
  <c r="B1082" i="2" l="1"/>
  <c r="C1082" i="2"/>
  <c r="F1082" i="2" l="1"/>
  <c r="K1082" i="2" s="1"/>
  <c r="L1082" i="2"/>
  <c r="G1082" i="2"/>
  <c r="H1082" i="2" l="1"/>
  <c r="I1082" i="2" s="1"/>
  <c r="J1082" i="2"/>
  <c r="M1082" i="2" s="1"/>
  <c r="N1082" i="2" s="1"/>
  <c r="B1083" i="2" l="1"/>
  <c r="C1083" i="2"/>
  <c r="G1083" i="2" l="1"/>
  <c r="L1083" i="2"/>
  <c r="F1083" i="2"/>
  <c r="K1083" i="2" s="1"/>
  <c r="J1083" i="2" l="1"/>
  <c r="M1083" i="2" s="1"/>
  <c r="N1083" i="2" s="1"/>
  <c r="H1083" i="2"/>
  <c r="I1083" i="2" s="1"/>
  <c r="C1084" i="2" l="1"/>
  <c r="B1084" i="2"/>
  <c r="L1084" i="2" l="1"/>
  <c r="G1084" i="2"/>
  <c r="F1084" i="2"/>
  <c r="K1084" i="2" s="1"/>
  <c r="J1084" i="2" l="1"/>
  <c r="M1084" i="2" s="1"/>
  <c r="N1084" i="2" s="1"/>
  <c r="H1084" i="2"/>
  <c r="I1084" i="2" s="1"/>
  <c r="C1085" i="2" l="1"/>
  <c r="B1085" i="2"/>
  <c r="G1085" i="2" l="1"/>
  <c r="L1085" i="2"/>
  <c r="F1085" i="2"/>
  <c r="K1085" i="2" s="1"/>
  <c r="J1085" i="2" l="1"/>
  <c r="M1085" i="2" s="1"/>
  <c r="N1085" i="2" s="1"/>
  <c r="H1085" i="2"/>
  <c r="I1085" i="2" s="1"/>
  <c r="C1086" i="2" l="1"/>
  <c r="B1086" i="2"/>
  <c r="G1086" i="2" l="1"/>
  <c r="F1086" i="2"/>
  <c r="K1086" i="2" s="1"/>
  <c r="L1086" i="2"/>
  <c r="H1086" i="2" l="1"/>
  <c r="I1086" i="2" s="1"/>
  <c r="J1086" i="2"/>
  <c r="M1086" i="2" s="1"/>
  <c r="N1086" i="2" s="1"/>
  <c r="C1087" i="2" l="1"/>
  <c r="B1087" i="2"/>
  <c r="F1087" i="2" l="1"/>
  <c r="K1087" i="2" s="1"/>
  <c r="L1087" i="2"/>
  <c r="G1087" i="2"/>
  <c r="H1087" i="2" l="1"/>
  <c r="I1087" i="2" s="1"/>
  <c r="J1087" i="2"/>
  <c r="M1087" i="2" s="1"/>
  <c r="N1087" i="2" s="1"/>
  <c r="B1088" i="2" l="1"/>
  <c r="C1088" i="2"/>
  <c r="F1088" i="2" l="1"/>
  <c r="K1088" i="2" s="1"/>
  <c r="G1088" i="2"/>
  <c r="L1088" i="2"/>
  <c r="J1088" i="2" l="1"/>
  <c r="M1088" i="2" s="1"/>
  <c r="N1088" i="2" s="1"/>
  <c r="H1088" i="2"/>
  <c r="I1088" i="2" s="1"/>
  <c r="C1089" i="2" l="1"/>
  <c r="B1089" i="2"/>
  <c r="F1089" i="2" l="1"/>
  <c r="K1089" i="2" s="1"/>
  <c r="G1089" i="2"/>
  <c r="L1089" i="2"/>
  <c r="H1089" i="2" l="1"/>
  <c r="I1089" i="2" s="1"/>
  <c r="J1089" i="2"/>
  <c r="M1089" i="2" s="1"/>
  <c r="N1089" i="2" s="1"/>
  <c r="B1090" i="2" l="1"/>
  <c r="C1090" i="2"/>
  <c r="L1090" i="2" l="1"/>
  <c r="F1090" i="2"/>
  <c r="K1090" i="2" s="1"/>
  <c r="G1090" i="2"/>
  <c r="J1090" i="2" l="1"/>
  <c r="M1090" i="2" s="1"/>
  <c r="N1090" i="2" s="1"/>
  <c r="H1090" i="2"/>
  <c r="I1090" i="2" s="1"/>
  <c r="B1091" i="2" l="1"/>
  <c r="C1091" i="2"/>
  <c r="F1091" i="2" l="1"/>
  <c r="K1091" i="2" s="1"/>
  <c r="L1091" i="2"/>
  <c r="G1091" i="2"/>
  <c r="H1091" i="2" l="1"/>
  <c r="I1091" i="2" s="1"/>
  <c r="J1091" i="2"/>
  <c r="M1091" i="2" s="1"/>
  <c r="N1091" i="2" s="1"/>
  <c r="B1092" i="2" l="1"/>
  <c r="C1092" i="2"/>
  <c r="F1092" i="2" l="1"/>
  <c r="K1092" i="2" s="1"/>
  <c r="L1092" i="2"/>
  <c r="G1092" i="2"/>
  <c r="J1092" i="2" l="1"/>
  <c r="M1092" i="2" s="1"/>
  <c r="N1092" i="2" s="1"/>
  <c r="H1092" i="2"/>
  <c r="I1092" i="2" s="1"/>
  <c r="B1093" i="2" l="1"/>
  <c r="C1093" i="2"/>
  <c r="L1093" i="2" l="1"/>
  <c r="G1093" i="2"/>
  <c r="F1093" i="2"/>
  <c r="K1093" i="2" s="1"/>
  <c r="H1093" i="2" l="1"/>
  <c r="I1093" i="2" s="1"/>
  <c r="J1093" i="2"/>
  <c r="M1093" i="2" s="1"/>
  <c r="N1093" i="2" s="1"/>
  <c r="C1094" i="2" l="1"/>
  <c r="B1094" i="2"/>
  <c r="G1094" i="2" l="1"/>
  <c r="L1094" i="2"/>
  <c r="F1094" i="2"/>
  <c r="K1094" i="2" s="1"/>
  <c r="H1094" i="2" l="1"/>
  <c r="I1094" i="2" s="1"/>
  <c r="J1094" i="2"/>
  <c r="M1094" i="2" s="1"/>
  <c r="N1094" i="2" s="1"/>
  <c r="B1095" i="2" l="1"/>
  <c r="C1095" i="2"/>
  <c r="F1095" i="2" l="1"/>
  <c r="K1095" i="2" s="1"/>
  <c r="L1095" i="2"/>
  <c r="G1095" i="2"/>
  <c r="H1095" i="2" l="1"/>
  <c r="I1095" i="2" s="1"/>
  <c r="J1095" i="2"/>
  <c r="M1095" i="2" s="1"/>
  <c r="N1095" i="2" s="1"/>
  <c r="C1096" i="2" l="1"/>
  <c r="B1096" i="2"/>
  <c r="F1096" i="2" l="1"/>
  <c r="K1096" i="2" s="1"/>
  <c r="G1096" i="2"/>
  <c r="L1096" i="2"/>
  <c r="J1096" i="2" l="1"/>
  <c r="M1096" i="2" s="1"/>
  <c r="N1096" i="2" s="1"/>
  <c r="H1096" i="2"/>
  <c r="I1096" i="2" s="1"/>
  <c r="C1097" i="2" l="1"/>
  <c r="B1097" i="2"/>
  <c r="L1097" i="2" l="1"/>
  <c r="G1097" i="2"/>
  <c r="F1097" i="2"/>
  <c r="K1097" i="2" s="1"/>
  <c r="H1097" i="2" l="1"/>
  <c r="I1097" i="2" s="1"/>
  <c r="J1097" i="2"/>
  <c r="M1097" i="2" s="1"/>
  <c r="N1097" i="2" s="1"/>
  <c r="C1098" i="2" l="1"/>
  <c r="B1098" i="2"/>
  <c r="G1098" i="2" l="1"/>
  <c r="L1098" i="2"/>
  <c r="F1098" i="2"/>
  <c r="K1098" i="2" s="1"/>
  <c r="J1098" i="2" l="1"/>
  <c r="M1098" i="2" s="1"/>
  <c r="N1098" i="2" s="1"/>
  <c r="H1098" i="2"/>
  <c r="I1098" i="2" s="1"/>
  <c r="C1099" i="2" l="1"/>
  <c r="B1099" i="2"/>
  <c r="G1099" i="2" l="1"/>
  <c r="L1099" i="2"/>
  <c r="F1099" i="2"/>
  <c r="K1099" i="2" s="1"/>
  <c r="H1099" i="2" l="1"/>
  <c r="I1099" i="2" s="1"/>
  <c r="J1099" i="2"/>
  <c r="M1099" i="2" s="1"/>
  <c r="N1099" i="2" s="1"/>
  <c r="C1100" i="2" l="1"/>
  <c r="B1100" i="2"/>
  <c r="L1100" i="2" l="1"/>
  <c r="G1100" i="2"/>
  <c r="F1100" i="2"/>
  <c r="K1100" i="2" s="1"/>
  <c r="H1100" i="2" l="1"/>
  <c r="I1100" i="2" s="1"/>
  <c r="J1100" i="2"/>
  <c r="M1100" i="2" s="1"/>
  <c r="N1100" i="2" s="1"/>
  <c r="B1101" i="2" l="1"/>
  <c r="C1101" i="2"/>
  <c r="F1101" i="2" l="1"/>
  <c r="K1101" i="2" s="1"/>
  <c r="L1101" i="2"/>
  <c r="G1101" i="2"/>
  <c r="J1101" i="2" l="1"/>
  <c r="M1101" i="2" s="1"/>
  <c r="N1101" i="2" s="1"/>
  <c r="H1101" i="2"/>
  <c r="I1101" i="2" s="1"/>
  <c r="C1102" i="2" l="1"/>
  <c r="B1102" i="2"/>
  <c r="F1102" i="2" l="1"/>
  <c r="K1102" i="2" s="1"/>
  <c r="G1102" i="2"/>
  <c r="L1102" i="2"/>
  <c r="J1102" i="2" l="1"/>
  <c r="M1102" i="2" s="1"/>
  <c r="N1102" i="2" s="1"/>
  <c r="H1102" i="2"/>
  <c r="I1102" i="2" s="1"/>
  <c r="B1103" i="2" l="1"/>
  <c r="C1103" i="2"/>
  <c r="F1103" i="2" l="1"/>
  <c r="K1103" i="2" s="1"/>
  <c r="G1103" i="2"/>
  <c r="L1103" i="2"/>
  <c r="H1103" i="2" l="1"/>
  <c r="I1103" i="2" s="1"/>
  <c r="J1103" i="2"/>
  <c r="M1103" i="2" s="1"/>
  <c r="N1103" i="2" s="1"/>
  <c r="C1104" i="2" l="1"/>
  <c r="B1104" i="2"/>
  <c r="G1104" i="2" l="1"/>
  <c r="L1104" i="2"/>
  <c r="F1104" i="2"/>
  <c r="K1104" i="2" s="1"/>
  <c r="J1104" i="2" l="1"/>
  <c r="M1104" i="2" s="1"/>
  <c r="N1104" i="2" s="1"/>
  <c r="H1104" i="2"/>
  <c r="I1104" i="2" s="1"/>
  <c r="C1105" i="2" l="1"/>
  <c r="B1105" i="2"/>
  <c r="F1105" i="2" l="1"/>
  <c r="K1105" i="2" s="1"/>
  <c r="L1105" i="2"/>
  <c r="G1105" i="2"/>
  <c r="J1105" i="2" l="1"/>
  <c r="M1105" i="2" s="1"/>
  <c r="N1105" i="2" s="1"/>
  <c r="H1105" i="2"/>
  <c r="I1105" i="2" s="1"/>
  <c r="C1106" i="2" l="1"/>
  <c r="B1106" i="2"/>
  <c r="L1106" i="2" l="1"/>
  <c r="G1106" i="2"/>
  <c r="F1106" i="2"/>
  <c r="K1106" i="2" s="1"/>
  <c r="J1106" i="2" l="1"/>
  <c r="M1106" i="2" s="1"/>
  <c r="N1106" i="2" s="1"/>
  <c r="H1106" i="2"/>
  <c r="I1106" i="2" s="1"/>
  <c r="B1107" i="2" l="1"/>
  <c r="C1107" i="2"/>
  <c r="L1107" i="2" l="1"/>
  <c r="F1107" i="2"/>
  <c r="K1107" i="2" s="1"/>
  <c r="G1107" i="2"/>
  <c r="J1107" i="2" l="1"/>
  <c r="M1107" i="2" s="1"/>
  <c r="N1107" i="2" s="1"/>
  <c r="H1107" i="2"/>
  <c r="I1107" i="2" s="1"/>
  <c r="B1108" i="2" l="1"/>
  <c r="C1108" i="2"/>
  <c r="G1108" i="2" l="1"/>
  <c r="F1108" i="2"/>
  <c r="K1108" i="2" s="1"/>
  <c r="L1108" i="2"/>
  <c r="H1108" i="2" l="1"/>
  <c r="I1108" i="2" s="1"/>
  <c r="J1108" i="2"/>
  <c r="M1108" i="2" s="1"/>
  <c r="N1108" i="2" s="1"/>
  <c r="C1109" i="2" l="1"/>
  <c r="B1109" i="2"/>
  <c r="F1109" i="2" l="1"/>
  <c r="K1109" i="2" s="1"/>
  <c r="G1109" i="2"/>
  <c r="L1109" i="2"/>
  <c r="J1109" i="2" l="1"/>
  <c r="M1109" i="2" s="1"/>
  <c r="N1109" i="2" s="1"/>
  <c r="H1109" i="2"/>
  <c r="I1109" i="2" s="1"/>
  <c r="C1110" i="2" l="1"/>
  <c r="B1110" i="2"/>
  <c r="G1110" i="2" l="1"/>
  <c r="F1110" i="2"/>
  <c r="K1110" i="2" s="1"/>
  <c r="L1110" i="2"/>
  <c r="J1110" i="2" l="1"/>
  <c r="M1110" i="2" s="1"/>
  <c r="N1110" i="2" s="1"/>
  <c r="H1110" i="2"/>
  <c r="I1110" i="2" s="1"/>
  <c r="C1111" i="2" l="1"/>
  <c r="B1111" i="2"/>
  <c r="F1111" i="2" l="1"/>
  <c r="K1111" i="2" s="1"/>
  <c r="L1111" i="2"/>
  <c r="G1111" i="2"/>
  <c r="H1111" i="2" l="1"/>
  <c r="I1111" i="2" s="1"/>
  <c r="J1111" i="2"/>
  <c r="M1111" i="2" s="1"/>
  <c r="N1111" i="2" s="1"/>
  <c r="C1112" i="2" l="1"/>
  <c r="B1112" i="2"/>
  <c r="L1112" i="2" l="1"/>
  <c r="G1112" i="2"/>
  <c r="F1112" i="2"/>
  <c r="K1112" i="2" s="1"/>
  <c r="J1112" i="2" l="1"/>
  <c r="M1112" i="2" s="1"/>
  <c r="N1112" i="2" s="1"/>
  <c r="H1112" i="2"/>
  <c r="I1112" i="2" s="1"/>
  <c r="B1113" i="2" l="1"/>
  <c r="C1113" i="2"/>
  <c r="F1113" i="2" l="1"/>
  <c r="K1113" i="2" s="1"/>
  <c r="L1113" i="2"/>
  <c r="G1113" i="2"/>
  <c r="H1113" i="2" l="1"/>
  <c r="I1113" i="2" s="1"/>
  <c r="J1113" i="2"/>
  <c r="M1113" i="2" s="1"/>
  <c r="N1113" i="2" s="1"/>
  <c r="B1114" i="2" l="1"/>
  <c r="C1114" i="2"/>
  <c r="F1114" i="2" l="1"/>
  <c r="K1114" i="2" s="1"/>
  <c r="L1114" i="2"/>
  <c r="G1114" i="2"/>
  <c r="J1114" i="2" l="1"/>
  <c r="M1114" i="2" s="1"/>
  <c r="N1114" i="2" s="1"/>
  <c r="H1114" i="2"/>
  <c r="I1114" i="2" s="1"/>
  <c r="C1115" i="2" l="1"/>
  <c r="B1115" i="2"/>
  <c r="L1115" i="2" l="1"/>
  <c r="G1115" i="2"/>
  <c r="F1115" i="2"/>
  <c r="K1115" i="2" s="1"/>
  <c r="H1115" i="2" l="1"/>
  <c r="I1115" i="2" s="1"/>
  <c r="J1115" i="2"/>
  <c r="M1115" i="2" s="1"/>
  <c r="N1115" i="2" s="1"/>
  <c r="C1116" i="2" l="1"/>
  <c r="B1116" i="2"/>
  <c r="G1116" i="2" l="1"/>
  <c r="L1116" i="2"/>
  <c r="F1116" i="2"/>
  <c r="K1116" i="2" s="1"/>
  <c r="H1116" i="2" l="1"/>
  <c r="I1116" i="2" s="1"/>
  <c r="J1116" i="2"/>
  <c r="M1116" i="2" s="1"/>
  <c r="N1116" i="2" s="1"/>
  <c r="B1117" i="2" l="1"/>
  <c r="C1117" i="2"/>
  <c r="L1117" i="2" l="1"/>
  <c r="G1117" i="2"/>
  <c r="F1117" i="2"/>
  <c r="K1117" i="2" s="1"/>
  <c r="J1117" i="2" l="1"/>
  <c r="M1117" i="2" s="1"/>
  <c r="N1117" i="2" s="1"/>
  <c r="H1117" i="2"/>
  <c r="I1117" i="2" s="1"/>
  <c r="C1118" i="2" l="1"/>
  <c r="B1118" i="2"/>
  <c r="F1118" i="2" l="1"/>
  <c r="K1118" i="2" s="1"/>
  <c r="L1118" i="2"/>
  <c r="G1118" i="2"/>
  <c r="J1118" i="2" l="1"/>
  <c r="M1118" i="2" s="1"/>
  <c r="N1118" i="2" s="1"/>
  <c r="H1118" i="2"/>
  <c r="I1118" i="2" s="1"/>
  <c r="B1119" i="2" l="1"/>
  <c r="C1119" i="2"/>
  <c r="F1119" i="2" l="1"/>
  <c r="K1119" i="2" s="1"/>
  <c r="G1119" i="2"/>
  <c r="L1119" i="2"/>
  <c r="H1119" i="2" l="1"/>
  <c r="I1119" i="2" s="1"/>
  <c r="J1119" i="2"/>
  <c r="M1119" i="2" s="1"/>
  <c r="N1119" i="2" s="1"/>
  <c r="C1120" i="2" l="1"/>
  <c r="B1120" i="2"/>
  <c r="F1120" i="2" l="1"/>
  <c r="K1120" i="2" s="1"/>
  <c r="L1120" i="2"/>
  <c r="G1120" i="2"/>
  <c r="J1120" i="2" l="1"/>
  <c r="M1120" i="2" s="1"/>
  <c r="N1120" i="2" s="1"/>
  <c r="H1120" i="2"/>
  <c r="I1120" i="2" s="1"/>
  <c r="C1121" i="2" l="1"/>
  <c r="B1121" i="2"/>
  <c r="G1121" i="2" l="1"/>
  <c r="L1121" i="2"/>
  <c r="F1121" i="2"/>
  <c r="K1121" i="2" s="1"/>
  <c r="J1121" i="2" l="1"/>
  <c r="M1121" i="2" s="1"/>
  <c r="N1121" i="2" s="1"/>
  <c r="H1121" i="2"/>
  <c r="I1121" i="2" s="1"/>
  <c r="C1122" i="2" l="1"/>
  <c r="B1122" i="2"/>
  <c r="F1122" i="2" l="1"/>
  <c r="K1122" i="2" s="1"/>
  <c r="L1122" i="2"/>
  <c r="G1122" i="2"/>
  <c r="H1122" i="2" l="1"/>
  <c r="I1122" i="2" s="1"/>
  <c r="J1122" i="2"/>
  <c r="M1122" i="2" s="1"/>
  <c r="N1122" i="2" s="1"/>
  <c r="B1123" i="2" l="1"/>
  <c r="C1123" i="2"/>
  <c r="L1123" i="2" l="1"/>
  <c r="F1123" i="2"/>
  <c r="K1123" i="2" s="1"/>
  <c r="G1123" i="2"/>
  <c r="J1123" i="2" l="1"/>
  <c r="M1123" i="2" s="1"/>
  <c r="N1123" i="2" s="1"/>
  <c r="H1123" i="2"/>
  <c r="I1123" i="2" s="1"/>
  <c r="B1124" i="2" l="1"/>
  <c r="C1124" i="2"/>
  <c r="L1124" i="2" l="1"/>
  <c r="G1124" i="2"/>
  <c r="F1124" i="2"/>
  <c r="K1124" i="2" s="1"/>
  <c r="H1124" i="2" l="1"/>
  <c r="I1124" i="2" s="1"/>
  <c r="J1124" i="2"/>
  <c r="M1124" i="2" s="1"/>
  <c r="N1124" i="2" s="1"/>
  <c r="C1125" i="2" l="1"/>
  <c r="B1125" i="2"/>
  <c r="F1125" i="2" l="1"/>
  <c r="K1125" i="2" s="1"/>
  <c r="G1125" i="2"/>
  <c r="L1125" i="2"/>
  <c r="H1125" i="2" l="1"/>
  <c r="I1125" i="2" s="1"/>
  <c r="J1125" i="2"/>
  <c r="M1125" i="2" s="1"/>
  <c r="N1125" i="2" s="1"/>
  <c r="C1126" i="2" l="1"/>
  <c r="B1126" i="2"/>
  <c r="F1126" i="2" l="1"/>
  <c r="K1126" i="2" s="1"/>
  <c r="L1126" i="2"/>
  <c r="G1126" i="2"/>
  <c r="H1126" i="2" l="1"/>
  <c r="I1126" i="2" s="1"/>
  <c r="J1126" i="2"/>
  <c r="M1126" i="2" s="1"/>
  <c r="N1126" i="2" s="1"/>
  <c r="B1127" i="2" l="1"/>
  <c r="C1127" i="2"/>
  <c r="G1127" i="2" l="1"/>
  <c r="F1127" i="2"/>
  <c r="K1127" i="2" s="1"/>
  <c r="L1127" i="2"/>
  <c r="J1127" i="2" l="1"/>
  <c r="M1127" i="2" s="1"/>
  <c r="N1127" i="2" s="1"/>
  <c r="H1127" i="2"/>
  <c r="I1127" i="2" s="1"/>
  <c r="C1128" i="2" l="1"/>
  <c r="B1128" i="2"/>
  <c r="F1128" i="2" l="1"/>
  <c r="K1128" i="2" s="1"/>
  <c r="G1128" i="2"/>
  <c r="L1128" i="2"/>
  <c r="J1128" i="2" l="1"/>
  <c r="M1128" i="2" s="1"/>
  <c r="N1128" i="2" s="1"/>
  <c r="H1128" i="2"/>
  <c r="I1128" i="2" s="1"/>
  <c r="B1129" i="2" l="1"/>
  <c r="C1129" i="2"/>
  <c r="L1129" i="2" l="1"/>
  <c r="G1129" i="2"/>
  <c r="F1129" i="2"/>
  <c r="K1129" i="2" s="1"/>
  <c r="H1129" i="2" l="1"/>
  <c r="I1129" i="2" s="1"/>
  <c r="J1129" i="2"/>
  <c r="M1129" i="2" s="1"/>
  <c r="N1129" i="2" s="1"/>
  <c r="C1130" i="2" l="1"/>
  <c r="B1130" i="2"/>
  <c r="G1130" i="2" l="1"/>
  <c r="L1130" i="2"/>
  <c r="F1130" i="2"/>
  <c r="K1130" i="2" s="1"/>
  <c r="H1130" i="2" l="1"/>
  <c r="I1130" i="2" s="1"/>
  <c r="J1130" i="2"/>
  <c r="M1130" i="2" s="1"/>
  <c r="N1130" i="2" s="1"/>
  <c r="B1131" i="2" l="1"/>
  <c r="C1131" i="2"/>
  <c r="F1131" i="2" l="1"/>
  <c r="K1131" i="2" s="1"/>
  <c r="L1131" i="2"/>
  <c r="G1131" i="2"/>
  <c r="J1131" i="2" l="1"/>
  <c r="M1131" i="2" s="1"/>
  <c r="N1131" i="2" s="1"/>
  <c r="H1131" i="2"/>
  <c r="I1131" i="2" s="1"/>
  <c r="B1132" i="2" l="1"/>
  <c r="C1132" i="2"/>
  <c r="G1132" i="2" l="1"/>
  <c r="L1132" i="2"/>
  <c r="F1132" i="2"/>
  <c r="K1132" i="2" s="1"/>
  <c r="H1132" i="2" l="1"/>
  <c r="J1132" i="2"/>
  <c r="M1132" i="2" s="1"/>
  <c r="N1132" i="2" s="1"/>
  <c r="I1132" i="2"/>
  <c r="C1133" i="2" l="1"/>
  <c r="B1133" i="2"/>
  <c r="L1133" i="2" l="1"/>
  <c r="F1133" i="2"/>
  <c r="K1133" i="2" s="1"/>
  <c r="G1133" i="2"/>
  <c r="J1133" i="2" l="1"/>
  <c r="M1133" i="2" s="1"/>
  <c r="N1133" i="2" s="1"/>
  <c r="H1133" i="2"/>
  <c r="I1133" i="2" s="1"/>
  <c r="C1134" i="2" l="1"/>
  <c r="B1134" i="2"/>
  <c r="F1134" i="2" l="1"/>
  <c r="K1134" i="2" s="1"/>
  <c r="G1134" i="2"/>
  <c r="L1134" i="2"/>
  <c r="H1134" i="2" l="1"/>
  <c r="I1134" i="2" s="1"/>
  <c r="J1134" i="2"/>
  <c r="M1134" i="2" s="1"/>
  <c r="N1134" i="2" s="1"/>
  <c r="B1135" i="2" l="1"/>
  <c r="C1135" i="2"/>
  <c r="L1135" i="2" l="1"/>
  <c r="G1135" i="2"/>
  <c r="F1135" i="2"/>
  <c r="K1135" i="2" s="1"/>
  <c r="J1135" i="2" l="1"/>
  <c r="M1135" i="2" s="1"/>
  <c r="N1135" i="2" s="1"/>
  <c r="H1135" i="2"/>
  <c r="I1135" i="2" s="1"/>
  <c r="C1136" i="2" l="1"/>
  <c r="B1136" i="2"/>
  <c r="L1136" i="2" l="1"/>
  <c r="F1136" i="2"/>
  <c r="K1136" i="2" s="1"/>
  <c r="G1136" i="2"/>
  <c r="J1136" i="2" l="1"/>
  <c r="M1136" i="2" s="1"/>
  <c r="N1136" i="2" s="1"/>
  <c r="H1136" i="2"/>
  <c r="I1136" i="2" s="1"/>
  <c r="B1137" i="2" l="1"/>
  <c r="C1137" i="2"/>
  <c r="G1137" i="2" l="1"/>
  <c r="L1137" i="2"/>
  <c r="F1137" i="2"/>
  <c r="K1137" i="2" s="1"/>
  <c r="J1137" i="2" l="1"/>
  <c r="M1137" i="2" s="1"/>
  <c r="N1137" i="2" s="1"/>
  <c r="H1137" i="2"/>
  <c r="I1137" i="2" s="1"/>
  <c r="B1138" i="2" l="1"/>
  <c r="C1138" i="2"/>
  <c r="F1138" i="2" l="1"/>
  <c r="K1138" i="2" s="1"/>
  <c r="G1138" i="2"/>
  <c r="L1138" i="2"/>
  <c r="H1138" i="2" l="1"/>
  <c r="I1138" i="2" s="1"/>
  <c r="J1138" i="2"/>
  <c r="M1138" i="2" s="1"/>
  <c r="N1138" i="2" s="1"/>
  <c r="B1139" i="2" l="1"/>
  <c r="C1139" i="2"/>
  <c r="L1139" i="2" l="1"/>
  <c r="G1139" i="2"/>
  <c r="F1139" i="2"/>
  <c r="K1139" i="2" s="1"/>
  <c r="H1139" i="2" l="1"/>
  <c r="I1139" i="2" s="1"/>
  <c r="J1139" i="2"/>
  <c r="M1139" i="2" s="1"/>
  <c r="N1139" i="2" s="1"/>
  <c r="B1140" i="2" l="1"/>
  <c r="C1140" i="2"/>
  <c r="F1140" i="2" l="1"/>
  <c r="K1140" i="2" s="1"/>
  <c r="L1140" i="2"/>
  <c r="G1140" i="2"/>
  <c r="J1140" i="2" l="1"/>
  <c r="M1140" i="2" s="1"/>
  <c r="N1140" i="2" s="1"/>
  <c r="H1140" i="2"/>
  <c r="I1140" i="2" s="1"/>
  <c r="B1141" i="2" l="1"/>
  <c r="C1141" i="2"/>
  <c r="L1141" i="2" l="1"/>
  <c r="G1141" i="2"/>
  <c r="F1141" i="2"/>
  <c r="K1141" i="2" s="1"/>
  <c r="J1141" i="2" l="1"/>
  <c r="M1141" i="2" s="1"/>
  <c r="N1141" i="2" s="1"/>
  <c r="H1141" i="2"/>
  <c r="I1141" i="2" s="1"/>
  <c r="C1142" i="2" l="1"/>
  <c r="B1142" i="2"/>
  <c r="L1142" i="2" l="1"/>
  <c r="F1142" i="2"/>
  <c r="K1142" i="2" s="1"/>
  <c r="G1142" i="2"/>
  <c r="J1142" i="2" l="1"/>
  <c r="M1142" i="2" s="1"/>
  <c r="N1142" i="2" s="1"/>
  <c r="H1142" i="2"/>
  <c r="I1142" i="2" s="1"/>
  <c r="B1143" i="2" l="1"/>
  <c r="C1143" i="2"/>
  <c r="L1143" i="2" l="1"/>
  <c r="G1143" i="2"/>
  <c r="F1143" i="2"/>
  <c r="K1143" i="2" s="1"/>
  <c r="H1143" i="2" l="1"/>
  <c r="I1143" i="2" s="1"/>
  <c r="J1143" i="2"/>
  <c r="M1143" i="2" s="1"/>
  <c r="N1143" i="2" s="1"/>
  <c r="B1144" i="2" l="1"/>
  <c r="C1144" i="2"/>
  <c r="F1144" i="2" l="1"/>
  <c r="K1144" i="2" s="1"/>
  <c r="G1144" i="2"/>
  <c r="L1144" i="2"/>
  <c r="J1144" i="2" l="1"/>
  <c r="M1144" i="2" s="1"/>
  <c r="N1144" i="2" s="1"/>
  <c r="H1144" i="2"/>
  <c r="I1144" i="2" s="1"/>
  <c r="B1145" i="2" l="1"/>
  <c r="C1145" i="2"/>
  <c r="G1145" i="2" l="1"/>
  <c r="F1145" i="2"/>
  <c r="K1145" i="2" s="1"/>
  <c r="L1145" i="2"/>
  <c r="H1145" i="2" l="1"/>
  <c r="I1145" i="2" s="1"/>
  <c r="J1145" i="2"/>
  <c r="M1145" i="2" s="1"/>
  <c r="N1145" i="2" s="1"/>
  <c r="B1146" i="2" l="1"/>
  <c r="C1146" i="2"/>
  <c r="G1146" i="2" l="1"/>
  <c r="L1146" i="2"/>
  <c r="F1146" i="2"/>
  <c r="K1146" i="2" s="1"/>
  <c r="H1146" i="2" l="1"/>
  <c r="I1146" i="2" s="1"/>
  <c r="J1146" i="2"/>
  <c r="M1146" i="2" s="1"/>
  <c r="N1146" i="2" s="1"/>
  <c r="B1147" i="2" l="1"/>
  <c r="C1147" i="2"/>
  <c r="F1147" i="2" l="1"/>
  <c r="K1147" i="2" s="1"/>
  <c r="L1147" i="2"/>
  <c r="G1147" i="2"/>
  <c r="J1147" i="2" l="1"/>
  <c r="M1147" i="2" s="1"/>
  <c r="N1147" i="2" s="1"/>
  <c r="H1147" i="2"/>
  <c r="I1147" i="2" s="1"/>
  <c r="B1148" i="2" l="1"/>
  <c r="C1148" i="2"/>
  <c r="G1148" i="2" l="1"/>
  <c r="L1148" i="2"/>
  <c r="F1148" i="2"/>
  <c r="K1148" i="2" s="1"/>
  <c r="H1148" i="2" l="1"/>
  <c r="I1148" i="2" s="1"/>
  <c r="J1148" i="2"/>
  <c r="M1148" i="2" s="1"/>
  <c r="N1148" i="2" s="1"/>
  <c r="B1149" i="2" l="1"/>
  <c r="C1149" i="2"/>
  <c r="F1149" i="2" l="1"/>
  <c r="K1149" i="2" s="1"/>
  <c r="G1149" i="2"/>
  <c r="L1149" i="2"/>
  <c r="J1149" i="2" l="1"/>
  <c r="M1149" i="2" s="1"/>
  <c r="N1149" i="2" s="1"/>
  <c r="H1149" i="2"/>
  <c r="I1149" i="2" s="1"/>
  <c r="C1150" i="2" l="1"/>
  <c r="B1150" i="2"/>
  <c r="F1150" i="2" l="1"/>
  <c r="K1150" i="2" s="1"/>
  <c r="L1150" i="2"/>
  <c r="G1150" i="2"/>
  <c r="J1150" i="2" l="1"/>
  <c r="M1150" i="2" s="1"/>
  <c r="N1150" i="2" s="1"/>
  <c r="H1150" i="2"/>
  <c r="I1150" i="2" s="1"/>
  <c r="B1151" i="2" l="1"/>
  <c r="C1151" i="2"/>
  <c r="G1151" i="2" l="1"/>
  <c r="L1151" i="2"/>
  <c r="F1151" i="2"/>
  <c r="K1151" i="2" s="1"/>
  <c r="H1151" i="2" l="1"/>
  <c r="I1151" i="2" s="1"/>
  <c r="J1151" i="2"/>
  <c r="M1151" i="2" s="1"/>
  <c r="N1151" i="2" s="1"/>
  <c r="B1152" i="2" l="1"/>
  <c r="C1152" i="2"/>
  <c r="L1152" i="2" l="1"/>
  <c r="G1152" i="2"/>
  <c r="F1152" i="2"/>
  <c r="K1152" i="2" s="1"/>
  <c r="J1152" i="2" l="1"/>
  <c r="M1152" i="2" s="1"/>
  <c r="N1152" i="2" s="1"/>
  <c r="H1152" i="2"/>
  <c r="I1152" i="2" s="1"/>
  <c r="B1153" i="2" l="1"/>
  <c r="C1153" i="2"/>
  <c r="G1153" i="2" l="1"/>
  <c r="F1153" i="2"/>
  <c r="K1153" i="2" s="1"/>
  <c r="L1153" i="2"/>
  <c r="J1153" i="2" l="1"/>
  <c r="M1153" i="2" s="1"/>
  <c r="N1153" i="2" s="1"/>
  <c r="H1153" i="2"/>
  <c r="I1153" i="2" s="1"/>
  <c r="B1154" i="2" l="1"/>
  <c r="C1154" i="2"/>
  <c r="G1154" i="2" l="1"/>
  <c r="L1154" i="2"/>
  <c r="F1154" i="2"/>
  <c r="K1154" i="2" s="1"/>
  <c r="J1154" i="2" l="1"/>
  <c r="M1154" i="2" s="1"/>
  <c r="N1154" i="2" s="1"/>
  <c r="H1154" i="2"/>
  <c r="I1154" i="2" s="1"/>
  <c r="B1155" i="2" l="1"/>
  <c r="C1155" i="2"/>
  <c r="F1155" i="2" l="1"/>
  <c r="K1155" i="2" s="1"/>
  <c r="L1155" i="2"/>
  <c r="G1155" i="2"/>
  <c r="H1155" i="2" l="1"/>
  <c r="I1155" i="2" s="1"/>
  <c r="J1155" i="2"/>
  <c r="M1155" i="2" s="1"/>
  <c r="N1155" i="2" s="1"/>
  <c r="B1156" i="2" l="1"/>
  <c r="C1156" i="2"/>
  <c r="L1156" i="2" l="1"/>
  <c r="G1156" i="2"/>
  <c r="F1156" i="2"/>
  <c r="K1156" i="2" s="1"/>
  <c r="H1156" i="2" l="1"/>
  <c r="I1156" i="2" s="1"/>
  <c r="J1156" i="2"/>
  <c r="M1156" i="2" s="1"/>
  <c r="N1156" i="2" s="1"/>
  <c r="B1157" i="2" l="1"/>
  <c r="C1157" i="2"/>
  <c r="F1157" i="2" l="1"/>
  <c r="K1157" i="2" s="1"/>
  <c r="L1157" i="2"/>
  <c r="G1157" i="2"/>
  <c r="J1157" i="2" l="1"/>
  <c r="M1157" i="2" s="1"/>
  <c r="N1157" i="2" s="1"/>
  <c r="H1157" i="2"/>
  <c r="I1157" i="2" s="1"/>
  <c r="B1158" i="2" l="1"/>
  <c r="C1158" i="2"/>
  <c r="G1158" i="2" l="1"/>
  <c r="L1158" i="2"/>
  <c r="F1158" i="2"/>
  <c r="K1158" i="2" s="1"/>
  <c r="J1158" i="2" l="1"/>
  <c r="M1158" i="2" s="1"/>
  <c r="N1158" i="2" s="1"/>
  <c r="H1158" i="2"/>
  <c r="I1158" i="2" s="1"/>
  <c r="B1159" i="2" l="1"/>
  <c r="C1159" i="2"/>
  <c r="F1159" i="2" l="1"/>
  <c r="K1159" i="2" s="1"/>
  <c r="L1159" i="2"/>
  <c r="G1159" i="2"/>
  <c r="J1159" i="2" l="1"/>
  <c r="M1159" i="2" s="1"/>
  <c r="N1159" i="2" s="1"/>
  <c r="H1159" i="2"/>
  <c r="I1159" i="2" s="1"/>
  <c r="B1160" i="2" l="1"/>
  <c r="C1160" i="2"/>
  <c r="F1160" i="2" l="1"/>
  <c r="K1160" i="2" s="1"/>
  <c r="L1160" i="2"/>
  <c r="G1160" i="2"/>
  <c r="H1160" i="2" l="1"/>
  <c r="I1160" i="2" s="1"/>
  <c r="J1160" i="2"/>
  <c r="M1160" i="2" s="1"/>
  <c r="N1160" i="2" s="1"/>
  <c r="C1161" i="2" l="1"/>
  <c r="B1161" i="2"/>
  <c r="F1161" i="2" l="1"/>
  <c r="K1161" i="2" s="1"/>
  <c r="G1161" i="2"/>
  <c r="L1161" i="2"/>
  <c r="H1161" i="2" l="1"/>
  <c r="I1161" i="2" s="1"/>
  <c r="J1161" i="2"/>
  <c r="M1161" i="2" s="1"/>
  <c r="N1161" i="2" s="1"/>
  <c r="C1162" i="2" l="1"/>
  <c r="B1162" i="2"/>
  <c r="F1162" i="2" l="1"/>
  <c r="K1162" i="2" s="1"/>
  <c r="L1162" i="2"/>
  <c r="G1162" i="2"/>
  <c r="J1162" i="2" l="1"/>
  <c r="M1162" i="2" s="1"/>
  <c r="N1162" i="2" s="1"/>
  <c r="H1162" i="2"/>
  <c r="I1162" i="2" s="1"/>
  <c r="C1163" i="2" l="1"/>
  <c r="B1163" i="2"/>
  <c r="F1163" i="2" l="1"/>
  <c r="K1163" i="2" s="1"/>
  <c r="G1163" i="2"/>
  <c r="L1163" i="2"/>
  <c r="J1163" i="2" l="1"/>
  <c r="M1163" i="2" s="1"/>
  <c r="N1163" i="2" s="1"/>
  <c r="H1163" i="2"/>
  <c r="I1163" i="2" s="1"/>
  <c r="B1164" i="2" l="1"/>
  <c r="C1164" i="2"/>
  <c r="G1164" i="2" l="1"/>
  <c r="L1164" i="2"/>
  <c r="F1164" i="2"/>
  <c r="K1164" i="2" s="1"/>
  <c r="H1164" i="2" l="1"/>
  <c r="I1164" i="2" s="1"/>
  <c r="J1164" i="2"/>
  <c r="M1164" i="2" s="1"/>
  <c r="N1164" i="2" s="1"/>
  <c r="C1165" i="2" l="1"/>
  <c r="B1165" i="2"/>
  <c r="L1165" i="2" l="1"/>
  <c r="F1165" i="2"/>
  <c r="K1165" i="2" s="1"/>
  <c r="G1165" i="2"/>
  <c r="H1165" i="2" l="1"/>
  <c r="I1165" i="2" s="1"/>
  <c r="J1165" i="2"/>
  <c r="M1165" i="2" s="1"/>
  <c r="N1165" i="2" s="1"/>
  <c r="B1166" i="2" l="1"/>
  <c r="C1166" i="2"/>
  <c r="F1166" i="2" l="1"/>
  <c r="K1166" i="2" s="1"/>
  <c r="G1166" i="2"/>
  <c r="L1166" i="2"/>
  <c r="H1166" i="2" l="1"/>
  <c r="I1166" i="2" s="1"/>
  <c r="J1166" i="2"/>
  <c r="M1166" i="2" s="1"/>
  <c r="N1166" i="2" s="1"/>
  <c r="C1167" i="2" l="1"/>
  <c r="B1167" i="2"/>
  <c r="F1167" i="2" l="1"/>
  <c r="K1167" i="2" s="1"/>
  <c r="G1167" i="2"/>
  <c r="L1167" i="2"/>
  <c r="H1167" i="2" l="1"/>
  <c r="I1167" i="2" s="1"/>
  <c r="J1167" i="2"/>
  <c r="M1167" i="2" s="1"/>
  <c r="N1167" i="2" s="1"/>
  <c r="B1168" i="2" l="1"/>
  <c r="C1168" i="2"/>
  <c r="L1168" i="2" l="1"/>
  <c r="G1168" i="2"/>
  <c r="F1168" i="2"/>
  <c r="K1168" i="2" s="1"/>
  <c r="J1168" i="2" l="1"/>
  <c r="M1168" i="2" s="1"/>
  <c r="N1168" i="2" s="1"/>
  <c r="H1168" i="2"/>
  <c r="I1168" i="2" s="1"/>
  <c r="B1169" i="2" l="1"/>
  <c r="C1169" i="2"/>
  <c r="G1169" i="2" l="1"/>
  <c r="L1169" i="2"/>
  <c r="F1169" i="2"/>
  <c r="K1169" i="2" s="1"/>
  <c r="H1169" i="2" l="1"/>
  <c r="I1169" i="2" s="1"/>
  <c r="J1169" i="2"/>
  <c r="M1169" i="2" s="1"/>
  <c r="N1169" i="2" s="1"/>
  <c r="B1170" i="2" l="1"/>
  <c r="C1170" i="2"/>
  <c r="G1170" i="2" l="1"/>
  <c r="F1170" i="2"/>
  <c r="K1170" i="2" s="1"/>
  <c r="L1170" i="2"/>
  <c r="H1170" i="2" l="1"/>
  <c r="I1170" i="2" s="1"/>
  <c r="J1170" i="2"/>
  <c r="M1170" i="2" s="1"/>
  <c r="N1170" i="2" s="1"/>
  <c r="C1171" i="2" l="1"/>
  <c r="B1171" i="2"/>
  <c r="G1171" i="2" l="1"/>
  <c r="L1171" i="2"/>
  <c r="F1171" i="2"/>
  <c r="K1171" i="2" s="1"/>
  <c r="H1171" i="2" l="1"/>
  <c r="I1171" i="2" s="1"/>
  <c r="J1171" i="2"/>
  <c r="M1171" i="2" s="1"/>
  <c r="N1171" i="2" s="1"/>
  <c r="C1172" i="2" l="1"/>
  <c r="B1172" i="2"/>
  <c r="G1172" i="2" l="1"/>
  <c r="F1172" i="2"/>
  <c r="K1172" i="2" s="1"/>
  <c r="L1172" i="2"/>
  <c r="J1172" i="2" l="1"/>
  <c r="M1172" i="2" s="1"/>
  <c r="N1172" i="2" s="1"/>
  <c r="H1172" i="2"/>
  <c r="I1172" i="2" s="1"/>
  <c r="B1173" i="2" l="1"/>
  <c r="C1173" i="2"/>
  <c r="F1173" i="2" l="1"/>
  <c r="K1173" i="2" s="1"/>
  <c r="L1173" i="2"/>
  <c r="G1173" i="2"/>
  <c r="H1173" i="2" l="1"/>
  <c r="I1173" i="2" s="1"/>
  <c r="J1173" i="2"/>
  <c r="M1173" i="2" s="1"/>
  <c r="N1173" i="2" s="1"/>
  <c r="C1174" i="2" l="1"/>
  <c r="B1174" i="2"/>
  <c r="F1174" i="2" l="1"/>
  <c r="K1174" i="2" s="1"/>
  <c r="L1174" i="2"/>
  <c r="G1174" i="2"/>
  <c r="H1174" i="2" l="1"/>
  <c r="I1174" i="2" s="1"/>
  <c r="J1174" i="2"/>
  <c r="M1174" i="2" s="1"/>
  <c r="N1174" i="2" s="1"/>
  <c r="C1175" i="2" l="1"/>
  <c r="B1175" i="2"/>
  <c r="L1175" i="2" l="1"/>
  <c r="F1175" i="2"/>
  <c r="K1175" i="2" s="1"/>
  <c r="G1175" i="2"/>
  <c r="J1175" i="2" l="1"/>
  <c r="M1175" i="2" s="1"/>
  <c r="N1175" i="2" s="1"/>
  <c r="H1175" i="2"/>
  <c r="I1175" i="2" s="1"/>
  <c r="B1176" i="2" l="1"/>
  <c r="C1176" i="2"/>
  <c r="L1176" i="2" l="1"/>
  <c r="G1176" i="2"/>
  <c r="F1176" i="2"/>
  <c r="K1176" i="2" s="1"/>
  <c r="H1176" i="2" l="1"/>
  <c r="I1176" i="2" s="1"/>
  <c r="J1176" i="2"/>
  <c r="M1176" i="2" s="1"/>
  <c r="N1176" i="2" s="1"/>
  <c r="B1177" i="2" l="1"/>
  <c r="C1177" i="2"/>
  <c r="L1177" i="2" l="1"/>
  <c r="F1177" i="2"/>
  <c r="K1177" i="2" s="1"/>
  <c r="G1177" i="2"/>
  <c r="J1177" i="2" l="1"/>
  <c r="M1177" i="2" s="1"/>
  <c r="N1177" i="2" s="1"/>
  <c r="H1177" i="2"/>
  <c r="I1177" i="2" s="1"/>
  <c r="C1178" i="2" l="1"/>
  <c r="B1178" i="2"/>
  <c r="G1178" i="2" l="1"/>
  <c r="F1178" i="2"/>
  <c r="K1178" i="2" s="1"/>
  <c r="L1178" i="2"/>
  <c r="H1178" i="2" l="1"/>
  <c r="I1178" i="2" s="1"/>
  <c r="J1178" i="2"/>
  <c r="M1178" i="2" s="1"/>
  <c r="N1178" i="2" s="1"/>
  <c r="B1179" i="2" l="1"/>
  <c r="C1179" i="2"/>
  <c r="G1179" i="2" l="1"/>
  <c r="L1179" i="2"/>
  <c r="F1179" i="2"/>
  <c r="K1179" i="2" s="1"/>
  <c r="H1179" i="2" l="1"/>
  <c r="I1179" i="2" s="1"/>
  <c r="J1179" i="2"/>
  <c r="M1179" i="2" s="1"/>
  <c r="N1179" i="2" s="1"/>
  <c r="B1180" i="2" l="1"/>
  <c r="C1180" i="2"/>
  <c r="L1180" i="2" l="1"/>
  <c r="G1180" i="2"/>
  <c r="F1180" i="2"/>
  <c r="K1180" i="2" s="1"/>
  <c r="J1180" i="2" l="1"/>
  <c r="M1180" i="2" s="1"/>
  <c r="N1180" i="2" s="1"/>
  <c r="H1180" i="2"/>
  <c r="I1180" i="2" s="1"/>
  <c r="C1181" i="2" l="1"/>
  <c r="B1181" i="2"/>
  <c r="F1181" i="2" l="1"/>
  <c r="K1181" i="2" s="1"/>
  <c r="G1181" i="2"/>
  <c r="L1181" i="2"/>
  <c r="J1181" i="2" l="1"/>
  <c r="M1181" i="2" s="1"/>
  <c r="N1181" i="2" s="1"/>
  <c r="H1181" i="2"/>
  <c r="I1181" i="2" s="1"/>
  <c r="B1182" i="2" l="1"/>
  <c r="C1182" i="2"/>
  <c r="L1182" i="2" l="1"/>
  <c r="F1182" i="2"/>
  <c r="K1182" i="2" s="1"/>
  <c r="G1182" i="2"/>
  <c r="H1182" i="2" l="1"/>
  <c r="I1182" i="2" s="1"/>
  <c r="J1182" i="2"/>
  <c r="M1182" i="2" s="1"/>
  <c r="N1182" i="2" s="1"/>
  <c r="C1183" i="2" l="1"/>
  <c r="B1183" i="2"/>
  <c r="G1183" i="2" l="1"/>
  <c r="L1183" i="2"/>
  <c r="F1183" i="2"/>
  <c r="K1183" i="2" s="1"/>
  <c r="J1183" i="2" l="1"/>
  <c r="M1183" i="2" s="1"/>
  <c r="N1183" i="2" s="1"/>
  <c r="H1183" i="2"/>
  <c r="I1183" i="2" s="1"/>
  <c r="B1184" i="2" l="1"/>
  <c r="C1184" i="2"/>
  <c r="F1184" i="2" l="1"/>
  <c r="K1184" i="2" s="1"/>
  <c r="G1184" i="2"/>
  <c r="L1184" i="2"/>
  <c r="H1184" i="2" l="1"/>
  <c r="I1184" i="2" s="1"/>
  <c r="J1184" i="2"/>
  <c r="M1184" i="2" s="1"/>
  <c r="N1184" i="2" s="1"/>
  <c r="B1185" i="2" l="1"/>
  <c r="C1185" i="2"/>
  <c r="G1185" i="2" l="1"/>
  <c r="L1185" i="2"/>
  <c r="F1185" i="2"/>
  <c r="K1185" i="2" s="1"/>
  <c r="H1185" i="2" l="1"/>
  <c r="I1185" i="2" s="1"/>
  <c r="J1185" i="2"/>
  <c r="M1185" i="2" s="1"/>
  <c r="N1185" i="2" s="1"/>
  <c r="B1186" i="2" l="1"/>
  <c r="C1186" i="2"/>
  <c r="F1186" i="2" l="1"/>
  <c r="K1186" i="2" s="1"/>
  <c r="G1186" i="2"/>
  <c r="L1186" i="2"/>
  <c r="J1186" i="2" l="1"/>
  <c r="M1186" i="2" s="1"/>
  <c r="N1186" i="2" s="1"/>
  <c r="H1186" i="2"/>
  <c r="I1186" i="2" s="1"/>
  <c r="B1187" i="2" l="1"/>
  <c r="C1187" i="2"/>
  <c r="G1187" i="2" l="1"/>
  <c r="L1187" i="2"/>
  <c r="F1187" i="2"/>
  <c r="K1187" i="2" s="1"/>
  <c r="H1187" i="2" l="1"/>
  <c r="I1187" i="2" s="1"/>
  <c r="J1187" i="2"/>
  <c r="M1187" i="2" s="1"/>
  <c r="N1187" i="2" s="1"/>
  <c r="B1188" i="2" l="1"/>
  <c r="C1188" i="2"/>
  <c r="G1188" i="2" l="1"/>
  <c r="F1188" i="2"/>
  <c r="K1188" i="2" s="1"/>
  <c r="L1188" i="2"/>
  <c r="J1188" i="2" l="1"/>
  <c r="M1188" i="2" s="1"/>
  <c r="N1188" i="2" s="1"/>
  <c r="H1188" i="2"/>
  <c r="I1188" i="2" s="1"/>
  <c r="C1189" i="2" l="1"/>
  <c r="B1189" i="2"/>
  <c r="F1189" i="2" l="1"/>
  <c r="K1189" i="2" s="1"/>
  <c r="L1189" i="2"/>
  <c r="G1189" i="2"/>
  <c r="J1189" i="2" l="1"/>
  <c r="M1189" i="2" s="1"/>
  <c r="N1189" i="2" s="1"/>
  <c r="H1189" i="2"/>
  <c r="I1189" i="2" s="1"/>
  <c r="C1190" i="2" l="1"/>
  <c r="B1190" i="2"/>
  <c r="G1190" i="2" l="1"/>
  <c r="F1190" i="2"/>
  <c r="K1190" i="2" s="1"/>
  <c r="L1190" i="2"/>
  <c r="J1190" i="2" l="1"/>
  <c r="M1190" i="2" s="1"/>
  <c r="N1190" i="2" s="1"/>
  <c r="H1190" i="2"/>
  <c r="I1190" i="2" s="1"/>
  <c r="C1191" i="2" l="1"/>
  <c r="B1191" i="2"/>
  <c r="F1191" i="2" l="1"/>
  <c r="K1191" i="2" s="1"/>
  <c r="L1191" i="2"/>
  <c r="G1191" i="2"/>
  <c r="J1191" i="2" l="1"/>
  <c r="M1191" i="2" s="1"/>
  <c r="N1191" i="2" s="1"/>
  <c r="H1191" i="2"/>
  <c r="I1191" i="2" s="1"/>
  <c r="B1192" i="2" l="1"/>
  <c r="C1192" i="2"/>
  <c r="G1192" i="2" l="1"/>
  <c r="L1192" i="2"/>
  <c r="F1192" i="2"/>
  <c r="K1192" i="2" s="1"/>
  <c r="H1192" i="2" l="1"/>
  <c r="I1192" i="2" s="1"/>
  <c r="J1192" i="2"/>
  <c r="M1192" i="2" s="1"/>
  <c r="N1192" i="2" s="1"/>
  <c r="B1193" i="2" l="1"/>
  <c r="C1193" i="2"/>
  <c r="F1193" i="2" l="1"/>
  <c r="K1193" i="2" s="1"/>
  <c r="G1193" i="2"/>
  <c r="L1193" i="2"/>
  <c r="H1193" i="2" l="1"/>
  <c r="I1193" i="2" s="1"/>
  <c r="J1193" i="2"/>
  <c r="M1193" i="2" s="1"/>
  <c r="N1193" i="2" s="1"/>
  <c r="B1194" i="2" l="1"/>
  <c r="C1194" i="2"/>
  <c r="F1194" i="2" l="1"/>
  <c r="K1194" i="2" s="1"/>
  <c r="G1194" i="2"/>
  <c r="L1194" i="2"/>
  <c r="J1194" i="2" l="1"/>
  <c r="M1194" i="2" s="1"/>
  <c r="N1194" i="2" s="1"/>
  <c r="H1194" i="2"/>
  <c r="I1194" i="2" s="1"/>
  <c r="C1195" i="2" l="1"/>
  <c r="B1195" i="2"/>
  <c r="G1195" i="2" l="1"/>
  <c r="F1195" i="2"/>
  <c r="K1195" i="2" s="1"/>
  <c r="L1195" i="2"/>
  <c r="J1195" i="2" l="1"/>
  <c r="M1195" i="2" s="1"/>
  <c r="N1195" i="2" s="1"/>
  <c r="H1195" i="2"/>
  <c r="I1195" i="2" s="1"/>
  <c r="C1196" i="2" l="1"/>
  <c r="B1196" i="2"/>
  <c r="F1196" i="2" l="1"/>
  <c r="K1196" i="2" s="1"/>
  <c r="L1196" i="2"/>
  <c r="G1196" i="2"/>
  <c r="J1196" i="2" l="1"/>
  <c r="M1196" i="2" s="1"/>
  <c r="N1196" i="2" s="1"/>
  <c r="H1196" i="2"/>
  <c r="I1196" i="2" s="1"/>
  <c r="B1197" i="2" l="1"/>
  <c r="C1197" i="2"/>
  <c r="F1197" i="2" l="1"/>
  <c r="K1197" i="2" s="1"/>
  <c r="L1197" i="2"/>
  <c r="G1197" i="2"/>
  <c r="J1197" i="2" l="1"/>
  <c r="M1197" i="2" s="1"/>
  <c r="N1197" i="2" s="1"/>
  <c r="H1197" i="2"/>
  <c r="I1197" i="2" s="1"/>
  <c r="C1198" i="2" l="1"/>
  <c r="B1198" i="2"/>
  <c r="G1198" i="2" l="1"/>
  <c r="L1198" i="2"/>
  <c r="F1198" i="2"/>
  <c r="K1198" i="2" s="1"/>
  <c r="H1198" i="2" l="1"/>
  <c r="I1198" i="2" s="1"/>
  <c r="J1198" i="2"/>
  <c r="M1198" i="2" s="1"/>
  <c r="N1198" i="2" s="1"/>
  <c r="B1199" i="2" l="1"/>
  <c r="C1199" i="2"/>
  <c r="L1199" i="2" l="1"/>
  <c r="G1199" i="2"/>
  <c r="F1199" i="2"/>
  <c r="K1199" i="2" s="1"/>
  <c r="H1199" i="2" l="1"/>
  <c r="I1199" i="2" s="1"/>
  <c r="J1199" i="2"/>
  <c r="M1199" i="2" s="1"/>
  <c r="N1199" i="2" s="1"/>
  <c r="C1200" i="2" l="1"/>
  <c r="B1200" i="2"/>
  <c r="L1200" i="2" l="1"/>
  <c r="G1200" i="2"/>
  <c r="F1200" i="2"/>
  <c r="K1200" i="2" s="1"/>
  <c r="H1200" i="2" l="1"/>
  <c r="I1200" i="2" s="1"/>
  <c r="J1200" i="2"/>
  <c r="M1200" i="2" s="1"/>
  <c r="N1200" i="2" s="1"/>
  <c r="C1201" i="2" l="1"/>
  <c r="B1201" i="2"/>
  <c r="F1201" i="2" l="1"/>
  <c r="K1201" i="2" s="1"/>
  <c r="G1201" i="2"/>
  <c r="L1201" i="2"/>
  <c r="H1201" i="2" l="1"/>
  <c r="I1201" i="2" s="1"/>
  <c r="J1201" i="2"/>
  <c r="M1201" i="2" s="1"/>
  <c r="N1201" i="2" s="1"/>
  <c r="C1202" i="2" l="1"/>
  <c r="B1202" i="2"/>
  <c r="L1202" i="2" l="1"/>
  <c r="G1202" i="2"/>
  <c r="F1202" i="2"/>
  <c r="K1202" i="2" s="1"/>
  <c r="J1202" i="2" l="1"/>
  <c r="M1202" i="2" s="1"/>
  <c r="N1202" i="2" s="1"/>
  <c r="H1202" i="2"/>
  <c r="I1202" i="2" s="1"/>
  <c r="B1203" i="2" l="1"/>
  <c r="C1203" i="2"/>
  <c r="L1203" i="2" l="1"/>
  <c r="F1203" i="2"/>
  <c r="K1203" i="2" s="1"/>
  <c r="G1203" i="2"/>
  <c r="J1203" i="2" l="1"/>
  <c r="M1203" i="2" s="1"/>
  <c r="N1203" i="2" s="1"/>
  <c r="H1203" i="2"/>
  <c r="I1203" i="2" s="1"/>
  <c r="B1204" i="2" l="1"/>
  <c r="C1204" i="2"/>
  <c r="L1204" i="2" l="1"/>
  <c r="F1204" i="2"/>
  <c r="K1204" i="2" s="1"/>
  <c r="G1204" i="2"/>
  <c r="J1204" i="2" l="1"/>
  <c r="M1204" i="2" s="1"/>
  <c r="N1204" i="2" s="1"/>
  <c r="H1204" i="2"/>
  <c r="I1204" i="2" s="1"/>
  <c r="C1205" i="2" l="1"/>
  <c r="B1205" i="2"/>
  <c r="G1205" i="2" l="1"/>
  <c r="F1205" i="2"/>
  <c r="K1205" i="2" s="1"/>
  <c r="L1205" i="2"/>
  <c r="H1205" i="2" l="1"/>
  <c r="I1205" i="2" s="1"/>
  <c r="J1205" i="2"/>
  <c r="M1205" i="2" s="1"/>
  <c r="N1205" i="2" s="1"/>
  <c r="C1206" i="2" l="1"/>
  <c r="B1206" i="2"/>
  <c r="L1206" i="2" l="1"/>
  <c r="F1206" i="2"/>
  <c r="K1206" i="2" s="1"/>
  <c r="G1206" i="2"/>
  <c r="H1206" i="2" l="1"/>
  <c r="I1206" i="2" s="1"/>
  <c r="J1206" i="2"/>
  <c r="M1206" i="2" s="1"/>
  <c r="N1206" i="2" s="1"/>
  <c r="C1207" i="2" l="1"/>
  <c r="B1207" i="2"/>
  <c r="L1207" i="2" l="1"/>
  <c r="F1207" i="2"/>
  <c r="K1207" i="2" s="1"/>
  <c r="G1207" i="2"/>
  <c r="H1207" i="2" l="1"/>
  <c r="I1207" i="2" s="1"/>
  <c r="J1207" i="2"/>
  <c r="M1207" i="2" s="1"/>
  <c r="N1207" i="2" s="1"/>
  <c r="B1208" i="2" l="1"/>
  <c r="C1208" i="2"/>
  <c r="L1208" i="2" l="1"/>
  <c r="F1208" i="2"/>
  <c r="K1208" i="2" s="1"/>
  <c r="G1208" i="2"/>
  <c r="H1208" i="2" l="1"/>
  <c r="I1208" i="2" s="1"/>
  <c r="J1208" i="2"/>
  <c r="M1208" i="2" s="1"/>
  <c r="N1208" i="2" s="1"/>
  <c r="B1209" i="2" l="1"/>
  <c r="C1209" i="2"/>
  <c r="F1209" i="2" l="1"/>
  <c r="K1209" i="2" s="1"/>
  <c r="L1209" i="2"/>
  <c r="G1209" i="2"/>
  <c r="J1209" i="2" l="1"/>
  <c r="M1209" i="2" s="1"/>
  <c r="N1209" i="2" s="1"/>
  <c r="H1209" i="2"/>
  <c r="I1209" i="2" s="1"/>
  <c r="B1210" i="2" l="1"/>
  <c r="C1210" i="2"/>
  <c r="G1210" i="2" l="1"/>
  <c r="F1210" i="2"/>
  <c r="K1210" i="2" s="1"/>
  <c r="L1210" i="2"/>
  <c r="H1210" i="2" l="1"/>
  <c r="I1210" i="2" s="1"/>
  <c r="J1210" i="2"/>
  <c r="M1210" i="2" s="1"/>
  <c r="N1210" i="2" s="1"/>
  <c r="C1211" i="2" l="1"/>
  <c r="B1211" i="2"/>
  <c r="G1211" i="2" l="1"/>
  <c r="L1211" i="2"/>
  <c r="F1211" i="2"/>
  <c r="K1211" i="2" s="1"/>
  <c r="J1211" i="2" l="1"/>
  <c r="M1211" i="2" s="1"/>
  <c r="N1211" i="2" s="1"/>
  <c r="H1211" i="2"/>
  <c r="I1211" i="2" s="1"/>
  <c r="B1212" i="2" l="1"/>
  <c r="C1212" i="2"/>
  <c r="G1212" i="2" l="1"/>
  <c r="L1212" i="2"/>
  <c r="F1212" i="2"/>
  <c r="K1212" i="2" s="1"/>
  <c r="H1212" i="2" l="1"/>
  <c r="I1212" i="2" s="1"/>
  <c r="J1212" i="2"/>
  <c r="M1212" i="2" s="1"/>
  <c r="N1212" i="2" s="1"/>
  <c r="B1213" i="2" l="1"/>
  <c r="C1213" i="2"/>
  <c r="F1213" i="2" l="1"/>
  <c r="K1213" i="2" s="1"/>
  <c r="L1213" i="2"/>
  <c r="G1213" i="2"/>
  <c r="H1213" i="2" l="1"/>
  <c r="I1213" i="2" s="1"/>
  <c r="J1213" i="2"/>
  <c r="M1213" i="2" s="1"/>
  <c r="N1213" i="2" s="1"/>
  <c r="B1214" i="2" l="1"/>
  <c r="C1214" i="2"/>
  <c r="G1214" i="2" l="1"/>
  <c r="F1214" i="2"/>
  <c r="K1214" i="2" s="1"/>
  <c r="L1214" i="2"/>
  <c r="J1214" i="2" l="1"/>
  <c r="M1214" i="2" s="1"/>
  <c r="N1214" i="2" s="1"/>
  <c r="H1214" i="2"/>
  <c r="I1214" i="2" s="1"/>
  <c r="B1215" i="2" l="1"/>
  <c r="C1215" i="2"/>
  <c r="L1215" i="2" l="1"/>
  <c r="F1215" i="2"/>
  <c r="K1215" i="2" s="1"/>
  <c r="G1215" i="2"/>
  <c r="J1215" i="2" l="1"/>
  <c r="M1215" i="2" s="1"/>
  <c r="N1215" i="2" s="1"/>
  <c r="H1215" i="2"/>
  <c r="I1215" i="2" s="1"/>
  <c r="C1216" i="2" l="1"/>
  <c r="B1216" i="2"/>
  <c r="F1216" i="2" l="1"/>
  <c r="K1216" i="2" s="1"/>
  <c r="L1216" i="2"/>
  <c r="G1216" i="2"/>
  <c r="H1216" i="2" l="1"/>
  <c r="I1216" i="2" s="1"/>
  <c r="J1216" i="2"/>
  <c r="M1216" i="2" s="1"/>
  <c r="N1216" i="2" s="1"/>
  <c r="C1217" i="2" l="1"/>
  <c r="B1217" i="2"/>
  <c r="F1217" i="2" l="1"/>
  <c r="K1217" i="2" s="1"/>
  <c r="L1217" i="2"/>
  <c r="G1217" i="2"/>
  <c r="J1217" i="2" l="1"/>
  <c r="M1217" i="2" s="1"/>
  <c r="N1217" i="2" s="1"/>
  <c r="H1217" i="2"/>
  <c r="I1217" i="2" s="1"/>
  <c r="B1218" i="2" l="1"/>
  <c r="C1218" i="2"/>
  <c r="G1218" i="2" l="1"/>
  <c r="L1218" i="2"/>
  <c r="F1218" i="2"/>
  <c r="K1218" i="2" s="1"/>
  <c r="H1218" i="2" l="1"/>
  <c r="I1218" i="2" s="1"/>
  <c r="J1218" i="2"/>
  <c r="M1218" i="2" s="1"/>
  <c r="N1218" i="2" s="1"/>
  <c r="B1219" i="2" l="1"/>
  <c r="C1219" i="2"/>
  <c r="F1219" i="2" l="1"/>
  <c r="K1219" i="2" s="1"/>
  <c r="L1219" i="2"/>
  <c r="G1219" i="2"/>
  <c r="J1219" i="2" l="1"/>
  <c r="M1219" i="2" s="1"/>
  <c r="N1219" i="2" s="1"/>
  <c r="H1219" i="2"/>
  <c r="I1219" i="2" s="1"/>
  <c r="B1220" i="2" l="1"/>
  <c r="C1220" i="2"/>
  <c r="L1220" i="2" l="1"/>
  <c r="F1220" i="2"/>
  <c r="K1220" i="2" s="1"/>
  <c r="G1220" i="2"/>
  <c r="H1220" i="2" l="1"/>
  <c r="I1220" i="2" s="1"/>
  <c r="J1220" i="2"/>
  <c r="M1220" i="2" s="1"/>
  <c r="N1220" i="2" s="1"/>
  <c r="B1221" i="2" l="1"/>
  <c r="C1221" i="2"/>
  <c r="L1221" i="2" l="1"/>
  <c r="G1221" i="2"/>
  <c r="F1221" i="2"/>
  <c r="K1221" i="2" s="1"/>
  <c r="H1221" i="2" l="1"/>
  <c r="I1221" i="2" s="1"/>
  <c r="J1221" i="2"/>
  <c r="M1221" i="2" s="1"/>
  <c r="N1221" i="2" s="1"/>
  <c r="B1222" i="2" l="1"/>
  <c r="C1222" i="2"/>
  <c r="L1222" i="2" l="1"/>
  <c r="F1222" i="2"/>
  <c r="K1222" i="2" s="1"/>
  <c r="G1222" i="2"/>
  <c r="H1222" i="2" l="1"/>
  <c r="I1222" i="2" s="1"/>
  <c r="J1222" i="2"/>
  <c r="M1222" i="2" s="1"/>
  <c r="N1222" i="2" s="1"/>
  <c r="C1223" i="2" l="1"/>
  <c r="B1223" i="2"/>
  <c r="F1223" i="2" l="1"/>
  <c r="K1223" i="2" s="1"/>
  <c r="G1223" i="2"/>
  <c r="L1223" i="2"/>
  <c r="H1223" i="2" l="1"/>
  <c r="I1223" i="2" s="1"/>
  <c r="J1223" i="2"/>
  <c r="M1223" i="2" s="1"/>
  <c r="N1223" i="2" s="1"/>
  <c r="B1224" i="2" l="1"/>
  <c r="C1224" i="2"/>
  <c r="L1224" i="2" l="1"/>
  <c r="G1224" i="2"/>
  <c r="F1224" i="2"/>
  <c r="K1224" i="2" s="1"/>
  <c r="H1224" i="2" l="1"/>
  <c r="I1224" i="2" s="1"/>
  <c r="J1224" i="2"/>
  <c r="M1224" i="2" s="1"/>
  <c r="N1224" i="2" s="1"/>
  <c r="B1225" i="2" l="1"/>
  <c r="C1225" i="2"/>
  <c r="G1225" i="2" l="1"/>
  <c r="F1225" i="2"/>
  <c r="K1225" i="2" s="1"/>
  <c r="L1225" i="2"/>
  <c r="H1225" i="2" l="1"/>
  <c r="I1225" i="2" s="1"/>
  <c r="J1225" i="2"/>
  <c r="M1225" i="2" s="1"/>
  <c r="N1225" i="2" s="1"/>
  <c r="C1226" i="2" l="1"/>
  <c r="B1226" i="2"/>
  <c r="G1226" i="2" l="1"/>
  <c r="L1226" i="2"/>
  <c r="F1226" i="2"/>
  <c r="K1226" i="2" s="1"/>
  <c r="J1226" i="2" l="1"/>
  <c r="M1226" i="2" s="1"/>
  <c r="N1226" i="2" s="1"/>
  <c r="H1226" i="2"/>
  <c r="I1226" i="2" s="1"/>
  <c r="B1227" i="2" l="1"/>
  <c r="C1227" i="2"/>
  <c r="L1227" i="2" l="1"/>
  <c r="G1227" i="2"/>
  <c r="F1227" i="2"/>
  <c r="K1227" i="2" s="1"/>
  <c r="H1227" i="2" l="1"/>
  <c r="I1227" i="2" s="1"/>
  <c r="J1227" i="2"/>
  <c r="M1227" i="2" s="1"/>
  <c r="N1227" i="2" s="1"/>
  <c r="B1228" i="2" l="1"/>
  <c r="C1228" i="2"/>
  <c r="G1228" i="2" l="1"/>
  <c r="F1228" i="2"/>
  <c r="K1228" i="2" s="1"/>
  <c r="L1228" i="2"/>
  <c r="H1228" i="2" l="1"/>
  <c r="I1228" i="2" s="1"/>
  <c r="J1228" i="2"/>
  <c r="M1228" i="2" s="1"/>
  <c r="N1228" i="2" s="1"/>
  <c r="C1229" i="2" l="1"/>
  <c r="B1229" i="2"/>
  <c r="L1229" i="2" l="1"/>
  <c r="G1229" i="2"/>
  <c r="F1229" i="2"/>
  <c r="K1229" i="2" s="1"/>
  <c r="J1229" i="2" l="1"/>
  <c r="M1229" i="2" s="1"/>
  <c r="N1229" i="2" s="1"/>
  <c r="H1229" i="2"/>
  <c r="I1229" i="2" s="1"/>
  <c r="B1230" i="2" l="1"/>
  <c r="C1230" i="2"/>
  <c r="L1230" i="2" l="1"/>
  <c r="G1230" i="2"/>
  <c r="F1230" i="2"/>
  <c r="K1230" i="2" s="1"/>
  <c r="J1230" i="2" l="1"/>
  <c r="M1230" i="2" s="1"/>
  <c r="N1230" i="2" s="1"/>
  <c r="H1230" i="2"/>
  <c r="I1230" i="2" s="1"/>
  <c r="C1231" i="2" l="1"/>
  <c r="B1231" i="2"/>
  <c r="F1231" i="2" l="1"/>
  <c r="K1231" i="2" s="1"/>
  <c r="L1231" i="2"/>
  <c r="G1231" i="2"/>
  <c r="H1231" i="2" l="1"/>
  <c r="I1231" i="2" s="1"/>
  <c r="J1231" i="2"/>
  <c r="M1231" i="2" s="1"/>
  <c r="N1231" i="2" s="1"/>
  <c r="B1232" i="2" l="1"/>
  <c r="C1232" i="2"/>
  <c r="G1232" i="2" l="1"/>
  <c r="L1232" i="2"/>
  <c r="F1232" i="2"/>
  <c r="K1232" i="2" s="1"/>
  <c r="H1232" i="2" l="1"/>
  <c r="I1232" i="2" s="1"/>
  <c r="J1232" i="2"/>
  <c r="M1232" i="2" s="1"/>
  <c r="N1232" i="2" s="1"/>
  <c r="C1233" i="2" l="1"/>
  <c r="B1233" i="2"/>
  <c r="F1233" i="2" l="1"/>
  <c r="K1233" i="2" s="1"/>
  <c r="L1233" i="2"/>
  <c r="G1233" i="2"/>
  <c r="J1233" i="2" l="1"/>
  <c r="M1233" i="2" s="1"/>
  <c r="N1233" i="2" s="1"/>
  <c r="H1233" i="2"/>
  <c r="I1233" i="2" s="1"/>
  <c r="B1234" i="2" l="1"/>
  <c r="C1234" i="2"/>
  <c r="F1234" i="2" l="1"/>
  <c r="K1234" i="2" s="1"/>
  <c r="G1234" i="2"/>
  <c r="L1234" i="2"/>
  <c r="J1234" i="2" l="1"/>
  <c r="M1234" i="2" s="1"/>
  <c r="N1234" i="2" s="1"/>
  <c r="H1234" i="2"/>
  <c r="I1234" i="2" s="1"/>
  <c r="B1235" i="2" l="1"/>
  <c r="C1235" i="2"/>
  <c r="L1235" i="2" l="1"/>
  <c r="F1235" i="2"/>
  <c r="K1235" i="2" s="1"/>
  <c r="G1235" i="2"/>
  <c r="H1235" i="2" l="1"/>
  <c r="I1235" i="2" s="1"/>
  <c r="J1235" i="2"/>
  <c r="M1235" i="2" s="1"/>
  <c r="N1235" i="2" s="1"/>
  <c r="B1236" i="2" l="1"/>
  <c r="C1236" i="2"/>
  <c r="F1236" i="2" l="1"/>
  <c r="K1236" i="2" s="1"/>
  <c r="G1236" i="2"/>
  <c r="L1236" i="2"/>
  <c r="J1236" i="2" l="1"/>
  <c r="M1236" i="2" s="1"/>
  <c r="N1236" i="2" s="1"/>
  <c r="H1236" i="2"/>
  <c r="I1236" i="2" s="1"/>
  <c r="B1237" i="2" l="1"/>
  <c r="C1237" i="2"/>
  <c r="G1237" i="2" l="1"/>
  <c r="L1237" i="2"/>
  <c r="F1237" i="2"/>
  <c r="K1237" i="2" s="1"/>
  <c r="J1237" i="2" l="1"/>
  <c r="M1237" i="2" s="1"/>
  <c r="N1237" i="2" s="1"/>
  <c r="H1237" i="2"/>
  <c r="I1237" i="2" s="1"/>
  <c r="B1238" i="2" l="1"/>
  <c r="C1238" i="2"/>
  <c r="F1238" i="2" l="1"/>
  <c r="K1238" i="2" s="1"/>
  <c r="G1238" i="2"/>
  <c r="L1238" i="2"/>
  <c r="H1238" i="2" l="1"/>
  <c r="I1238" i="2" s="1"/>
  <c r="J1238" i="2"/>
  <c r="M1238" i="2" s="1"/>
  <c r="N1238" i="2" s="1"/>
  <c r="C1239" i="2" l="1"/>
  <c r="B1239" i="2"/>
  <c r="L1239" i="2" l="1"/>
  <c r="G1239" i="2"/>
  <c r="F1239" i="2"/>
  <c r="K1239" i="2" s="1"/>
  <c r="H1239" i="2" l="1"/>
  <c r="I1239" i="2" s="1"/>
  <c r="J1239" i="2"/>
  <c r="M1239" i="2" s="1"/>
  <c r="N1239" i="2" s="1"/>
  <c r="B1240" i="2" l="1"/>
  <c r="C1240" i="2"/>
  <c r="L1240" i="2" l="1"/>
  <c r="F1240" i="2"/>
  <c r="K1240" i="2" s="1"/>
  <c r="G1240" i="2"/>
  <c r="H1240" i="2" l="1"/>
  <c r="I1240" i="2" s="1"/>
  <c r="J1240" i="2"/>
  <c r="M1240" i="2" s="1"/>
  <c r="N1240" i="2" s="1"/>
  <c r="C1241" i="2" l="1"/>
  <c r="B1241" i="2"/>
  <c r="G1241" i="2" l="1"/>
  <c r="L1241" i="2"/>
  <c r="F1241" i="2"/>
  <c r="K1241" i="2" s="1"/>
  <c r="H1241" i="2" l="1"/>
  <c r="I1241" i="2" s="1"/>
  <c r="J1241" i="2"/>
  <c r="M1241" i="2" s="1"/>
  <c r="N1241" i="2" s="1"/>
  <c r="B1242" i="2" l="1"/>
  <c r="C1242" i="2"/>
  <c r="L1242" i="2" l="1"/>
  <c r="G1242" i="2"/>
  <c r="F1242" i="2"/>
  <c r="K1242" i="2" s="1"/>
  <c r="J1242" i="2" l="1"/>
  <c r="M1242" i="2" s="1"/>
  <c r="N1242" i="2" s="1"/>
  <c r="H1242" i="2"/>
  <c r="I1242" i="2" s="1"/>
  <c r="B1243" i="2" l="1"/>
  <c r="C1243" i="2"/>
  <c r="L1243" i="2" l="1"/>
  <c r="F1243" i="2"/>
  <c r="K1243" i="2" s="1"/>
  <c r="G1243" i="2"/>
  <c r="J1243" i="2" l="1"/>
  <c r="M1243" i="2" s="1"/>
  <c r="N1243" i="2" s="1"/>
  <c r="H1243" i="2"/>
  <c r="I1243" i="2" s="1"/>
  <c r="B1244" i="2" l="1"/>
  <c r="C1244" i="2"/>
  <c r="L1244" i="2" l="1"/>
  <c r="F1244" i="2"/>
  <c r="K1244" i="2" s="1"/>
  <c r="G1244" i="2"/>
  <c r="J1244" i="2" l="1"/>
  <c r="M1244" i="2" s="1"/>
  <c r="N1244" i="2" s="1"/>
  <c r="H1244" i="2"/>
  <c r="I1244" i="2" s="1"/>
  <c r="B1245" i="2" l="1"/>
  <c r="C1245" i="2"/>
  <c r="F1245" i="2" l="1"/>
  <c r="K1245" i="2" s="1"/>
  <c r="G1245" i="2"/>
  <c r="L1245" i="2"/>
  <c r="H1245" i="2" l="1"/>
  <c r="I1245" i="2" s="1"/>
  <c r="J1245" i="2"/>
  <c r="M1245" i="2" s="1"/>
  <c r="N1245" i="2" s="1"/>
  <c r="C1246" i="2" l="1"/>
  <c r="B1246" i="2"/>
  <c r="L1246" i="2" l="1"/>
  <c r="G1246" i="2"/>
  <c r="F1246" i="2"/>
  <c r="K1246" i="2" s="1"/>
  <c r="J1246" i="2" l="1"/>
  <c r="M1246" i="2" s="1"/>
  <c r="N1246" i="2" s="1"/>
  <c r="H1246" i="2"/>
  <c r="I1246" i="2" s="1"/>
  <c r="B1247" i="2" l="1"/>
  <c r="C1247" i="2"/>
  <c r="G1247" i="2" l="1"/>
  <c r="F1247" i="2"/>
  <c r="K1247" i="2" s="1"/>
  <c r="L1247" i="2"/>
  <c r="H1247" i="2" l="1"/>
  <c r="I1247" i="2" s="1"/>
  <c r="J1247" i="2"/>
  <c r="M1247" i="2" s="1"/>
  <c r="N1247" i="2" s="1"/>
  <c r="B1248" i="2" l="1"/>
  <c r="C1248" i="2"/>
  <c r="L1248" i="2" l="1"/>
  <c r="F1248" i="2"/>
  <c r="K1248" i="2" s="1"/>
  <c r="G1248" i="2"/>
  <c r="H1248" i="2" l="1"/>
  <c r="I1248" i="2" s="1"/>
  <c r="J1248" i="2"/>
  <c r="M1248" i="2" s="1"/>
  <c r="N1248" i="2" s="1"/>
  <c r="B1249" i="2" l="1"/>
  <c r="C1249" i="2"/>
  <c r="F1249" i="2" l="1"/>
  <c r="K1249" i="2" s="1"/>
  <c r="L1249" i="2"/>
  <c r="G1249" i="2"/>
  <c r="H1249" i="2" l="1"/>
  <c r="I1249" i="2" s="1"/>
  <c r="J1249" i="2"/>
  <c r="M1249" i="2" s="1"/>
  <c r="N1249" i="2" s="1"/>
  <c r="C1250" i="2" l="1"/>
  <c r="B1250" i="2"/>
  <c r="L1250" i="2" l="1"/>
  <c r="F1250" i="2"/>
  <c r="K1250" i="2" s="1"/>
  <c r="G1250" i="2"/>
  <c r="H1250" i="2" l="1"/>
  <c r="I1250" i="2" s="1"/>
  <c r="J1250" i="2"/>
  <c r="M1250" i="2" s="1"/>
  <c r="N1250" i="2" s="1"/>
  <c r="C1251" i="2" l="1"/>
  <c r="B1251" i="2"/>
  <c r="G1251" i="2" l="1"/>
  <c r="L1251" i="2"/>
  <c r="F1251" i="2"/>
  <c r="K1251" i="2" s="1"/>
  <c r="J1251" i="2" l="1"/>
  <c r="M1251" i="2" s="1"/>
  <c r="N1251" i="2" s="1"/>
  <c r="H1251" i="2"/>
  <c r="I1251" i="2" s="1"/>
  <c r="C1252" i="2" l="1"/>
  <c r="B1252" i="2"/>
  <c r="F1252" i="2" l="1"/>
  <c r="K1252" i="2" s="1"/>
  <c r="L1252" i="2"/>
  <c r="G1252" i="2"/>
  <c r="J1252" i="2" l="1"/>
  <c r="M1252" i="2" s="1"/>
  <c r="N1252" i="2" s="1"/>
  <c r="H1252" i="2"/>
  <c r="I1252" i="2" s="1"/>
  <c r="B1253" i="2" l="1"/>
  <c r="C1253" i="2"/>
  <c r="G1253" i="2" l="1"/>
  <c r="F1253" i="2"/>
  <c r="K1253" i="2" s="1"/>
  <c r="L1253" i="2"/>
  <c r="J1253" i="2" l="1"/>
  <c r="M1253" i="2" s="1"/>
  <c r="N1253" i="2" s="1"/>
  <c r="H1253" i="2"/>
  <c r="I1253" i="2" s="1"/>
  <c r="C1254" i="2" l="1"/>
  <c r="B1254" i="2"/>
  <c r="F1254" i="2" l="1"/>
  <c r="K1254" i="2" s="1"/>
  <c r="G1254" i="2"/>
  <c r="L1254" i="2"/>
  <c r="J1254" i="2" l="1"/>
  <c r="M1254" i="2" s="1"/>
  <c r="N1254" i="2" s="1"/>
  <c r="H1254" i="2"/>
  <c r="I1254" i="2" s="1"/>
  <c r="C1255" i="2" l="1"/>
  <c r="B1255" i="2"/>
  <c r="L1255" i="2" l="1"/>
  <c r="F1255" i="2"/>
  <c r="K1255" i="2" s="1"/>
  <c r="G1255" i="2"/>
  <c r="H1255" i="2" l="1"/>
  <c r="I1255" i="2" s="1"/>
  <c r="J1255" i="2"/>
  <c r="M1255" i="2" s="1"/>
  <c r="N1255" i="2" s="1"/>
  <c r="B1256" i="2" l="1"/>
  <c r="C1256" i="2"/>
  <c r="F1256" i="2" l="1"/>
  <c r="K1256" i="2" s="1"/>
  <c r="G1256" i="2"/>
  <c r="L1256" i="2"/>
  <c r="H1256" i="2" l="1"/>
  <c r="I1256" i="2" s="1"/>
  <c r="J1256" i="2"/>
  <c r="M1256" i="2" s="1"/>
  <c r="N1256" i="2" s="1"/>
  <c r="B1257" i="2" l="1"/>
  <c r="C1257" i="2"/>
  <c r="F1257" i="2" l="1"/>
  <c r="K1257" i="2" s="1"/>
  <c r="G1257" i="2"/>
  <c r="L1257" i="2"/>
  <c r="J1257" i="2" l="1"/>
  <c r="M1257" i="2" s="1"/>
  <c r="N1257" i="2" s="1"/>
  <c r="H1257" i="2"/>
  <c r="I1257" i="2" s="1"/>
  <c r="C1258" i="2" l="1"/>
  <c r="B1258" i="2"/>
  <c r="F1258" i="2" l="1"/>
  <c r="K1258" i="2" s="1"/>
  <c r="L1258" i="2"/>
  <c r="G1258" i="2"/>
  <c r="J1258" i="2" l="1"/>
  <c r="M1258" i="2" s="1"/>
  <c r="N1258" i="2" s="1"/>
  <c r="H1258" i="2"/>
  <c r="I1258" i="2" s="1"/>
  <c r="B1259" i="2" l="1"/>
  <c r="C1259" i="2"/>
  <c r="G1259" i="2" l="1"/>
  <c r="F1259" i="2"/>
  <c r="K1259" i="2" s="1"/>
  <c r="L1259" i="2"/>
  <c r="J1259" i="2" l="1"/>
  <c r="M1259" i="2" s="1"/>
  <c r="N1259" i="2" s="1"/>
  <c r="H1259" i="2"/>
  <c r="I1259" i="2" s="1"/>
  <c r="C1260" i="2" l="1"/>
  <c r="B1260" i="2"/>
  <c r="F1260" i="2" l="1"/>
  <c r="K1260" i="2" s="1"/>
  <c r="L1260" i="2"/>
  <c r="G1260" i="2"/>
  <c r="J1260" i="2" l="1"/>
  <c r="M1260" i="2" s="1"/>
  <c r="N1260" i="2" s="1"/>
  <c r="H1260" i="2"/>
  <c r="I1260" i="2" s="1"/>
  <c r="B1261" i="2" l="1"/>
  <c r="C1261" i="2"/>
  <c r="G1261" i="2" l="1"/>
  <c r="L1261" i="2"/>
  <c r="F1261" i="2"/>
  <c r="K1261" i="2" s="1"/>
  <c r="H1261" i="2" l="1"/>
  <c r="I1261" i="2" s="1"/>
  <c r="J1261" i="2"/>
  <c r="M1261" i="2" s="1"/>
  <c r="N1261" i="2" s="1"/>
  <c r="C1262" i="2" l="1"/>
  <c r="B1262" i="2"/>
  <c r="G1262" i="2" l="1"/>
  <c r="L1262" i="2"/>
  <c r="F1262" i="2"/>
  <c r="K1262" i="2" s="1"/>
  <c r="J1262" i="2" l="1"/>
  <c r="M1262" i="2" s="1"/>
  <c r="N1262" i="2" s="1"/>
  <c r="H1262" i="2"/>
  <c r="I1262" i="2" s="1"/>
  <c r="B1263" i="2" l="1"/>
  <c r="C1263" i="2"/>
  <c r="F1263" i="2" l="1"/>
  <c r="K1263" i="2" s="1"/>
  <c r="G1263" i="2"/>
  <c r="L1263" i="2"/>
  <c r="H1263" i="2" l="1"/>
  <c r="I1263" i="2" s="1"/>
  <c r="J1263" i="2"/>
  <c r="M1263" i="2" s="1"/>
  <c r="N1263" i="2" s="1"/>
  <c r="C1264" i="2" l="1"/>
  <c r="B1264" i="2"/>
  <c r="L1264" i="2" l="1"/>
  <c r="F1264" i="2"/>
  <c r="K1264" i="2" s="1"/>
  <c r="G1264" i="2"/>
  <c r="J1264" i="2" l="1"/>
  <c r="M1264" i="2" s="1"/>
  <c r="N1264" i="2" s="1"/>
  <c r="H1264" i="2"/>
  <c r="I1264" i="2" s="1"/>
  <c r="B1265" i="2" l="1"/>
  <c r="C1265" i="2"/>
  <c r="F1265" i="2" l="1"/>
  <c r="K1265" i="2" s="1"/>
  <c r="L1265" i="2"/>
  <c r="G1265" i="2"/>
  <c r="J1265" i="2" l="1"/>
  <c r="M1265" i="2" s="1"/>
  <c r="N1265" i="2" s="1"/>
  <c r="H1265" i="2"/>
  <c r="I1265" i="2" s="1"/>
  <c r="B1266" i="2" l="1"/>
  <c r="C1266" i="2"/>
  <c r="G1266" i="2" l="1"/>
  <c r="F1266" i="2"/>
  <c r="K1266" i="2" s="1"/>
  <c r="L1266" i="2"/>
  <c r="H1266" i="2" l="1"/>
  <c r="I1266" i="2" s="1"/>
  <c r="J1266" i="2"/>
  <c r="M1266" i="2" s="1"/>
  <c r="N1266" i="2" s="1"/>
  <c r="C1267" i="2" l="1"/>
  <c r="B1267" i="2"/>
  <c r="F1267" i="2" l="1"/>
  <c r="K1267" i="2" s="1"/>
  <c r="L1267" i="2"/>
  <c r="G1267" i="2"/>
  <c r="H1267" i="2" l="1"/>
  <c r="I1267" i="2" s="1"/>
  <c r="J1267" i="2"/>
  <c r="M1267" i="2" s="1"/>
  <c r="N1267" i="2" s="1"/>
  <c r="B1268" i="2" l="1"/>
  <c r="C1268" i="2"/>
  <c r="F1268" i="2" l="1"/>
  <c r="K1268" i="2" s="1"/>
  <c r="G1268" i="2"/>
  <c r="L1268" i="2"/>
  <c r="H1268" i="2" l="1"/>
  <c r="J1268" i="2"/>
  <c r="M1268" i="2" s="1"/>
  <c r="N1268" i="2" s="1"/>
  <c r="I1268" i="2"/>
  <c r="C1269" i="2" l="1"/>
  <c r="B1269" i="2"/>
  <c r="G1269" i="2" l="1"/>
  <c r="F1269" i="2"/>
  <c r="K1269" i="2" s="1"/>
  <c r="L1269" i="2"/>
  <c r="H1269" i="2" l="1"/>
  <c r="I1269" i="2" s="1"/>
  <c r="J1269" i="2"/>
  <c r="M1269" i="2" s="1"/>
  <c r="N1269" i="2" s="1"/>
  <c r="C1270" i="2" l="1"/>
  <c r="B1270" i="2"/>
  <c r="G1270" i="2" l="1"/>
  <c r="F1270" i="2"/>
  <c r="K1270" i="2" s="1"/>
  <c r="L1270" i="2"/>
  <c r="J1270" i="2" l="1"/>
  <c r="M1270" i="2" s="1"/>
  <c r="N1270" i="2" s="1"/>
  <c r="H1270" i="2"/>
  <c r="I1270" i="2" s="1"/>
  <c r="C1271" i="2" l="1"/>
  <c r="B1271" i="2"/>
  <c r="L1271" i="2" l="1"/>
  <c r="G1271" i="2"/>
  <c r="F1271" i="2"/>
  <c r="K1271" i="2" s="1"/>
  <c r="H1271" i="2" l="1"/>
  <c r="I1271" i="2" s="1"/>
  <c r="J1271" i="2"/>
  <c r="M1271" i="2" s="1"/>
  <c r="N1271" i="2" s="1"/>
  <c r="B1272" i="2" l="1"/>
  <c r="C1272" i="2"/>
  <c r="F1272" i="2" l="1"/>
  <c r="K1272" i="2" s="1"/>
  <c r="L1272" i="2"/>
  <c r="G1272" i="2"/>
  <c r="J1272" i="2" l="1"/>
  <c r="M1272" i="2" s="1"/>
  <c r="N1272" i="2" s="1"/>
  <c r="H1272" i="2"/>
  <c r="I1272" i="2" s="1"/>
  <c r="C1273" i="2" l="1"/>
  <c r="B1273" i="2"/>
  <c r="L1273" i="2" l="1"/>
  <c r="F1273" i="2"/>
  <c r="K1273" i="2" s="1"/>
  <c r="G1273" i="2"/>
  <c r="J1273" i="2" l="1"/>
  <c r="M1273" i="2" s="1"/>
  <c r="N1273" i="2" s="1"/>
  <c r="H1273" i="2"/>
  <c r="I1273" i="2" s="1"/>
  <c r="C1274" i="2" l="1"/>
  <c r="B1274" i="2"/>
  <c r="F1274" i="2" l="1"/>
  <c r="K1274" i="2" s="1"/>
  <c r="G1274" i="2"/>
  <c r="L1274" i="2"/>
  <c r="J1274" i="2" l="1"/>
  <c r="M1274" i="2" s="1"/>
  <c r="N1274" i="2" s="1"/>
  <c r="H1274" i="2"/>
  <c r="I1274" i="2" s="1"/>
  <c r="C1275" i="2" l="1"/>
  <c r="B1275" i="2"/>
  <c r="L1275" i="2" l="1"/>
  <c r="F1275" i="2"/>
  <c r="K1275" i="2" s="1"/>
  <c r="G1275" i="2"/>
  <c r="J1275" i="2" l="1"/>
  <c r="M1275" i="2" s="1"/>
  <c r="N1275" i="2" s="1"/>
  <c r="H1275" i="2"/>
  <c r="I1275" i="2" s="1"/>
  <c r="C1276" i="2" l="1"/>
  <c r="B1276" i="2"/>
  <c r="F1276" i="2" l="1"/>
  <c r="K1276" i="2" s="1"/>
  <c r="L1276" i="2"/>
  <c r="G1276" i="2"/>
  <c r="H1276" i="2" l="1"/>
  <c r="I1276" i="2" s="1"/>
  <c r="J1276" i="2"/>
  <c r="M1276" i="2" s="1"/>
  <c r="N1276" i="2" s="1"/>
  <c r="C1277" i="2" l="1"/>
  <c r="B1277" i="2"/>
  <c r="G1277" i="2" l="1"/>
  <c r="L1277" i="2"/>
  <c r="F1277" i="2"/>
  <c r="K1277" i="2" s="1"/>
  <c r="H1277" i="2" l="1"/>
  <c r="I1277" i="2" s="1"/>
  <c r="J1277" i="2"/>
  <c r="M1277" i="2" s="1"/>
  <c r="N1277" i="2" s="1"/>
  <c r="C1278" i="2" l="1"/>
  <c r="B1278" i="2"/>
  <c r="G1278" i="2" l="1"/>
  <c r="L1278" i="2"/>
  <c r="F1278" i="2"/>
  <c r="K1278" i="2" s="1"/>
  <c r="J1278" i="2" l="1"/>
  <c r="M1278" i="2" s="1"/>
  <c r="N1278" i="2" s="1"/>
  <c r="H1278" i="2"/>
  <c r="I1278" i="2" s="1"/>
  <c r="C1279" i="2" l="1"/>
  <c r="B1279" i="2"/>
  <c r="F1279" i="2" l="1"/>
  <c r="K1279" i="2" s="1"/>
  <c r="L1279" i="2"/>
  <c r="G1279" i="2"/>
  <c r="J1279" i="2" l="1"/>
  <c r="M1279" i="2" s="1"/>
  <c r="N1279" i="2" s="1"/>
  <c r="H1279" i="2"/>
  <c r="I1279" i="2" s="1"/>
  <c r="B1280" i="2" l="1"/>
  <c r="C1280" i="2"/>
  <c r="L1280" i="2" l="1"/>
  <c r="F1280" i="2"/>
  <c r="K1280" i="2" s="1"/>
  <c r="G1280" i="2"/>
  <c r="H1280" i="2" l="1"/>
  <c r="I1280" i="2" s="1"/>
  <c r="J1280" i="2"/>
  <c r="M1280" i="2" s="1"/>
  <c r="N1280" i="2" s="1"/>
  <c r="C1281" i="2" l="1"/>
  <c r="B1281" i="2"/>
  <c r="F1281" i="2" l="1"/>
  <c r="K1281" i="2" s="1"/>
  <c r="G1281" i="2"/>
  <c r="L1281" i="2"/>
  <c r="J1281" i="2" l="1"/>
  <c r="M1281" i="2" s="1"/>
  <c r="N1281" i="2" s="1"/>
  <c r="H1281" i="2"/>
  <c r="I1281" i="2" s="1"/>
  <c r="C1282" i="2" l="1"/>
  <c r="B1282" i="2"/>
  <c r="G1282" i="2" l="1"/>
  <c r="L1282" i="2"/>
  <c r="F1282" i="2"/>
  <c r="K1282" i="2" s="1"/>
  <c r="H1282" i="2" l="1"/>
  <c r="I1282" i="2" s="1"/>
  <c r="J1282" i="2"/>
  <c r="M1282" i="2" s="1"/>
  <c r="N1282" i="2" s="1"/>
  <c r="B1283" i="2" l="1"/>
  <c r="C1283" i="2"/>
  <c r="F1283" i="2" l="1"/>
  <c r="K1283" i="2" s="1"/>
  <c r="L1283" i="2"/>
  <c r="G1283" i="2"/>
  <c r="H1283" i="2" l="1"/>
  <c r="I1283" i="2" s="1"/>
  <c r="J1283" i="2"/>
  <c r="M1283" i="2" s="1"/>
  <c r="N1283" i="2" s="1"/>
  <c r="C1284" i="2" l="1"/>
  <c r="B1284" i="2"/>
  <c r="G1284" i="2" l="1"/>
  <c r="L1284" i="2"/>
  <c r="F1284" i="2"/>
  <c r="K1284" i="2" s="1"/>
  <c r="J1284" i="2" l="1"/>
  <c r="M1284" i="2" s="1"/>
  <c r="N1284" i="2" s="1"/>
  <c r="H1284" i="2"/>
  <c r="I1284" i="2" s="1"/>
  <c r="B1285" i="2" l="1"/>
  <c r="C1285" i="2"/>
  <c r="F1285" i="2" l="1"/>
  <c r="K1285" i="2" s="1"/>
  <c r="L1285" i="2"/>
  <c r="G1285" i="2"/>
  <c r="J1285" i="2" l="1"/>
  <c r="M1285" i="2" s="1"/>
  <c r="N1285" i="2" s="1"/>
  <c r="H1285" i="2"/>
  <c r="I1285" i="2" s="1"/>
  <c r="B1286" i="2" l="1"/>
  <c r="C1286" i="2"/>
  <c r="L1286" i="2" l="1"/>
  <c r="F1286" i="2"/>
  <c r="K1286" i="2" s="1"/>
  <c r="G1286" i="2"/>
  <c r="H1286" i="2" l="1"/>
  <c r="I1286" i="2" s="1"/>
  <c r="J1286" i="2"/>
  <c r="M1286" i="2" s="1"/>
  <c r="N1286" i="2" s="1"/>
  <c r="C1287" i="2" l="1"/>
  <c r="B1287" i="2"/>
  <c r="L1287" i="2" l="1"/>
  <c r="F1287" i="2"/>
  <c r="K1287" i="2" s="1"/>
  <c r="G1287" i="2"/>
  <c r="J1287" i="2" l="1"/>
  <c r="M1287" i="2" s="1"/>
  <c r="N1287" i="2" s="1"/>
  <c r="H1287" i="2"/>
  <c r="I1287" i="2" s="1"/>
  <c r="C1288" i="2" l="1"/>
  <c r="B1288" i="2"/>
  <c r="L1288" i="2" l="1"/>
  <c r="G1288" i="2"/>
  <c r="F1288" i="2"/>
  <c r="K1288" i="2" s="1"/>
  <c r="H1288" i="2" l="1"/>
  <c r="I1288" i="2" s="1"/>
  <c r="J1288" i="2"/>
  <c r="M1288" i="2" s="1"/>
  <c r="N1288" i="2" s="1"/>
  <c r="B1289" i="2" l="1"/>
  <c r="C1289" i="2"/>
  <c r="G1289" i="2" l="1"/>
  <c r="F1289" i="2"/>
  <c r="K1289" i="2" s="1"/>
  <c r="L1289" i="2"/>
  <c r="H1289" i="2" l="1"/>
  <c r="I1289" i="2" s="1"/>
  <c r="J1289" i="2"/>
  <c r="M1289" i="2" s="1"/>
  <c r="N1289" i="2" s="1"/>
  <c r="C1290" i="2" l="1"/>
  <c r="B1290" i="2"/>
  <c r="L1290" i="2" l="1"/>
  <c r="G1290" i="2"/>
  <c r="F1290" i="2"/>
  <c r="K1290" i="2" s="1"/>
  <c r="J1290" i="2" l="1"/>
  <c r="M1290" i="2" s="1"/>
  <c r="N1290" i="2" s="1"/>
  <c r="H1290" i="2"/>
  <c r="I1290" i="2" s="1"/>
  <c r="B1291" i="2" l="1"/>
  <c r="C1291" i="2"/>
  <c r="L1291" i="2" l="1"/>
  <c r="G1291" i="2"/>
  <c r="F1291" i="2"/>
  <c r="K1291" i="2" s="1"/>
  <c r="H1291" i="2" l="1"/>
  <c r="I1291" i="2" s="1"/>
  <c r="J1291" i="2"/>
  <c r="M1291" i="2" s="1"/>
  <c r="N1291" i="2" s="1"/>
  <c r="C1292" i="2" l="1"/>
  <c r="B1292" i="2"/>
  <c r="G1292" i="2" l="1"/>
  <c r="F1292" i="2"/>
  <c r="K1292" i="2" s="1"/>
  <c r="L1292" i="2"/>
  <c r="H1292" i="2" l="1"/>
  <c r="I1292" i="2" s="1"/>
  <c r="J1292" i="2"/>
  <c r="M1292" i="2" s="1"/>
  <c r="N1292" i="2" s="1"/>
  <c r="B1293" i="2" l="1"/>
  <c r="C1293" i="2"/>
  <c r="L1293" i="2" l="1"/>
  <c r="F1293" i="2"/>
  <c r="K1293" i="2" s="1"/>
  <c r="G1293" i="2"/>
  <c r="J1293" i="2" l="1"/>
  <c r="M1293" i="2" s="1"/>
  <c r="N1293" i="2" s="1"/>
  <c r="H1293" i="2"/>
  <c r="I1293" i="2" s="1"/>
  <c r="B1294" i="2" l="1"/>
  <c r="C1294" i="2"/>
  <c r="F1294" i="2" l="1"/>
  <c r="K1294" i="2" s="1"/>
  <c r="G1294" i="2"/>
  <c r="L1294" i="2"/>
  <c r="J1294" i="2" l="1"/>
  <c r="M1294" i="2" s="1"/>
  <c r="N1294" i="2" s="1"/>
  <c r="H1294" i="2"/>
  <c r="I1294" i="2" s="1"/>
  <c r="B1295" i="2" l="1"/>
  <c r="C1295" i="2"/>
  <c r="G1295" i="2" l="1"/>
  <c r="L1295" i="2"/>
  <c r="F1295" i="2"/>
  <c r="K1295" i="2" s="1"/>
  <c r="H1295" i="2" l="1"/>
  <c r="I1295" i="2" s="1"/>
  <c r="J1295" i="2"/>
  <c r="M1295" i="2" s="1"/>
  <c r="N1295" i="2" s="1"/>
  <c r="B1296" i="2" l="1"/>
  <c r="C1296" i="2"/>
  <c r="F1296" i="2" l="1"/>
  <c r="K1296" i="2" s="1"/>
  <c r="G1296" i="2"/>
  <c r="L1296" i="2"/>
  <c r="J1296" i="2" l="1"/>
  <c r="M1296" i="2" s="1"/>
  <c r="N1296" i="2" s="1"/>
  <c r="H1296" i="2"/>
  <c r="I1296" i="2" s="1"/>
  <c r="C1297" i="2" l="1"/>
  <c r="B1297" i="2"/>
  <c r="L1297" i="2" l="1"/>
  <c r="F1297" i="2"/>
  <c r="K1297" i="2" s="1"/>
  <c r="G1297" i="2"/>
  <c r="H1297" i="2" l="1"/>
  <c r="I1297" i="2" s="1"/>
  <c r="J1297" i="2"/>
  <c r="M1297" i="2" s="1"/>
  <c r="N1297" i="2" s="1"/>
  <c r="C1298" i="2" l="1"/>
  <c r="B1298" i="2"/>
  <c r="L1298" i="2" l="1"/>
  <c r="F1298" i="2"/>
  <c r="K1298" i="2" s="1"/>
  <c r="G1298" i="2"/>
  <c r="J1298" i="2" l="1"/>
  <c r="M1298" i="2" s="1"/>
  <c r="N1298" i="2" s="1"/>
  <c r="H1298" i="2"/>
  <c r="I1298" i="2" s="1"/>
  <c r="B1299" i="2" l="1"/>
  <c r="C1299" i="2"/>
  <c r="F1299" i="2" l="1"/>
  <c r="K1299" i="2" s="1"/>
  <c r="G1299" i="2"/>
  <c r="L1299" i="2"/>
  <c r="H1299" i="2" l="1"/>
  <c r="I1299" i="2" s="1"/>
  <c r="J1299" i="2"/>
  <c r="M1299" i="2" s="1"/>
  <c r="N1299" i="2" s="1"/>
  <c r="C1300" i="2" l="1"/>
  <c r="B1300" i="2"/>
  <c r="L1300" i="2" l="1"/>
  <c r="G1300" i="2"/>
  <c r="F1300" i="2"/>
  <c r="K1300" i="2" s="1"/>
  <c r="J1300" i="2" l="1"/>
  <c r="M1300" i="2" s="1"/>
  <c r="N1300" i="2" s="1"/>
  <c r="H1300" i="2"/>
  <c r="I1300" i="2" s="1"/>
  <c r="C1301" i="2" l="1"/>
  <c r="B1301" i="2"/>
  <c r="L1301" i="2" l="1"/>
  <c r="G1301" i="2"/>
  <c r="F1301" i="2"/>
  <c r="K1301" i="2" s="1"/>
  <c r="J1301" i="2" l="1"/>
  <c r="M1301" i="2" s="1"/>
  <c r="N1301" i="2" s="1"/>
  <c r="H1301" i="2"/>
  <c r="I1301" i="2" s="1"/>
  <c r="B1302" i="2" l="1"/>
  <c r="C1302" i="2"/>
  <c r="G1302" i="2" l="1"/>
  <c r="L1302" i="2"/>
  <c r="F1302" i="2"/>
  <c r="K1302" i="2" s="1"/>
  <c r="H1302" i="2" l="1"/>
  <c r="I1302" i="2" s="1"/>
  <c r="J1302" i="2"/>
  <c r="M1302" i="2" s="1"/>
  <c r="N1302" i="2" s="1"/>
  <c r="B1303" i="2" l="1"/>
  <c r="C1303" i="2"/>
  <c r="G1303" i="2" l="1"/>
  <c r="L1303" i="2"/>
  <c r="F1303" i="2"/>
  <c r="K1303" i="2" s="1"/>
  <c r="H1303" i="2" l="1"/>
  <c r="I1303" i="2" s="1"/>
  <c r="J1303" i="2"/>
  <c r="M1303" i="2" s="1"/>
  <c r="N1303" i="2" s="1"/>
  <c r="B1304" i="2" l="1"/>
  <c r="C1304" i="2"/>
  <c r="G1304" i="2" l="1"/>
  <c r="L1304" i="2"/>
  <c r="F1304" i="2"/>
  <c r="K1304" i="2" s="1"/>
  <c r="J1304" i="2" l="1"/>
  <c r="M1304" i="2" s="1"/>
  <c r="N1304" i="2" s="1"/>
  <c r="H1304" i="2"/>
  <c r="I1304" i="2" s="1"/>
  <c r="C1305" i="2" l="1"/>
  <c r="B1305" i="2"/>
  <c r="F1305" i="2" l="1"/>
  <c r="K1305" i="2" s="1"/>
  <c r="L1305" i="2"/>
  <c r="G1305" i="2"/>
  <c r="H1305" i="2" l="1"/>
  <c r="I1305" i="2" s="1"/>
  <c r="J1305" i="2"/>
  <c r="M1305" i="2" s="1"/>
  <c r="N1305" i="2" s="1"/>
  <c r="C1306" i="2" l="1"/>
  <c r="B1306" i="2"/>
  <c r="G1306" i="2" l="1"/>
  <c r="F1306" i="2"/>
  <c r="K1306" i="2" s="1"/>
  <c r="L1306" i="2"/>
  <c r="H1306" i="2" l="1"/>
  <c r="I1306" i="2" s="1"/>
  <c r="J1306" i="2"/>
  <c r="M1306" i="2" s="1"/>
  <c r="N1306" i="2" s="1"/>
  <c r="C1307" i="2" l="1"/>
  <c r="B1307" i="2"/>
  <c r="G1307" i="2" l="1"/>
  <c r="F1307" i="2"/>
  <c r="K1307" i="2" s="1"/>
  <c r="L1307" i="2"/>
  <c r="H1307" i="2" l="1"/>
  <c r="I1307" i="2" s="1"/>
  <c r="J1307" i="2"/>
  <c r="M1307" i="2" s="1"/>
  <c r="N1307" i="2" s="1"/>
  <c r="C1308" i="2" l="1"/>
  <c r="B1308" i="2"/>
  <c r="G1308" i="2" l="1"/>
  <c r="F1308" i="2"/>
  <c r="K1308" i="2" s="1"/>
  <c r="L1308" i="2"/>
  <c r="J1308" i="2" l="1"/>
  <c r="M1308" i="2" s="1"/>
  <c r="N1308" i="2" s="1"/>
  <c r="H1308" i="2"/>
  <c r="I1308" i="2" s="1"/>
  <c r="C1309" i="2" l="1"/>
  <c r="B1309" i="2"/>
  <c r="F1309" i="2" l="1"/>
  <c r="K1309" i="2" s="1"/>
  <c r="L1309" i="2"/>
  <c r="G1309" i="2"/>
  <c r="H1309" i="2" l="1"/>
  <c r="I1309" i="2" s="1"/>
  <c r="J1309" i="2"/>
  <c r="M1309" i="2" s="1"/>
  <c r="N1309" i="2" s="1"/>
  <c r="C1310" i="2" l="1"/>
  <c r="B1310" i="2"/>
  <c r="F1310" i="2" l="1"/>
  <c r="K1310" i="2" s="1"/>
  <c r="L1310" i="2"/>
  <c r="G1310" i="2"/>
  <c r="H1310" i="2" l="1"/>
  <c r="I1310" i="2" s="1"/>
  <c r="J1310" i="2"/>
  <c r="M1310" i="2" s="1"/>
  <c r="N1310" i="2" s="1"/>
  <c r="C1311" i="2" l="1"/>
  <c r="B1311" i="2"/>
  <c r="L1311" i="2" l="1"/>
  <c r="G1311" i="2"/>
  <c r="F1311" i="2"/>
  <c r="K1311" i="2" s="1"/>
  <c r="H1311" i="2" l="1"/>
  <c r="I1311" i="2" s="1"/>
  <c r="J1311" i="2"/>
  <c r="M1311" i="2" s="1"/>
  <c r="N1311" i="2" s="1"/>
  <c r="B1312" i="2" l="1"/>
  <c r="C1312" i="2"/>
  <c r="L1312" i="2" l="1"/>
  <c r="G1312" i="2"/>
  <c r="F1312" i="2"/>
  <c r="K1312" i="2" s="1"/>
  <c r="J1312" i="2" l="1"/>
  <c r="M1312" i="2" s="1"/>
  <c r="N1312" i="2" s="1"/>
  <c r="H1312" i="2"/>
  <c r="I1312" i="2" s="1"/>
  <c r="C1313" i="2" l="1"/>
  <c r="B1313" i="2"/>
  <c r="L1313" i="2" l="1"/>
  <c r="G1313" i="2"/>
  <c r="F1313" i="2"/>
  <c r="K1313" i="2" s="1"/>
  <c r="J1313" i="2" l="1"/>
  <c r="M1313" i="2" s="1"/>
  <c r="N1313" i="2" s="1"/>
  <c r="H1313" i="2"/>
  <c r="I1313" i="2" s="1"/>
  <c r="B1314" i="2" l="1"/>
  <c r="C1314" i="2"/>
  <c r="L1314" i="2" l="1"/>
  <c r="F1314" i="2"/>
  <c r="K1314" i="2" s="1"/>
  <c r="G1314" i="2"/>
  <c r="J1314" i="2" l="1"/>
  <c r="M1314" i="2" s="1"/>
  <c r="N1314" i="2" s="1"/>
  <c r="H1314" i="2"/>
  <c r="I1314" i="2" s="1"/>
  <c r="B1315" i="2" l="1"/>
  <c r="C1315" i="2"/>
  <c r="F1315" i="2" l="1"/>
  <c r="K1315" i="2" s="1"/>
  <c r="L1315" i="2"/>
  <c r="G1315" i="2"/>
  <c r="H1315" i="2" l="1"/>
  <c r="I1315" i="2" s="1"/>
  <c r="J1315" i="2"/>
  <c r="M1315" i="2" s="1"/>
  <c r="N1315" i="2" s="1"/>
  <c r="C1316" i="2" l="1"/>
  <c r="B1316" i="2"/>
  <c r="G1316" i="2" l="1"/>
  <c r="F1316" i="2"/>
  <c r="K1316" i="2" s="1"/>
  <c r="L1316" i="2"/>
  <c r="H1316" i="2" l="1"/>
  <c r="I1316" i="2" s="1"/>
  <c r="J1316" i="2"/>
  <c r="M1316" i="2" s="1"/>
  <c r="N1316" i="2" s="1"/>
  <c r="B1317" i="2" l="1"/>
  <c r="C1317" i="2"/>
  <c r="F1317" i="2" l="1"/>
  <c r="K1317" i="2" s="1"/>
  <c r="G1317" i="2"/>
  <c r="L1317" i="2"/>
  <c r="J1317" i="2" l="1"/>
  <c r="M1317" i="2" s="1"/>
  <c r="N1317" i="2" s="1"/>
  <c r="H1317" i="2"/>
  <c r="I1317" i="2" s="1"/>
  <c r="B1318" i="2" l="1"/>
  <c r="C1318" i="2"/>
  <c r="L1318" i="2" l="1"/>
  <c r="F1318" i="2"/>
  <c r="K1318" i="2" s="1"/>
  <c r="G1318" i="2"/>
  <c r="J1318" i="2" l="1"/>
  <c r="M1318" i="2" s="1"/>
  <c r="N1318" i="2" s="1"/>
  <c r="H1318" i="2"/>
  <c r="I1318" i="2" s="1"/>
  <c r="B1319" i="2" l="1"/>
  <c r="C1319" i="2"/>
  <c r="F1319" i="2" l="1"/>
  <c r="K1319" i="2" s="1"/>
  <c r="L1319" i="2"/>
  <c r="G1319" i="2"/>
  <c r="H1319" i="2" l="1"/>
  <c r="I1319" i="2" s="1"/>
  <c r="J1319" i="2"/>
  <c r="M1319" i="2" s="1"/>
  <c r="N1319" i="2" s="1"/>
  <c r="C1320" i="2" l="1"/>
  <c r="B1320" i="2"/>
  <c r="L1320" i="2" l="1"/>
  <c r="G1320" i="2"/>
  <c r="F1320" i="2"/>
  <c r="K1320" i="2" s="1"/>
  <c r="J1320" i="2" l="1"/>
  <c r="M1320" i="2" s="1"/>
  <c r="N1320" i="2" s="1"/>
  <c r="H1320" i="2"/>
  <c r="I1320" i="2" s="1"/>
  <c r="C1321" i="2" l="1"/>
  <c r="B1321" i="2"/>
  <c r="L1321" i="2" l="1"/>
  <c r="G1321" i="2"/>
  <c r="F1321" i="2"/>
  <c r="K1321" i="2" s="1"/>
  <c r="H1321" i="2" l="1"/>
  <c r="I1321" i="2" s="1"/>
  <c r="J1321" i="2"/>
  <c r="M1321" i="2" s="1"/>
  <c r="N1321" i="2" s="1"/>
  <c r="C1322" i="2" l="1"/>
  <c r="B1322" i="2"/>
  <c r="F1322" i="2" l="1"/>
  <c r="K1322" i="2" s="1"/>
  <c r="G1322" i="2"/>
  <c r="L1322" i="2"/>
  <c r="J1322" i="2" l="1"/>
  <c r="M1322" i="2" s="1"/>
  <c r="N1322" i="2" s="1"/>
  <c r="H1322" i="2"/>
  <c r="I1322" i="2" s="1"/>
  <c r="C1323" i="2" l="1"/>
  <c r="B1323" i="2"/>
  <c r="L1323" i="2" l="1"/>
  <c r="F1323" i="2"/>
  <c r="K1323" i="2" s="1"/>
  <c r="G1323" i="2"/>
  <c r="H1323" i="2" l="1"/>
  <c r="I1323" i="2" s="1"/>
  <c r="J1323" i="2"/>
  <c r="M1323" i="2" s="1"/>
  <c r="N1323" i="2" s="1"/>
  <c r="B1324" i="2" l="1"/>
  <c r="C1324" i="2"/>
  <c r="G1324" i="2" l="1"/>
  <c r="F1324" i="2"/>
  <c r="K1324" i="2" s="1"/>
  <c r="L1324" i="2"/>
  <c r="H1324" i="2" l="1"/>
  <c r="I1324" i="2" s="1"/>
  <c r="J1324" i="2"/>
  <c r="M1324" i="2" s="1"/>
  <c r="N1324" i="2" s="1"/>
  <c r="C1325" i="2" l="1"/>
  <c r="B1325" i="2"/>
  <c r="L1325" i="2" l="1"/>
  <c r="G1325" i="2"/>
  <c r="F1325" i="2"/>
  <c r="K1325" i="2" s="1"/>
  <c r="H1325" i="2" l="1"/>
  <c r="I1325" i="2" s="1"/>
  <c r="J1325" i="2"/>
  <c r="M1325" i="2" s="1"/>
  <c r="N1325" i="2" s="1"/>
  <c r="B1326" i="2" l="1"/>
  <c r="C1326" i="2"/>
  <c r="G1326" i="2" l="1"/>
  <c r="L1326" i="2"/>
  <c r="F1326" i="2"/>
  <c r="K1326" i="2" s="1"/>
  <c r="H1326" i="2" l="1"/>
  <c r="I1326" i="2" s="1"/>
  <c r="J1326" i="2"/>
  <c r="M1326" i="2" s="1"/>
  <c r="N1326" i="2" s="1"/>
  <c r="B1327" i="2" l="1"/>
  <c r="C1327" i="2"/>
  <c r="L1327" i="2" l="1"/>
  <c r="G1327" i="2"/>
  <c r="F1327" i="2"/>
  <c r="K1327" i="2" s="1"/>
  <c r="J1327" i="2" l="1"/>
  <c r="M1327" i="2" s="1"/>
  <c r="N1327" i="2" s="1"/>
  <c r="H1327" i="2"/>
  <c r="I1327" i="2" s="1"/>
  <c r="C1328" i="2" l="1"/>
  <c r="B1328" i="2"/>
  <c r="F1328" i="2" l="1"/>
  <c r="K1328" i="2" s="1"/>
  <c r="L1328" i="2"/>
  <c r="G1328" i="2"/>
  <c r="H1328" i="2" l="1"/>
  <c r="I1328" i="2" s="1"/>
  <c r="J1328" i="2"/>
  <c r="M1328" i="2" s="1"/>
  <c r="N1328" i="2" s="1"/>
  <c r="C1329" i="2" l="1"/>
  <c r="B1329" i="2"/>
  <c r="F1329" i="2" l="1"/>
  <c r="K1329" i="2" s="1"/>
  <c r="L1329" i="2"/>
  <c r="G1329" i="2"/>
  <c r="J1329" i="2" l="1"/>
  <c r="M1329" i="2" s="1"/>
  <c r="N1329" i="2" s="1"/>
  <c r="H1329" i="2"/>
  <c r="I1329" i="2" s="1"/>
  <c r="C1330" i="2" l="1"/>
  <c r="B1330" i="2"/>
  <c r="G1330" i="2" l="1"/>
  <c r="L1330" i="2"/>
  <c r="F1330" i="2"/>
  <c r="K1330" i="2" s="1"/>
  <c r="J1330" i="2" l="1"/>
  <c r="M1330" i="2" s="1"/>
  <c r="N1330" i="2" s="1"/>
  <c r="H1330" i="2"/>
  <c r="I1330" i="2" s="1"/>
  <c r="B1331" i="2" l="1"/>
  <c r="C1331" i="2"/>
  <c r="F1331" i="2" l="1"/>
  <c r="K1331" i="2" s="1"/>
  <c r="L1331" i="2"/>
  <c r="G1331" i="2"/>
  <c r="J1331" i="2" l="1"/>
  <c r="M1331" i="2" s="1"/>
  <c r="N1331" i="2" s="1"/>
  <c r="H1331" i="2"/>
  <c r="I1331" i="2" s="1"/>
  <c r="B1332" i="2" l="1"/>
  <c r="C1332" i="2"/>
  <c r="L1332" i="2" l="1"/>
  <c r="G1332" i="2"/>
  <c r="F1332" i="2"/>
  <c r="K1332" i="2" s="1"/>
  <c r="J1332" i="2" l="1"/>
  <c r="M1332" i="2" s="1"/>
  <c r="N1332" i="2" s="1"/>
  <c r="H1332" i="2"/>
  <c r="I1332" i="2" s="1"/>
  <c r="C1333" i="2" l="1"/>
  <c r="B1333" i="2"/>
  <c r="F1333" i="2" l="1"/>
  <c r="K1333" i="2" s="1"/>
  <c r="L1333" i="2"/>
  <c r="G1333" i="2"/>
  <c r="J1333" i="2" l="1"/>
  <c r="M1333" i="2" s="1"/>
  <c r="N1333" i="2" s="1"/>
  <c r="H1333" i="2"/>
  <c r="I1333" i="2" s="1"/>
  <c r="C1334" i="2" l="1"/>
  <c r="B1334" i="2"/>
  <c r="G1334" i="2" l="1"/>
  <c r="L1334" i="2"/>
  <c r="F1334" i="2"/>
  <c r="K1334" i="2" s="1"/>
  <c r="J1334" i="2" l="1"/>
  <c r="M1334" i="2" s="1"/>
  <c r="N1334" i="2" s="1"/>
  <c r="H1334" i="2"/>
  <c r="I1334" i="2" s="1"/>
  <c r="B1335" i="2" l="1"/>
  <c r="C1335" i="2"/>
  <c r="L1335" i="2" l="1"/>
  <c r="F1335" i="2"/>
  <c r="K1335" i="2" s="1"/>
  <c r="G1335" i="2"/>
  <c r="J1335" i="2" l="1"/>
  <c r="M1335" i="2" s="1"/>
  <c r="N1335" i="2" s="1"/>
  <c r="H1335" i="2"/>
  <c r="I1335" i="2" s="1"/>
  <c r="B1336" i="2" l="1"/>
  <c r="C1336" i="2"/>
  <c r="G1336" i="2" l="1"/>
  <c r="L1336" i="2"/>
  <c r="F1336" i="2"/>
  <c r="K1336" i="2" s="1"/>
  <c r="H1336" i="2" l="1"/>
  <c r="I1336" i="2" s="1"/>
  <c r="J1336" i="2"/>
  <c r="M1336" i="2" s="1"/>
  <c r="N1336" i="2" s="1"/>
  <c r="C1337" i="2" l="1"/>
  <c r="B1337" i="2"/>
  <c r="L1337" i="2" l="1"/>
  <c r="G1337" i="2"/>
  <c r="F1337" i="2"/>
  <c r="K1337" i="2" s="1"/>
  <c r="H1337" i="2" l="1"/>
  <c r="I1337" i="2" s="1"/>
  <c r="J1337" i="2"/>
  <c r="M1337" i="2" s="1"/>
  <c r="N1337" i="2" s="1"/>
  <c r="C1338" i="2" l="1"/>
  <c r="B1338" i="2"/>
  <c r="G1338" i="2" l="1"/>
  <c r="F1338" i="2"/>
  <c r="K1338" i="2" s="1"/>
  <c r="L1338" i="2"/>
  <c r="J1338" i="2" l="1"/>
  <c r="M1338" i="2" s="1"/>
  <c r="N1338" i="2" s="1"/>
  <c r="H1338" i="2"/>
  <c r="I1338" i="2" s="1"/>
  <c r="C1339" i="2" l="1"/>
  <c r="B1339" i="2"/>
  <c r="G1339" i="2" l="1"/>
  <c r="F1339" i="2"/>
  <c r="K1339" i="2" s="1"/>
  <c r="L1339" i="2"/>
  <c r="J1339" i="2" l="1"/>
  <c r="M1339" i="2" s="1"/>
  <c r="N1339" i="2" s="1"/>
  <c r="H1339" i="2"/>
  <c r="I1339" i="2" s="1"/>
  <c r="B1340" i="2" l="1"/>
  <c r="C1340" i="2"/>
  <c r="F1340" i="2" l="1"/>
  <c r="K1340" i="2" s="1"/>
  <c r="L1340" i="2"/>
  <c r="G1340" i="2"/>
  <c r="J1340" i="2" l="1"/>
  <c r="M1340" i="2" s="1"/>
  <c r="N1340" i="2" s="1"/>
  <c r="H1340" i="2"/>
  <c r="I1340" i="2" s="1"/>
  <c r="B1341" i="2" l="1"/>
  <c r="C1341" i="2"/>
  <c r="G1341" i="2" l="1"/>
  <c r="L1341" i="2"/>
  <c r="F1341" i="2"/>
  <c r="K1341" i="2" s="1"/>
  <c r="H1341" i="2" l="1"/>
  <c r="I1341" i="2" s="1"/>
  <c r="J1341" i="2"/>
  <c r="M1341" i="2" s="1"/>
  <c r="N1341" i="2" s="1"/>
  <c r="C1342" i="2" l="1"/>
  <c r="B1342" i="2"/>
  <c r="L1342" i="2" l="1"/>
  <c r="F1342" i="2"/>
  <c r="K1342" i="2" s="1"/>
  <c r="G1342" i="2"/>
  <c r="J1342" i="2" l="1"/>
  <c r="M1342" i="2" s="1"/>
  <c r="N1342" i="2" s="1"/>
  <c r="H1342" i="2"/>
  <c r="I1342" i="2" s="1"/>
  <c r="C1343" i="2" l="1"/>
  <c r="B1343" i="2"/>
  <c r="L1343" i="2" l="1"/>
  <c r="F1343" i="2"/>
  <c r="K1343" i="2" s="1"/>
  <c r="G1343" i="2"/>
  <c r="J1343" i="2" l="1"/>
  <c r="M1343" i="2" s="1"/>
  <c r="N1343" i="2" s="1"/>
  <c r="H1343" i="2"/>
  <c r="I1343" i="2" s="1"/>
  <c r="B1344" i="2" l="1"/>
  <c r="C1344" i="2"/>
  <c r="L1344" i="2" l="1"/>
  <c r="F1344" i="2"/>
  <c r="K1344" i="2" s="1"/>
  <c r="G1344" i="2"/>
  <c r="H1344" i="2" l="1"/>
  <c r="I1344" i="2" s="1"/>
  <c r="J1344" i="2"/>
  <c r="M1344" i="2" s="1"/>
  <c r="N1344" i="2" s="1"/>
  <c r="C1345" i="2" l="1"/>
  <c r="B1345" i="2"/>
  <c r="G1345" i="2" l="1"/>
  <c r="L1345" i="2"/>
  <c r="F1345" i="2"/>
  <c r="K1345" i="2" s="1"/>
  <c r="H1345" i="2" l="1"/>
  <c r="I1345" i="2" s="1"/>
  <c r="J1345" i="2"/>
  <c r="M1345" i="2" s="1"/>
  <c r="N1345" i="2" s="1"/>
  <c r="C1346" i="2" l="1"/>
  <c r="B1346" i="2"/>
  <c r="F1346" i="2" l="1"/>
  <c r="K1346" i="2" s="1"/>
  <c r="G1346" i="2"/>
  <c r="L1346" i="2"/>
  <c r="J1346" i="2" l="1"/>
  <c r="M1346" i="2" s="1"/>
  <c r="N1346" i="2" s="1"/>
  <c r="H1346" i="2"/>
  <c r="I1346" i="2" s="1"/>
  <c r="B1347" i="2" l="1"/>
  <c r="C1347" i="2"/>
  <c r="L1347" i="2" l="1"/>
  <c r="F1347" i="2"/>
  <c r="K1347" i="2" s="1"/>
  <c r="G1347" i="2"/>
  <c r="J1347" i="2" l="1"/>
  <c r="M1347" i="2" s="1"/>
  <c r="N1347" i="2" s="1"/>
  <c r="H1347" i="2"/>
  <c r="I1347" i="2" s="1"/>
  <c r="B1348" i="2" l="1"/>
  <c r="C1348" i="2"/>
  <c r="F1348" i="2" l="1"/>
  <c r="K1348" i="2" s="1"/>
  <c r="L1348" i="2"/>
  <c r="G1348" i="2"/>
  <c r="J1348" i="2" l="1"/>
  <c r="M1348" i="2" s="1"/>
  <c r="N1348" i="2" s="1"/>
  <c r="H1348" i="2"/>
  <c r="I1348" i="2" s="1"/>
  <c r="B1349" i="2" l="1"/>
  <c r="C1349" i="2"/>
  <c r="F1349" i="2" l="1"/>
  <c r="K1349" i="2" s="1"/>
  <c r="G1349" i="2"/>
  <c r="L1349" i="2"/>
  <c r="H1349" i="2" l="1"/>
  <c r="I1349" i="2" s="1"/>
  <c r="J1349" i="2"/>
  <c r="M1349" i="2" s="1"/>
  <c r="N1349" i="2" s="1"/>
  <c r="B1350" i="2" l="1"/>
  <c r="C1350" i="2"/>
  <c r="G1350" i="2" l="1"/>
  <c r="F1350" i="2"/>
  <c r="K1350" i="2" s="1"/>
  <c r="L1350" i="2"/>
  <c r="J1350" i="2" l="1"/>
  <c r="M1350" i="2" s="1"/>
  <c r="N1350" i="2" s="1"/>
  <c r="H1350" i="2"/>
  <c r="I1350" i="2" s="1"/>
  <c r="C1351" i="2" l="1"/>
  <c r="B1351" i="2"/>
  <c r="L1351" i="2" l="1"/>
  <c r="G1351" i="2"/>
  <c r="F1351" i="2"/>
  <c r="K1351" i="2" s="1"/>
  <c r="J1351" i="2" l="1"/>
  <c r="M1351" i="2" s="1"/>
  <c r="N1351" i="2" s="1"/>
  <c r="H1351" i="2"/>
  <c r="I1351" i="2" s="1"/>
  <c r="B1352" i="2" l="1"/>
  <c r="C1352" i="2"/>
  <c r="F1352" i="2" l="1"/>
  <c r="K1352" i="2" s="1"/>
  <c r="G1352" i="2"/>
  <c r="L1352" i="2"/>
  <c r="J1352" i="2" l="1"/>
  <c r="M1352" i="2" s="1"/>
  <c r="N1352" i="2" s="1"/>
  <c r="H1352" i="2"/>
  <c r="I1352" i="2" s="1"/>
  <c r="C1353" i="2" l="1"/>
  <c r="B1353" i="2"/>
  <c r="G1353" i="2" l="1"/>
  <c r="L1353" i="2"/>
  <c r="F1353" i="2"/>
  <c r="K1353" i="2" s="1"/>
  <c r="H1353" i="2" l="1"/>
  <c r="I1353" i="2" s="1"/>
  <c r="J1353" i="2"/>
  <c r="M1353" i="2" s="1"/>
  <c r="N1353" i="2" s="1"/>
  <c r="C1354" i="2" l="1"/>
  <c r="B1354" i="2"/>
  <c r="L1354" i="2" l="1"/>
  <c r="F1354" i="2"/>
  <c r="K1354" i="2" s="1"/>
  <c r="G1354" i="2"/>
  <c r="J1354" i="2" l="1"/>
  <c r="M1354" i="2" s="1"/>
  <c r="N1354" i="2" s="1"/>
  <c r="H1354" i="2"/>
  <c r="I1354" i="2" s="1"/>
  <c r="B1355" i="2" l="1"/>
  <c r="C1355" i="2"/>
  <c r="G1355" i="2" l="1"/>
  <c r="L1355" i="2"/>
  <c r="F1355" i="2"/>
  <c r="K1355" i="2" s="1"/>
  <c r="J1355" i="2" l="1"/>
  <c r="M1355" i="2" s="1"/>
  <c r="N1355" i="2" s="1"/>
  <c r="H1355" i="2"/>
  <c r="I1355" i="2" s="1"/>
  <c r="B1356" i="2" l="1"/>
  <c r="C1356" i="2"/>
  <c r="F1356" i="2" l="1"/>
  <c r="K1356" i="2" s="1"/>
  <c r="G1356" i="2"/>
  <c r="L1356" i="2"/>
  <c r="J1356" i="2" l="1"/>
  <c r="M1356" i="2" s="1"/>
  <c r="N1356" i="2" s="1"/>
  <c r="H1356" i="2"/>
  <c r="I1356" i="2" s="1"/>
  <c r="B1357" i="2" l="1"/>
  <c r="C1357" i="2"/>
  <c r="F1357" i="2" l="1"/>
  <c r="K1357" i="2" s="1"/>
  <c r="G1357" i="2"/>
  <c r="L1357" i="2"/>
  <c r="J1357" i="2" l="1"/>
  <c r="M1357" i="2" s="1"/>
  <c r="N1357" i="2" s="1"/>
  <c r="H1357" i="2"/>
  <c r="I1357" i="2" s="1"/>
  <c r="B1358" i="2" l="1"/>
  <c r="C1358" i="2"/>
  <c r="L1358" i="2" l="1"/>
  <c r="G1358" i="2"/>
  <c r="F1358" i="2"/>
  <c r="K1358" i="2" s="1"/>
  <c r="H1358" i="2" l="1"/>
  <c r="I1358" i="2" s="1"/>
  <c r="J1358" i="2"/>
  <c r="M1358" i="2" s="1"/>
  <c r="N1358" i="2" s="1"/>
  <c r="B1359" i="2" l="1"/>
  <c r="C1359" i="2"/>
  <c r="G1359" i="2" l="1"/>
  <c r="F1359" i="2"/>
  <c r="K1359" i="2" s="1"/>
  <c r="L1359" i="2"/>
  <c r="H1359" i="2" l="1"/>
  <c r="I1359" i="2" s="1"/>
  <c r="J1359" i="2"/>
  <c r="M1359" i="2" s="1"/>
  <c r="N1359" i="2" s="1"/>
  <c r="C1360" i="2" l="1"/>
  <c r="B1360" i="2"/>
  <c r="G1360" i="2" l="1"/>
  <c r="L1360" i="2"/>
  <c r="F1360" i="2"/>
  <c r="K1360" i="2" s="1"/>
  <c r="H1360" i="2" l="1"/>
  <c r="I1360" i="2" s="1"/>
  <c r="J1360" i="2"/>
  <c r="M1360" i="2" s="1"/>
  <c r="N1360" i="2" s="1"/>
  <c r="B1361" i="2" l="1"/>
  <c r="C1361" i="2"/>
  <c r="F1361" i="2" l="1"/>
  <c r="K1361" i="2" s="1"/>
  <c r="G1361" i="2"/>
  <c r="L1361" i="2"/>
  <c r="H1361" i="2" l="1"/>
  <c r="I1361" i="2" s="1"/>
  <c r="J1361" i="2"/>
  <c r="M1361" i="2" s="1"/>
  <c r="N1361" i="2" s="1"/>
  <c r="C1362" i="2" l="1"/>
  <c r="B1362" i="2"/>
  <c r="G1362" i="2" l="1"/>
  <c r="F1362" i="2"/>
  <c r="K1362" i="2" s="1"/>
  <c r="L1362" i="2"/>
  <c r="J1362" i="2" l="1"/>
  <c r="M1362" i="2" s="1"/>
  <c r="N1362" i="2" s="1"/>
  <c r="H1362" i="2"/>
  <c r="I1362" i="2" s="1"/>
  <c r="C1363" i="2" l="1"/>
  <c r="B1363" i="2"/>
  <c r="F1363" i="2" l="1"/>
  <c r="K1363" i="2" s="1"/>
  <c r="L1363" i="2"/>
  <c r="G1363" i="2"/>
  <c r="J1363" i="2" l="1"/>
  <c r="M1363" i="2" s="1"/>
  <c r="N1363" i="2" s="1"/>
  <c r="H1363" i="2"/>
  <c r="I1363" i="2" s="1"/>
  <c r="B1364" i="2" l="1"/>
  <c r="C1364" i="2"/>
  <c r="G1364" i="2" l="1"/>
  <c r="F1364" i="2"/>
  <c r="K1364" i="2" s="1"/>
  <c r="L1364" i="2"/>
  <c r="H1364" i="2" l="1"/>
  <c r="I1364" i="2" s="1"/>
  <c r="J1364" i="2"/>
  <c r="M1364" i="2" s="1"/>
  <c r="N1364" i="2" s="1"/>
  <c r="C1365" i="2" l="1"/>
  <c r="B1365" i="2"/>
  <c r="F1365" i="2" l="1"/>
  <c r="K1365" i="2" s="1"/>
  <c r="L1365" i="2"/>
  <c r="G1365" i="2"/>
  <c r="H1365" i="2" l="1"/>
  <c r="I1365" i="2" s="1"/>
  <c r="J1365" i="2"/>
  <c r="M1365" i="2" s="1"/>
  <c r="N1365" i="2" s="1"/>
  <c r="C1366" i="2" l="1"/>
  <c r="B1366" i="2"/>
  <c r="F1366" i="2" l="1"/>
  <c r="K1366" i="2" s="1"/>
  <c r="G1366" i="2"/>
  <c r="L1366" i="2"/>
  <c r="H1366" i="2" l="1"/>
  <c r="I1366" i="2" s="1"/>
  <c r="J1366" i="2"/>
  <c r="M1366" i="2" s="1"/>
  <c r="N1366" i="2" s="1"/>
  <c r="C1367" i="2" l="1"/>
  <c r="B1367" i="2"/>
  <c r="L1367" i="2" l="1"/>
  <c r="G1367" i="2"/>
  <c r="F1367" i="2"/>
  <c r="K1367" i="2" s="1"/>
  <c r="H1367" i="2" l="1"/>
  <c r="I1367" i="2" s="1"/>
  <c r="J1367" i="2"/>
  <c r="M1367" i="2" s="1"/>
  <c r="N1367" i="2" s="1"/>
  <c r="B1368" i="2" l="1"/>
  <c r="C1368" i="2"/>
  <c r="F1368" i="2" l="1"/>
  <c r="K1368" i="2" s="1"/>
  <c r="L1368" i="2"/>
  <c r="G1368" i="2"/>
  <c r="J1368" i="2" l="1"/>
  <c r="M1368" i="2" s="1"/>
  <c r="N1368" i="2" s="1"/>
  <c r="H1368" i="2"/>
  <c r="I1368" i="2" s="1"/>
  <c r="B1369" i="2" l="1"/>
  <c r="C1369" i="2"/>
  <c r="G1369" i="2" l="1"/>
  <c r="L1369" i="2"/>
  <c r="F1369" i="2"/>
  <c r="K1369" i="2" s="1"/>
  <c r="H1369" i="2" l="1"/>
  <c r="I1369" i="2" s="1"/>
  <c r="J1369" i="2"/>
  <c r="M1369" i="2" s="1"/>
  <c r="N1369" i="2" s="1"/>
  <c r="B1370" i="2" l="1"/>
  <c r="C1370" i="2"/>
  <c r="F1370" i="2" l="1"/>
  <c r="K1370" i="2" s="1"/>
  <c r="G1370" i="2"/>
  <c r="L1370" i="2"/>
  <c r="H1370" i="2" l="1"/>
  <c r="I1370" i="2" s="1"/>
  <c r="J1370" i="2"/>
  <c r="M1370" i="2" s="1"/>
  <c r="N1370" i="2" s="1"/>
  <c r="B1371" i="2" l="1"/>
  <c r="C1371" i="2"/>
  <c r="F1371" i="2" l="1"/>
  <c r="K1371" i="2" s="1"/>
  <c r="G1371" i="2"/>
  <c r="L1371" i="2"/>
  <c r="J1371" i="2" l="1"/>
  <c r="M1371" i="2" s="1"/>
  <c r="N1371" i="2" s="1"/>
  <c r="H1371" i="2"/>
  <c r="I1371" i="2" s="1"/>
  <c r="C1372" i="2" l="1"/>
  <c r="B1372" i="2"/>
  <c r="G1372" i="2" l="1"/>
  <c r="L1372" i="2"/>
  <c r="F1372" i="2"/>
  <c r="K1372" i="2" s="1"/>
  <c r="J1372" i="2" l="1"/>
  <c r="M1372" i="2" s="1"/>
  <c r="N1372" i="2" s="1"/>
  <c r="H1372" i="2"/>
  <c r="I1372" i="2" s="1"/>
  <c r="B1373" i="2" l="1"/>
  <c r="C1373" i="2"/>
  <c r="L1373" i="2" l="1"/>
  <c r="G1373" i="2"/>
  <c r="F1373" i="2"/>
  <c r="K1373" i="2" s="1"/>
  <c r="J1373" i="2" l="1"/>
  <c r="M1373" i="2" s="1"/>
  <c r="N1373" i="2" s="1"/>
  <c r="H1373" i="2"/>
  <c r="I1373" i="2" s="1"/>
  <c r="C1374" i="2" l="1"/>
  <c r="B1374" i="2"/>
  <c r="F1374" i="2" l="1"/>
  <c r="K1374" i="2" s="1"/>
  <c r="G1374" i="2"/>
  <c r="L1374" i="2"/>
  <c r="H1374" i="2" l="1"/>
  <c r="I1374" i="2" s="1"/>
  <c r="J1374" i="2"/>
  <c r="M1374" i="2" s="1"/>
  <c r="N1374" i="2" s="1"/>
  <c r="C1375" i="2" l="1"/>
  <c r="B1375" i="2"/>
  <c r="G1375" i="2" l="1"/>
  <c r="F1375" i="2"/>
  <c r="K1375" i="2" s="1"/>
  <c r="L1375" i="2"/>
  <c r="H1375" i="2" l="1"/>
  <c r="I1375" i="2" s="1"/>
  <c r="J1375" i="2"/>
  <c r="M1375" i="2" s="1"/>
  <c r="N1375" i="2" s="1"/>
  <c r="C1376" i="2" l="1"/>
  <c r="B1376" i="2"/>
  <c r="F1376" i="2" l="1"/>
  <c r="K1376" i="2" s="1"/>
  <c r="L1376" i="2"/>
  <c r="G1376" i="2"/>
  <c r="H1376" i="2" l="1"/>
  <c r="I1376" i="2" s="1"/>
  <c r="J1376" i="2"/>
  <c r="M1376" i="2" s="1"/>
  <c r="N1376" i="2" s="1"/>
  <c r="C1377" i="2" l="1"/>
  <c r="B1377" i="2"/>
  <c r="L1377" i="2" l="1"/>
  <c r="G1377" i="2"/>
  <c r="F1377" i="2"/>
  <c r="K1377" i="2" s="1"/>
  <c r="H1377" i="2" l="1"/>
  <c r="I1377" i="2" s="1"/>
  <c r="J1377" i="2"/>
  <c r="M1377" i="2" s="1"/>
  <c r="N1377" i="2" s="1"/>
  <c r="C1378" i="2" l="1"/>
  <c r="B1378" i="2"/>
  <c r="G1378" i="2" l="1"/>
  <c r="F1378" i="2"/>
  <c r="K1378" i="2" s="1"/>
  <c r="L1378" i="2"/>
  <c r="H1378" i="2" l="1"/>
  <c r="I1378" i="2" s="1"/>
  <c r="J1378" i="2"/>
  <c r="M1378" i="2" s="1"/>
  <c r="N1378" i="2" s="1"/>
  <c r="C1379" i="2" l="1"/>
  <c r="B1379" i="2"/>
  <c r="G1379" i="2" l="1"/>
  <c r="L1379" i="2"/>
  <c r="F1379" i="2"/>
  <c r="K1379" i="2" s="1"/>
  <c r="H1379" i="2" l="1"/>
  <c r="I1379" i="2" s="1"/>
  <c r="J1379" i="2"/>
  <c r="M1379" i="2" s="1"/>
  <c r="N1379" i="2" s="1"/>
  <c r="C1380" i="2" l="1"/>
  <c r="B1380" i="2"/>
  <c r="F1380" i="2" l="1"/>
  <c r="K1380" i="2" s="1"/>
  <c r="G1380" i="2"/>
  <c r="L1380" i="2"/>
  <c r="J1380" i="2" l="1"/>
  <c r="M1380" i="2" s="1"/>
  <c r="N1380" i="2" s="1"/>
  <c r="H1380" i="2"/>
  <c r="I1380" i="2" s="1"/>
  <c r="C1381" i="2" l="1"/>
  <c r="B1381" i="2"/>
  <c r="F1381" i="2" l="1"/>
  <c r="K1381" i="2" s="1"/>
  <c r="G1381" i="2"/>
  <c r="L1381" i="2"/>
  <c r="H1381" i="2" l="1"/>
  <c r="I1381" i="2" s="1"/>
  <c r="J1381" i="2"/>
  <c r="M1381" i="2" s="1"/>
  <c r="N1381" i="2" s="1"/>
  <c r="B1382" i="2" l="1"/>
  <c r="C1382" i="2"/>
  <c r="G1382" i="2" l="1"/>
  <c r="L1382" i="2"/>
  <c r="F1382" i="2"/>
  <c r="K1382" i="2" s="1"/>
  <c r="J1382" i="2" l="1"/>
  <c r="M1382" i="2" s="1"/>
  <c r="N1382" i="2" s="1"/>
  <c r="H1382" i="2"/>
  <c r="I1382" i="2" s="1"/>
  <c r="B1383" i="2" l="1"/>
  <c r="C1383" i="2"/>
  <c r="F1383" i="2" l="1"/>
  <c r="K1383" i="2" s="1"/>
  <c r="G1383" i="2"/>
  <c r="L1383" i="2"/>
  <c r="J1383" i="2" l="1"/>
  <c r="M1383" i="2" s="1"/>
  <c r="N1383" i="2" s="1"/>
  <c r="H1383" i="2"/>
  <c r="I1383" i="2" s="1"/>
  <c r="C1384" i="2" l="1"/>
  <c r="B1384" i="2"/>
  <c r="G1384" i="2" l="1"/>
  <c r="F1384" i="2"/>
  <c r="K1384" i="2" s="1"/>
  <c r="L1384" i="2"/>
  <c r="J1384" i="2" l="1"/>
  <c r="M1384" i="2" s="1"/>
  <c r="N1384" i="2" s="1"/>
  <c r="H1384" i="2"/>
  <c r="I1384" i="2" s="1"/>
  <c r="C1385" i="2" l="1"/>
  <c r="B1385" i="2"/>
  <c r="G1385" i="2" l="1"/>
  <c r="L1385" i="2"/>
  <c r="F1385" i="2"/>
  <c r="K1385" i="2" s="1"/>
  <c r="J1385" i="2" l="1"/>
  <c r="M1385" i="2" s="1"/>
  <c r="N1385" i="2" s="1"/>
  <c r="H1385" i="2"/>
  <c r="I1385" i="2" s="1"/>
  <c r="C1386" i="2" l="1"/>
  <c r="B1386" i="2"/>
  <c r="F1386" i="2" l="1"/>
  <c r="K1386" i="2" s="1"/>
  <c r="L1386" i="2"/>
  <c r="G1386" i="2"/>
  <c r="H1386" i="2" l="1"/>
  <c r="I1386" i="2" s="1"/>
  <c r="J1386" i="2"/>
  <c r="M1386" i="2" s="1"/>
  <c r="N1386" i="2" s="1"/>
  <c r="C1387" i="2" l="1"/>
  <c r="B1387" i="2"/>
  <c r="F1387" i="2" l="1"/>
  <c r="K1387" i="2" s="1"/>
  <c r="G1387" i="2"/>
  <c r="L1387" i="2"/>
  <c r="H1387" i="2" l="1"/>
  <c r="I1387" i="2" s="1"/>
  <c r="J1387" i="2"/>
  <c r="M1387" i="2" s="1"/>
  <c r="N1387" i="2" s="1"/>
  <c r="C1388" i="2" l="1"/>
  <c r="B1388" i="2"/>
  <c r="L1388" i="2" l="1"/>
  <c r="F1388" i="2"/>
  <c r="K1388" i="2" s="1"/>
  <c r="G1388" i="2"/>
  <c r="H1388" i="2" l="1"/>
  <c r="I1388" i="2" s="1"/>
  <c r="J1388" i="2"/>
  <c r="M1388" i="2" s="1"/>
  <c r="N1388" i="2" s="1"/>
  <c r="C1389" i="2" l="1"/>
  <c r="B1389" i="2"/>
  <c r="F1389" i="2" l="1"/>
  <c r="K1389" i="2" s="1"/>
  <c r="G1389" i="2"/>
  <c r="L1389" i="2"/>
  <c r="J1389" i="2" l="1"/>
  <c r="M1389" i="2" s="1"/>
  <c r="N1389" i="2" s="1"/>
  <c r="H1389" i="2"/>
  <c r="I1389" i="2" s="1"/>
  <c r="C1390" i="2" l="1"/>
  <c r="B1390" i="2"/>
  <c r="F1390" i="2" l="1"/>
  <c r="K1390" i="2" s="1"/>
  <c r="L1390" i="2"/>
  <c r="G1390" i="2"/>
  <c r="J1390" i="2" l="1"/>
  <c r="M1390" i="2" s="1"/>
  <c r="N1390" i="2" s="1"/>
  <c r="H1390" i="2"/>
  <c r="I1390" i="2" s="1"/>
  <c r="B1391" i="2" l="1"/>
  <c r="C1391" i="2"/>
  <c r="G1391" i="2" l="1"/>
  <c r="L1391" i="2"/>
  <c r="F1391" i="2"/>
  <c r="K1391" i="2" s="1"/>
  <c r="H1391" i="2" l="1"/>
  <c r="I1391" i="2" s="1"/>
  <c r="J1391" i="2"/>
  <c r="M1391" i="2" s="1"/>
  <c r="N1391" i="2" s="1"/>
  <c r="C1392" i="2" l="1"/>
  <c r="B1392" i="2"/>
  <c r="F1392" i="2" l="1"/>
  <c r="K1392" i="2" s="1"/>
  <c r="L1392" i="2"/>
  <c r="G1392" i="2"/>
  <c r="H1392" i="2" l="1"/>
  <c r="I1392" i="2" s="1"/>
  <c r="J1392" i="2"/>
  <c r="M1392" i="2" s="1"/>
  <c r="N1392" i="2" s="1"/>
  <c r="B1393" i="2" l="1"/>
  <c r="C1393" i="2"/>
  <c r="G1393" i="2" l="1"/>
  <c r="F1393" i="2"/>
  <c r="K1393" i="2" s="1"/>
  <c r="L1393" i="2"/>
  <c r="J1393" i="2" l="1"/>
  <c r="M1393" i="2" s="1"/>
  <c r="N1393" i="2" s="1"/>
  <c r="H1393" i="2"/>
  <c r="I1393" i="2" s="1"/>
  <c r="B1394" i="2" l="1"/>
  <c r="C1394" i="2"/>
  <c r="F1394" i="2" l="1"/>
  <c r="K1394" i="2" s="1"/>
  <c r="L1394" i="2"/>
  <c r="G1394" i="2"/>
  <c r="J1394" i="2" l="1"/>
  <c r="M1394" i="2" s="1"/>
  <c r="N1394" i="2" s="1"/>
  <c r="H1394" i="2"/>
  <c r="I1394" i="2" s="1"/>
  <c r="B1395" i="2" l="1"/>
  <c r="C1395" i="2"/>
  <c r="G1395" i="2" l="1"/>
  <c r="F1395" i="2"/>
  <c r="K1395" i="2" s="1"/>
  <c r="L1395" i="2"/>
  <c r="J1395" i="2" l="1"/>
  <c r="M1395" i="2" s="1"/>
  <c r="N1395" i="2" s="1"/>
  <c r="H1395" i="2"/>
  <c r="I1395" i="2" s="1"/>
  <c r="C1396" i="2" l="1"/>
  <c r="B1396" i="2"/>
  <c r="L1396" i="2" l="1"/>
  <c r="F1396" i="2"/>
  <c r="K1396" i="2" s="1"/>
  <c r="G1396" i="2"/>
  <c r="J1396" i="2" l="1"/>
  <c r="M1396" i="2" s="1"/>
  <c r="N1396" i="2" s="1"/>
  <c r="H1396" i="2"/>
  <c r="I1396" i="2" s="1"/>
  <c r="C1397" i="2" l="1"/>
  <c r="B1397" i="2"/>
  <c r="F1397" i="2" l="1"/>
  <c r="K1397" i="2" s="1"/>
  <c r="G1397" i="2"/>
  <c r="L1397" i="2"/>
  <c r="J1397" i="2" l="1"/>
  <c r="M1397" i="2" s="1"/>
  <c r="N1397" i="2" s="1"/>
  <c r="H1397" i="2"/>
  <c r="I1397" i="2" s="1"/>
  <c r="B1398" i="2" l="1"/>
  <c r="C1398" i="2"/>
  <c r="L1398" i="2" l="1"/>
  <c r="F1398" i="2"/>
  <c r="K1398" i="2" s="1"/>
  <c r="G1398" i="2"/>
  <c r="H1398" i="2" l="1"/>
  <c r="I1398" i="2" s="1"/>
  <c r="J1398" i="2"/>
  <c r="M1398" i="2" s="1"/>
  <c r="N1398" i="2" s="1"/>
  <c r="C1399" i="2" l="1"/>
  <c r="B1399" i="2"/>
  <c r="F1399" i="2" l="1"/>
  <c r="K1399" i="2" s="1"/>
  <c r="G1399" i="2"/>
  <c r="L1399" i="2"/>
  <c r="J1399" i="2" l="1"/>
  <c r="M1399" i="2" s="1"/>
  <c r="N1399" i="2" s="1"/>
  <c r="H1399" i="2"/>
  <c r="I1399" i="2" s="1"/>
  <c r="C1400" i="2" l="1"/>
  <c r="B1400" i="2"/>
  <c r="G1400" i="2" l="1"/>
  <c r="L1400" i="2"/>
  <c r="F1400" i="2"/>
  <c r="K1400" i="2" s="1"/>
  <c r="J1400" i="2" l="1"/>
  <c r="M1400" i="2" s="1"/>
  <c r="N1400" i="2" s="1"/>
  <c r="H1400" i="2"/>
  <c r="I1400" i="2" s="1"/>
  <c r="C1401" i="2" l="1"/>
  <c r="B1401" i="2"/>
  <c r="L1401" i="2" l="1"/>
  <c r="F1401" i="2"/>
  <c r="K1401" i="2" s="1"/>
  <c r="G1401" i="2"/>
  <c r="H1401" i="2" l="1"/>
  <c r="I1401" i="2" s="1"/>
  <c r="J1401" i="2"/>
  <c r="M1401" i="2" s="1"/>
  <c r="N1401" i="2" s="1"/>
  <c r="C1402" i="2" l="1"/>
  <c r="B1402" i="2"/>
  <c r="F1402" i="2" l="1"/>
  <c r="K1402" i="2" s="1"/>
  <c r="G1402" i="2"/>
  <c r="L1402" i="2"/>
  <c r="J1402" i="2" l="1"/>
  <c r="M1402" i="2" s="1"/>
  <c r="N1402" i="2" s="1"/>
  <c r="H1402" i="2"/>
  <c r="I1402" i="2" s="1"/>
  <c r="C1403" i="2" l="1"/>
  <c r="B1403" i="2"/>
  <c r="G1403" i="2" l="1"/>
  <c r="F1403" i="2"/>
  <c r="K1403" i="2" s="1"/>
  <c r="L1403" i="2"/>
  <c r="J1403" i="2" l="1"/>
  <c r="M1403" i="2" s="1"/>
  <c r="N1403" i="2" s="1"/>
  <c r="H1403" i="2"/>
  <c r="I1403" i="2" s="1"/>
  <c r="C1404" i="2" l="1"/>
  <c r="B1404" i="2"/>
  <c r="L1404" i="2" l="1"/>
  <c r="F1404" i="2"/>
  <c r="K1404" i="2" s="1"/>
  <c r="G1404" i="2"/>
  <c r="H1404" i="2" l="1"/>
  <c r="I1404" i="2" s="1"/>
  <c r="J1404" i="2"/>
  <c r="M1404" i="2" s="1"/>
  <c r="N1404" i="2" s="1"/>
  <c r="B1405" i="2" l="1"/>
  <c r="C1405" i="2"/>
  <c r="L1405" i="2" l="1"/>
  <c r="F1405" i="2"/>
  <c r="K1405" i="2" s="1"/>
  <c r="G1405" i="2"/>
  <c r="H1405" i="2" l="1"/>
  <c r="I1405" i="2" s="1"/>
  <c r="J1405" i="2"/>
  <c r="M1405" i="2" s="1"/>
  <c r="N1405" i="2" s="1"/>
  <c r="C1406" i="2" l="1"/>
  <c r="B1406" i="2"/>
  <c r="F1406" i="2" l="1"/>
  <c r="K1406" i="2" s="1"/>
  <c r="L1406" i="2"/>
  <c r="G1406" i="2"/>
  <c r="H1406" i="2" l="1"/>
  <c r="I1406" i="2" s="1"/>
  <c r="J1406" i="2"/>
  <c r="M1406" i="2" s="1"/>
  <c r="N1406" i="2" s="1"/>
  <c r="B1407" i="2" l="1"/>
  <c r="C1407" i="2"/>
  <c r="G1407" i="2" l="1"/>
  <c r="L1407" i="2"/>
  <c r="F1407" i="2"/>
  <c r="K1407" i="2" s="1"/>
  <c r="J1407" i="2" l="1"/>
  <c r="M1407" i="2" s="1"/>
  <c r="N1407" i="2" s="1"/>
  <c r="H1407" i="2"/>
  <c r="I1407" i="2" s="1"/>
  <c r="B1408" i="2" l="1"/>
  <c r="C1408" i="2"/>
  <c r="G1408" i="2" l="1"/>
  <c r="F1408" i="2"/>
  <c r="K1408" i="2" s="1"/>
  <c r="L1408" i="2"/>
  <c r="H1408" i="2" l="1"/>
  <c r="I1408" i="2" s="1"/>
  <c r="J1408" i="2"/>
  <c r="M1408" i="2" s="1"/>
  <c r="N1408" i="2" s="1"/>
  <c r="C1409" i="2" l="1"/>
  <c r="B1409" i="2"/>
  <c r="L1409" i="2" l="1"/>
  <c r="G1409" i="2"/>
  <c r="F1409" i="2"/>
  <c r="K1409" i="2" s="1"/>
  <c r="H1409" i="2" l="1"/>
  <c r="I1409" i="2" s="1"/>
  <c r="J1409" i="2"/>
  <c r="M1409" i="2" s="1"/>
  <c r="N1409" i="2" s="1"/>
  <c r="C1410" i="2" l="1"/>
  <c r="B1410" i="2"/>
  <c r="G1410" i="2" l="1"/>
  <c r="F1410" i="2"/>
  <c r="K1410" i="2" s="1"/>
  <c r="L1410" i="2"/>
  <c r="J1410" i="2" l="1"/>
  <c r="M1410" i="2" s="1"/>
  <c r="N1410" i="2" s="1"/>
  <c r="H1410" i="2"/>
  <c r="I1410" i="2" s="1"/>
  <c r="C1411" i="2" l="1"/>
  <c r="B1411" i="2"/>
  <c r="L1411" i="2" l="1"/>
  <c r="F1411" i="2"/>
  <c r="K1411" i="2" s="1"/>
  <c r="G1411" i="2"/>
  <c r="J1411" i="2" l="1"/>
  <c r="M1411" i="2" s="1"/>
  <c r="N1411" i="2" s="1"/>
  <c r="H1411" i="2"/>
  <c r="I1411" i="2" s="1"/>
  <c r="C1412" i="2" l="1"/>
  <c r="B1412" i="2"/>
  <c r="L1412" i="2" l="1"/>
  <c r="F1412" i="2"/>
  <c r="K1412" i="2" s="1"/>
  <c r="G1412" i="2"/>
  <c r="H1412" i="2" l="1"/>
  <c r="I1412" i="2" s="1"/>
  <c r="J1412" i="2"/>
  <c r="M1412" i="2" s="1"/>
  <c r="N1412" i="2" s="1"/>
  <c r="C1413" i="2" l="1"/>
  <c r="B1413" i="2"/>
  <c r="L1413" i="2" l="1"/>
  <c r="F1413" i="2"/>
  <c r="K1413" i="2" s="1"/>
  <c r="G1413" i="2"/>
  <c r="H1413" i="2" l="1"/>
  <c r="I1413" i="2" s="1"/>
  <c r="J1413" i="2"/>
  <c r="M1413" i="2" s="1"/>
  <c r="N1413" i="2" s="1"/>
  <c r="B1414" i="2" l="1"/>
  <c r="C1414" i="2"/>
  <c r="L1414" i="2" l="1"/>
  <c r="G1414" i="2"/>
  <c r="F1414" i="2"/>
  <c r="K1414" i="2" s="1"/>
  <c r="J1414" i="2" l="1"/>
  <c r="M1414" i="2" s="1"/>
  <c r="N1414" i="2" s="1"/>
  <c r="H1414" i="2"/>
  <c r="I1414" i="2" s="1"/>
  <c r="B1415" i="2" l="1"/>
  <c r="C1415" i="2"/>
  <c r="L1415" i="2" l="1"/>
  <c r="F1415" i="2"/>
  <c r="K1415" i="2" s="1"/>
  <c r="G1415" i="2"/>
  <c r="J1415" i="2" l="1"/>
  <c r="M1415" i="2" s="1"/>
  <c r="N1415" i="2" s="1"/>
  <c r="H1415" i="2"/>
  <c r="I1415" i="2" s="1"/>
  <c r="C1416" i="2" l="1"/>
  <c r="B1416" i="2"/>
  <c r="G1416" i="2" l="1"/>
  <c r="L1416" i="2"/>
  <c r="F1416" i="2"/>
  <c r="K1416" i="2" s="1"/>
  <c r="J1416" i="2" l="1"/>
  <c r="M1416" i="2" s="1"/>
  <c r="N1416" i="2" s="1"/>
  <c r="H1416" i="2"/>
  <c r="I1416" i="2" s="1"/>
  <c r="B1417" i="2" l="1"/>
  <c r="C1417" i="2"/>
  <c r="G1417" i="2" l="1"/>
  <c r="L1417" i="2"/>
  <c r="F1417" i="2"/>
  <c r="K1417" i="2" s="1"/>
  <c r="H1417" i="2" l="1"/>
  <c r="I1417" i="2" s="1"/>
  <c r="J1417" i="2"/>
  <c r="M1417" i="2" s="1"/>
  <c r="N1417" i="2" s="1"/>
  <c r="B1418" i="2" l="1"/>
  <c r="C1418" i="2"/>
  <c r="L1418" i="2" l="1"/>
  <c r="F1418" i="2"/>
  <c r="K1418" i="2" s="1"/>
  <c r="G1418" i="2"/>
  <c r="H1418" i="2" l="1"/>
  <c r="I1418" i="2" s="1"/>
  <c r="J1418" i="2"/>
  <c r="M1418" i="2" s="1"/>
  <c r="N1418" i="2" s="1"/>
  <c r="C1419" i="2" l="1"/>
  <c r="B1419" i="2"/>
  <c r="F1419" i="2" l="1"/>
  <c r="K1419" i="2" s="1"/>
  <c r="L1419" i="2"/>
  <c r="G1419" i="2"/>
  <c r="J1419" i="2" l="1"/>
  <c r="M1419" i="2" s="1"/>
  <c r="N1419" i="2" s="1"/>
  <c r="H1419" i="2"/>
  <c r="I1419" i="2" s="1"/>
  <c r="C1420" i="2" l="1"/>
  <c r="B1420" i="2"/>
  <c r="F1420" i="2" l="1"/>
  <c r="K1420" i="2" s="1"/>
  <c r="L1420" i="2"/>
  <c r="G1420" i="2"/>
  <c r="H1420" i="2" l="1"/>
  <c r="I1420" i="2" s="1"/>
  <c r="J1420" i="2"/>
  <c r="M1420" i="2" s="1"/>
  <c r="N1420" i="2" s="1"/>
  <c r="B1421" i="2" l="1"/>
  <c r="C1421" i="2"/>
  <c r="G1421" i="2" l="1"/>
  <c r="F1421" i="2"/>
  <c r="K1421" i="2" s="1"/>
  <c r="L1421" i="2"/>
  <c r="J1421" i="2" l="1"/>
  <c r="M1421" i="2" s="1"/>
  <c r="N1421" i="2" s="1"/>
  <c r="H1421" i="2"/>
  <c r="I1421" i="2" s="1"/>
  <c r="C1422" i="2" l="1"/>
  <c r="B1422" i="2"/>
  <c r="F1422" i="2" l="1"/>
  <c r="K1422" i="2" s="1"/>
  <c r="L1422" i="2"/>
  <c r="G1422" i="2"/>
  <c r="J1422" i="2" l="1"/>
  <c r="M1422" i="2" s="1"/>
  <c r="N1422" i="2" s="1"/>
  <c r="H1422" i="2"/>
  <c r="I1422" i="2" s="1"/>
  <c r="B1423" i="2" l="1"/>
  <c r="C1423" i="2"/>
  <c r="F1423" i="2" l="1"/>
  <c r="K1423" i="2" s="1"/>
  <c r="G1423" i="2"/>
  <c r="L1423" i="2"/>
  <c r="J1423" i="2" l="1"/>
  <c r="M1423" i="2" s="1"/>
  <c r="N1423" i="2" s="1"/>
  <c r="H1423" i="2"/>
  <c r="I1423" i="2" s="1"/>
  <c r="C1424" i="2" l="1"/>
  <c r="B1424" i="2"/>
  <c r="F1424" i="2" l="1"/>
  <c r="K1424" i="2" s="1"/>
  <c r="L1424" i="2"/>
  <c r="G1424" i="2"/>
  <c r="H1424" i="2" l="1"/>
  <c r="I1424" i="2" s="1"/>
  <c r="J1424" i="2"/>
  <c r="M1424" i="2" s="1"/>
  <c r="N1424" i="2" s="1"/>
  <c r="B1425" i="2" l="1"/>
  <c r="C1425" i="2"/>
  <c r="L1425" i="2" l="1"/>
  <c r="F1425" i="2"/>
  <c r="K1425" i="2" s="1"/>
  <c r="G1425" i="2"/>
  <c r="J1425" i="2" l="1"/>
  <c r="M1425" i="2" s="1"/>
  <c r="N1425" i="2" s="1"/>
  <c r="H1425" i="2"/>
  <c r="I1425" i="2" s="1"/>
  <c r="B1426" i="2" l="1"/>
  <c r="C1426" i="2"/>
  <c r="G1426" i="2" l="1"/>
  <c r="F1426" i="2"/>
  <c r="K1426" i="2" s="1"/>
  <c r="L1426" i="2"/>
  <c r="H1426" i="2" l="1"/>
  <c r="I1426" i="2" s="1"/>
  <c r="J1426" i="2"/>
  <c r="M1426" i="2" s="1"/>
  <c r="N1426" i="2" s="1"/>
  <c r="B1427" i="2" l="1"/>
  <c r="C1427" i="2"/>
  <c r="F1427" i="2" l="1"/>
  <c r="K1427" i="2" s="1"/>
  <c r="L1427" i="2"/>
  <c r="G1427" i="2"/>
  <c r="H1427" i="2" l="1"/>
  <c r="I1427" i="2" s="1"/>
  <c r="J1427" i="2"/>
  <c r="M1427" i="2" s="1"/>
  <c r="N1427" i="2" s="1"/>
  <c r="B1428" i="2" l="1"/>
  <c r="C1428" i="2"/>
  <c r="L1428" i="2" l="1"/>
  <c r="F1428" i="2"/>
  <c r="K1428" i="2" s="1"/>
  <c r="G1428" i="2"/>
  <c r="J1428" i="2" l="1"/>
  <c r="M1428" i="2" s="1"/>
  <c r="N1428" i="2" s="1"/>
  <c r="H1428" i="2"/>
  <c r="I1428" i="2" s="1"/>
  <c r="B1429" i="2" l="1"/>
  <c r="C1429" i="2"/>
  <c r="F1429" i="2" l="1"/>
  <c r="K1429" i="2" s="1"/>
  <c r="L1429" i="2"/>
  <c r="G1429" i="2"/>
  <c r="H1429" i="2" l="1"/>
  <c r="I1429" i="2" s="1"/>
  <c r="J1429" i="2"/>
  <c r="M1429" i="2" s="1"/>
  <c r="N1429" i="2" s="1"/>
  <c r="B1430" i="2" l="1"/>
  <c r="C1430" i="2"/>
  <c r="L1430" i="2" l="1"/>
  <c r="F1430" i="2"/>
  <c r="K1430" i="2" s="1"/>
  <c r="G1430" i="2"/>
  <c r="H1430" i="2" l="1"/>
  <c r="I1430" i="2" s="1"/>
  <c r="J1430" i="2"/>
  <c r="M1430" i="2" s="1"/>
  <c r="N1430" i="2" s="1"/>
  <c r="C1431" i="2" l="1"/>
  <c r="B1431" i="2"/>
  <c r="F1431" i="2" l="1"/>
  <c r="K1431" i="2" s="1"/>
  <c r="L1431" i="2"/>
  <c r="G1431" i="2"/>
  <c r="J1431" i="2" l="1"/>
  <c r="M1431" i="2" s="1"/>
  <c r="N1431" i="2" s="1"/>
  <c r="H1431" i="2"/>
  <c r="I1431" i="2" s="1"/>
  <c r="B1432" i="2" l="1"/>
  <c r="C1432" i="2"/>
  <c r="L1432" i="2" l="1"/>
  <c r="G1432" i="2"/>
  <c r="F1432" i="2"/>
  <c r="K1432" i="2" s="1"/>
  <c r="H1432" i="2" l="1"/>
  <c r="I1432" i="2" s="1"/>
  <c r="J1432" i="2"/>
  <c r="M1432" i="2" s="1"/>
  <c r="N1432" i="2" s="1"/>
  <c r="C1433" i="2" l="1"/>
  <c r="B1433" i="2"/>
  <c r="L1433" i="2" l="1"/>
  <c r="F1433" i="2"/>
  <c r="K1433" i="2" s="1"/>
  <c r="G1433" i="2"/>
  <c r="J1433" i="2" l="1"/>
  <c r="M1433" i="2" s="1"/>
  <c r="N1433" i="2" s="1"/>
  <c r="H1433" i="2"/>
  <c r="I1433" i="2" s="1"/>
  <c r="B1434" i="2" l="1"/>
  <c r="C1434" i="2"/>
  <c r="G1434" i="2" l="1"/>
  <c r="L1434" i="2"/>
  <c r="F1434" i="2"/>
  <c r="K1434" i="2" s="1"/>
  <c r="J1434" i="2" l="1"/>
  <c r="M1434" i="2" s="1"/>
  <c r="N1434" i="2" s="1"/>
  <c r="H1434" i="2"/>
  <c r="I1434" i="2" s="1"/>
  <c r="C1435" i="2" l="1"/>
  <c r="B1435" i="2"/>
  <c r="F1435" i="2" l="1"/>
  <c r="K1435" i="2" s="1"/>
  <c r="G1435" i="2"/>
  <c r="L1435" i="2"/>
  <c r="J1435" i="2" l="1"/>
  <c r="M1435" i="2" s="1"/>
  <c r="N1435" i="2" s="1"/>
  <c r="H1435" i="2"/>
  <c r="I1435" i="2" s="1"/>
  <c r="B1436" i="2" l="1"/>
  <c r="C1436" i="2"/>
  <c r="L1436" i="2" l="1"/>
  <c r="G1436" i="2"/>
  <c r="F1436" i="2"/>
  <c r="K1436" i="2" s="1"/>
  <c r="J1436" i="2" l="1"/>
  <c r="M1436" i="2" s="1"/>
  <c r="N1436" i="2" s="1"/>
  <c r="H1436" i="2"/>
  <c r="I1436" i="2" s="1"/>
  <c r="C1437" i="2" l="1"/>
  <c r="B1437" i="2"/>
  <c r="L1437" i="2" l="1"/>
  <c r="F1437" i="2"/>
  <c r="K1437" i="2" s="1"/>
  <c r="G1437" i="2"/>
  <c r="H1437" i="2" l="1"/>
  <c r="I1437" i="2" s="1"/>
  <c r="J1437" i="2"/>
  <c r="M1437" i="2" s="1"/>
  <c r="N1437" i="2" s="1"/>
  <c r="B1438" i="2" l="1"/>
  <c r="C1438" i="2"/>
  <c r="F1438" i="2" l="1"/>
  <c r="K1438" i="2" s="1"/>
  <c r="G1438" i="2"/>
  <c r="L1438" i="2"/>
  <c r="H1438" i="2" l="1"/>
  <c r="I1438" i="2" s="1"/>
  <c r="J1438" i="2"/>
  <c r="M1438" i="2" s="1"/>
  <c r="N1438" i="2" s="1"/>
  <c r="C1439" i="2" l="1"/>
  <c r="B1439" i="2"/>
  <c r="F1439" i="2" l="1"/>
  <c r="K1439" i="2" s="1"/>
  <c r="G1439" i="2"/>
  <c r="L1439" i="2"/>
  <c r="H1439" i="2" l="1"/>
  <c r="I1439" i="2" s="1"/>
  <c r="J1439" i="2"/>
  <c r="M1439" i="2" s="1"/>
  <c r="N1439" i="2" s="1"/>
  <c r="B1440" i="2" l="1"/>
  <c r="C1440" i="2"/>
  <c r="L1440" i="2" l="1"/>
  <c r="F1440" i="2"/>
  <c r="K1440" i="2" s="1"/>
  <c r="G1440" i="2"/>
  <c r="J1440" i="2" l="1"/>
  <c r="M1440" i="2" s="1"/>
  <c r="N1440" i="2" s="1"/>
  <c r="H1440" i="2"/>
  <c r="I1440" i="2" s="1"/>
  <c r="C1441" i="2" l="1"/>
  <c r="B1441" i="2"/>
  <c r="F1441" i="2" l="1"/>
  <c r="K1441" i="2" s="1"/>
  <c r="G1441" i="2"/>
  <c r="L1441" i="2"/>
  <c r="H1441" i="2" l="1"/>
  <c r="I1441" i="2" s="1"/>
  <c r="J1441" i="2"/>
  <c r="M1441" i="2" s="1"/>
  <c r="N1441" i="2" s="1"/>
  <c r="B1442" i="2" l="1"/>
  <c r="C1442" i="2"/>
  <c r="G1442" i="2" l="1"/>
  <c r="F1442" i="2"/>
  <c r="K1442" i="2" s="1"/>
  <c r="L1442" i="2"/>
  <c r="H1442" i="2" l="1"/>
  <c r="I1442" i="2" s="1"/>
  <c r="J1442" i="2"/>
  <c r="M1442" i="2" s="1"/>
  <c r="N1442" i="2" s="1"/>
  <c r="B1443" i="2" l="1"/>
  <c r="C1443" i="2"/>
  <c r="L1443" i="2" l="1"/>
  <c r="G1443" i="2"/>
  <c r="F1443" i="2"/>
  <c r="K1443" i="2" s="1"/>
  <c r="H1443" i="2" l="1"/>
  <c r="I1443" i="2" s="1"/>
  <c r="J1443" i="2"/>
  <c r="M1443" i="2" s="1"/>
  <c r="N1443" i="2" s="1"/>
  <c r="B1444" i="2" l="1"/>
  <c r="C1444" i="2"/>
  <c r="F1444" i="2" l="1"/>
  <c r="K1444" i="2" s="1"/>
  <c r="L1444" i="2"/>
  <c r="G1444" i="2"/>
  <c r="H1444" i="2" l="1"/>
  <c r="I1444" i="2" s="1"/>
  <c r="J1444" i="2"/>
  <c r="M1444" i="2" s="1"/>
  <c r="N1444" i="2" s="1"/>
  <c r="B1445" i="2" l="1"/>
  <c r="C1445" i="2"/>
  <c r="F1445" i="2" l="1"/>
  <c r="K1445" i="2" s="1"/>
  <c r="L1445" i="2"/>
  <c r="G1445" i="2"/>
  <c r="J1445" i="2" l="1"/>
  <c r="M1445" i="2" s="1"/>
  <c r="N1445" i="2" s="1"/>
  <c r="H1445" i="2"/>
  <c r="I1445" i="2" s="1"/>
  <c r="B1446" i="2" l="1"/>
  <c r="C1446" i="2"/>
  <c r="F1446" i="2" l="1"/>
  <c r="K1446" i="2" s="1"/>
  <c r="G1446" i="2"/>
  <c r="L1446" i="2"/>
  <c r="H1446" i="2" l="1"/>
  <c r="I1446" i="2" s="1"/>
  <c r="J1446" i="2"/>
  <c r="M1446" i="2" s="1"/>
  <c r="N1446" i="2" s="1"/>
  <c r="C1447" i="2" l="1"/>
  <c r="B1447" i="2"/>
  <c r="G1447" i="2" l="1"/>
  <c r="L1447" i="2"/>
  <c r="F1447" i="2"/>
  <c r="K1447" i="2" s="1"/>
  <c r="H1447" i="2" l="1"/>
  <c r="I1447" i="2" s="1"/>
  <c r="J1447" i="2"/>
  <c r="M1447" i="2" s="1"/>
  <c r="N1447" i="2" s="1"/>
  <c r="B1448" i="2" l="1"/>
  <c r="C1448" i="2"/>
  <c r="G1448" i="2" l="1"/>
  <c r="L1448" i="2"/>
  <c r="F1448" i="2"/>
  <c r="K1448" i="2" s="1"/>
  <c r="J1448" i="2" l="1"/>
  <c r="M1448" i="2" s="1"/>
  <c r="N1448" i="2" s="1"/>
  <c r="H1448" i="2"/>
  <c r="I1448" i="2" s="1"/>
  <c r="B1449" i="2" l="1"/>
  <c r="C1449" i="2"/>
  <c r="G1449" i="2" l="1"/>
  <c r="L1449" i="2"/>
  <c r="F1449" i="2"/>
  <c r="K1449" i="2" s="1"/>
  <c r="H1449" i="2" l="1"/>
  <c r="I1449" i="2" s="1"/>
  <c r="J1449" i="2"/>
  <c r="M1449" i="2" s="1"/>
  <c r="N1449" i="2" s="1"/>
  <c r="C1450" i="2" l="1"/>
  <c r="B1450" i="2"/>
  <c r="G1450" i="2" l="1"/>
  <c r="F1450" i="2"/>
  <c r="K1450" i="2" s="1"/>
  <c r="L1450" i="2"/>
  <c r="J1450" i="2" l="1"/>
  <c r="M1450" i="2" s="1"/>
  <c r="N1450" i="2" s="1"/>
  <c r="H1450" i="2"/>
  <c r="I1450" i="2" s="1"/>
  <c r="C1451" i="2" l="1"/>
  <c r="B1451" i="2"/>
  <c r="G1451" i="2" l="1"/>
  <c r="F1451" i="2"/>
  <c r="K1451" i="2" s="1"/>
  <c r="L1451" i="2"/>
  <c r="J1451" i="2" l="1"/>
  <c r="M1451" i="2" s="1"/>
  <c r="N1451" i="2" s="1"/>
  <c r="H1451" i="2"/>
  <c r="I1451" i="2" s="1"/>
  <c r="C1452" i="2" l="1"/>
  <c r="B1452" i="2"/>
  <c r="G1452" i="2" l="1"/>
  <c r="L1452" i="2"/>
  <c r="F1452" i="2"/>
  <c r="K1452" i="2" s="1"/>
  <c r="J1452" i="2" l="1"/>
  <c r="M1452" i="2" s="1"/>
  <c r="N1452" i="2" s="1"/>
  <c r="H1452" i="2"/>
  <c r="I1452" i="2" s="1"/>
  <c r="B1453" i="2" l="1"/>
  <c r="C1453" i="2"/>
  <c r="L1453" i="2" l="1"/>
  <c r="F1453" i="2"/>
  <c r="K1453" i="2" s="1"/>
  <c r="G1453" i="2"/>
  <c r="J1453" i="2" l="1"/>
  <c r="M1453" i="2" s="1"/>
  <c r="N1453" i="2" s="1"/>
  <c r="H1453" i="2"/>
  <c r="I1453" i="2" s="1"/>
  <c r="C1454" i="2" l="1"/>
  <c r="B1454" i="2"/>
  <c r="F1454" i="2" l="1"/>
  <c r="K1454" i="2" s="1"/>
  <c r="G1454" i="2"/>
  <c r="L1454" i="2"/>
  <c r="J1454" i="2" l="1"/>
  <c r="M1454" i="2" s="1"/>
  <c r="N1454" i="2" s="1"/>
  <c r="H1454" i="2"/>
  <c r="I1454" i="2" s="1"/>
  <c r="B1455" i="2" l="1"/>
  <c r="C1455" i="2"/>
  <c r="G1455" i="2" l="1"/>
  <c r="L1455" i="2"/>
  <c r="F1455" i="2"/>
  <c r="K1455" i="2" s="1"/>
  <c r="J1455" i="2" l="1"/>
  <c r="M1455" i="2" s="1"/>
  <c r="N1455" i="2" s="1"/>
  <c r="H1455" i="2"/>
  <c r="I1455" i="2" s="1"/>
  <c r="B1456" i="2" l="1"/>
  <c r="C1456" i="2"/>
  <c r="G1456" i="2" l="1"/>
  <c r="F1456" i="2"/>
  <c r="K1456" i="2" s="1"/>
  <c r="L1456" i="2"/>
  <c r="J1456" i="2" l="1"/>
  <c r="M1456" i="2" s="1"/>
  <c r="N1456" i="2" s="1"/>
  <c r="H1456" i="2"/>
  <c r="I1456" i="2" s="1"/>
  <c r="C1457" i="2" l="1"/>
  <c r="B1457" i="2"/>
  <c r="G1457" i="2" l="1"/>
  <c r="F1457" i="2"/>
  <c r="K1457" i="2" s="1"/>
  <c r="L1457" i="2"/>
  <c r="J1457" i="2" l="1"/>
  <c r="M1457" i="2" s="1"/>
  <c r="N1457" i="2" s="1"/>
  <c r="H1457" i="2"/>
  <c r="I1457" i="2" s="1"/>
  <c r="B1458" i="2" l="1"/>
  <c r="C1458" i="2"/>
  <c r="F1458" i="2" l="1"/>
  <c r="K1458" i="2" s="1"/>
  <c r="G1458" i="2"/>
  <c r="L1458" i="2"/>
  <c r="J1458" i="2" l="1"/>
  <c r="M1458" i="2" s="1"/>
  <c r="N1458" i="2" s="1"/>
  <c r="H1458" i="2"/>
  <c r="I1458" i="2" s="1"/>
  <c r="B1459" i="2" l="1"/>
  <c r="C1459" i="2"/>
  <c r="L1459" i="2" l="1"/>
  <c r="G1459" i="2"/>
  <c r="F1459" i="2"/>
  <c r="K1459" i="2" s="1"/>
  <c r="J1459" i="2" l="1"/>
  <c r="M1459" i="2" s="1"/>
  <c r="N1459" i="2" s="1"/>
  <c r="H1459" i="2"/>
  <c r="I1459" i="2" s="1"/>
  <c r="B1460" i="2" l="1"/>
  <c r="C1460" i="2"/>
  <c r="L1460" i="2" l="1"/>
  <c r="F1460" i="2"/>
  <c r="K1460" i="2" s="1"/>
  <c r="G1460" i="2"/>
  <c r="J1460" i="2" l="1"/>
  <c r="M1460" i="2" s="1"/>
  <c r="N1460" i="2" s="1"/>
  <c r="H1460" i="2"/>
  <c r="I1460" i="2" s="1"/>
  <c r="C1461" i="2" l="1"/>
  <c r="B1461" i="2"/>
  <c r="L1461" i="2" l="1"/>
  <c r="G1461" i="2"/>
  <c r="F1461" i="2"/>
  <c r="K1461" i="2" s="1"/>
  <c r="H1461" i="2" l="1"/>
  <c r="J1461" i="2"/>
  <c r="M1461" i="2" s="1"/>
  <c r="N1461" i="2" s="1"/>
  <c r="I1461" i="2"/>
  <c r="B1462" i="2" l="1"/>
  <c r="C1462" i="2"/>
  <c r="F1462" i="2" l="1"/>
  <c r="K1462" i="2" s="1"/>
  <c r="G1462" i="2"/>
  <c r="L1462" i="2"/>
  <c r="J1462" i="2" l="1"/>
  <c r="M1462" i="2" s="1"/>
  <c r="N1462" i="2" s="1"/>
  <c r="H1462" i="2"/>
  <c r="I1462" i="2" s="1"/>
  <c r="C1463" i="2" l="1"/>
  <c r="B1463" i="2"/>
  <c r="L1463" i="2" l="1"/>
  <c r="G1463" i="2"/>
  <c r="F1463" i="2"/>
  <c r="K1463" i="2" s="1"/>
  <c r="H1463" i="2" l="1"/>
  <c r="I1463" i="2" s="1"/>
  <c r="J1463" i="2"/>
  <c r="M1463" i="2" s="1"/>
  <c r="N1463" i="2" s="1"/>
  <c r="C1464" i="2" l="1"/>
  <c r="B1464" i="2"/>
  <c r="F1464" i="2" l="1"/>
  <c r="K1464" i="2" s="1"/>
  <c r="G1464" i="2"/>
  <c r="L1464" i="2"/>
  <c r="J1464" i="2" l="1"/>
  <c r="M1464" i="2" s="1"/>
  <c r="N1464" i="2" s="1"/>
  <c r="H1464" i="2"/>
  <c r="I1464" i="2" s="1"/>
  <c r="C1465" i="2" l="1"/>
  <c r="B1465" i="2"/>
  <c r="G1465" i="2" l="1"/>
  <c r="F1465" i="2"/>
  <c r="K1465" i="2" s="1"/>
  <c r="L1465" i="2"/>
  <c r="J1465" i="2" l="1"/>
  <c r="M1465" i="2" s="1"/>
  <c r="N1465" i="2" s="1"/>
  <c r="H1465" i="2"/>
  <c r="I1465" i="2" s="1"/>
  <c r="C1466" i="2" l="1"/>
  <c r="B1466" i="2"/>
  <c r="F1466" i="2" l="1"/>
  <c r="K1466" i="2" s="1"/>
  <c r="G1466" i="2"/>
  <c r="L1466" i="2"/>
  <c r="H1466" i="2" l="1"/>
  <c r="I1466" i="2" s="1"/>
  <c r="J1466" i="2"/>
  <c r="M1466" i="2" s="1"/>
  <c r="N1466" i="2" s="1"/>
  <c r="B1467" i="2" l="1"/>
  <c r="C1467" i="2"/>
  <c r="F1467" i="2" l="1"/>
  <c r="K1467" i="2" s="1"/>
  <c r="G1467" i="2"/>
  <c r="L1467" i="2"/>
  <c r="J1467" i="2" l="1"/>
  <c r="M1467" i="2" s="1"/>
  <c r="N1467" i="2" s="1"/>
  <c r="H1467" i="2"/>
  <c r="I1467" i="2" s="1"/>
  <c r="B1468" i="2" l="1"/>
  <c r="C1468" i="2"/>
  <c r="L1468" i="2" l="1"/>
  <c r="F1468" i="2"/>
  <c r="K1468" i="2" s="1"/>
  <c r="G1468" i="2"/>
  <c r="J1468" i="2" l="1"/>
  <c r="M1468" i="2" s="1"/>
  <c r="N1468" i="2" s="1"/>
  <c r="H1468" i="2"/>
  <c r="I1468" i="2" s="1"/>
  <c r="C1469" i="2" l="1"/>
  <c r="B1469" i="2"/>
  <c r="L1469" i="2" l="1"/>
  <c r="F1469" i="2"/>
  <c r="K1469" i="2" s="1"/>
  <c r="G1469" i="2"/>
  <c r="J1469" i="2" l="1"/>
  <c r="M1469" i="2" s="1"/>
  <c r="N1469" i="2" s="1"/>
  <c r="H1469" i="2"/>
  <c r="I1469" i="2" s="1"/>
  <c r="C1470" i="2" l="1"/>
  <c r="B1470" i="2"/>
  <c r="F1470" i="2" l="1"/>
  <c r="K1470" i="2" s="1"/>
  <c r="G1470" i="2"/>
  <c r="L1470" i="2"/>
  <c r="H1470" i="2" l="1"/>
  <c r="I1470" i="2" s="1"/>
  <c r="J1470" i="2"/>
  <c r="M1470" i="2" s="1"/>
  <c r="N1470" i="2" s="1"/>
  <c r="B1471" i="2" l="1"/>
  <c r="C1471" i="2"/>
  <c r="L1471" i="2" l="1"/>
  <c r="F1471" i="2"/>
  <c r="K1471" i="2" s="1"/>
  <c r="G1471" i="2"/>
  <c r="J1471" i="2" l="1"/>
  <c r="M1471" i="2" s="1"/>
  <c r="N1471" i="2" s="1"/>
  <c r="H1471" i="2"/>
  <c r="I1471" i="2"/>
  <c r="C1472" i="2" l="1"/>
  <c r="B1472" i="2"/>
  <c r="L1472" i="2" l="1"/>
  <c r="F1472" i="2"/>
  <c r="K1472" i="2" s="1"/>
  <c r="G1472" i="2"/>
  <c r="H1472" i="2" l="1"/>
  <c r="I1472" i="2" s="1"/>
  <c r="J1472" i="2"/>
  <c r="M1472" i="2" s="1"/>
  <c r="N1472" i="2" s="1"/>
  <c r="C1473" i="2" l="1"/>
  <c r="B1473" i="2"/>
  <c r="G1473" i="2" l="1"/>
  <c r="F1473" i="2"/>
  <c r="K1473" i="2" s="1"/>
  <c r="L1473" i="2"/>
  <c r="H1473" i="2" l="1"/>
  <c r="I1473" i="2" s="1"/>
  <c r="J1473" i="2"/>
  <c r="M1473" i="2" s="1"/>
  <c r="N1473" i="2" s="1"/>
  <c r="B1474" i="2" l="1"/>
  <c r="C1474" i="2"/>
  <c r="G1474" i="2" l="1"/>
  <c r="L1474" i="2"/>
  <c r="F1474" i="2"/>
  <c r="K1474" i="2" s="1"/>
  <c r="H1474" i="2" l="1"/>
  <c r="I1474" i="2" s="1"/>
  <c r="J1474" i="2"/>
  <c r="M1474" i="2" s="1"/>
  <c r="N1474" i="2" s="1"/>
  <c r="B1475" i="2" l="1"/>
  <c r="C1475" i="2"/>
  <c r="G1475" i="2" l="1"/>
  <c r="F1475" i="2"/>
  <c r="K1475" i="2" s="1"/>
  <c r="L1475" i="2"/>
  <c r="H1475" i="2" l="1"/>
  <c r="J1475" i="2"/>
  <c r="M1475" i="2" s="1"/>
  <c r="N1475" i="2" s="1"/>
  <c r="I1475" i="2"/>
  <c r="B1476" i="2" l="1"/>
  <c r="C1476" i="2"/>
  <c r="G1476" i="2" l="1"/>
  <c r="F1476" i="2"/>
  <c r="K1476" i="2" s="1"/>
  <c r="L1476" i="2"/>
  <c r="J1476" i="2" l="1"/>
  <c r="M1476" i="2" s="1"/>
  <c r="N1476" i="2" s="1"/>
  <c r="H1476" i="2"/>
  <c r="I1476" i="2" s="1"/>
  <c r="B1477" i="2" l="1"/>
  <c r="C1477" i="2"/>
  <c r="F1477" i="2" l="1"/>
  <c r="K1477" i="2" s="1"/>
  <c r="G1477" i="2"/>
  <c r="L1477" i="2"/>
  <c r="J1477" i="2" l="1"/>
  <c r="M1477" i="2" s="1"/>
  <c r="N1477" i="2" s="1"/>
  <c r="H1477" i="2"/>
  <c r="I1477" i="2" s="1"/>
  <c r="B1478" i="2" l="1"/>
  <c r="C1478" i="2"/>
  <c r="F1478" i="2" l="1"/>
  <c r="K1478" i="2" s="1"/>
  <c r="L1478" i="2"/>
  <c r="G1478" i="2"/>
  <c r="J1478" i="2" l="1"/>
  <c r="M1478" i="2" s="1"/>
  <c r="N1478" i="2" s="1"/>
  <c r="H1478" i="2"/>
  <c r="I1478" i="2" s="1"/>
  <c r="B1479" i="2" l="1"/>
  <c r="C1479" i="2"/>
  <c r="L1479" i="2" l="1"/>
  <c r="G1479" i="2"/>
  <c r="F1479" i="2"/>
  <c r="K1479" i="2" s="1"/>
  <c r="J1479" i="2" l="1"/>
  <c r="M1479" i="2" s="1"/>
  <c r="N1479" i="2" s="1"/>
  <c r="H1479" i="2"/>
  <c r="I1479" i="2" s="1"/>
  <c r="C1480" i="2" l="1"/>
  <c r="B1480" i="2"/>
  <c r="G1480" i="2" l="1"/>
  <c r="F1480" i="2"/>
  <c r="K1480" i="2" s="1"/>
  <c r="L1480" i="2"/>
  <c r="J1480" i="2" l="1"/>
  <c r="M1480" i="2" s="1"/>
  <c r="N1480" i="2" s="1"/>
  <c r="H1480" i="2"/>
  <c r="I1480" i="2" s="1"/>
  <c r="C1481" i="2" l="1"/>
  <c r="B1481" i="2"/>
  <c r="F1481" i="2" l="1"/>
  <c r="K1481" i="2" s="1"/>
  <c r="L1481" i="2"/>
  <c r="G1481" i="2"/>
  <c r="J1481" i="2" l="1"/>
  <c r="M1481" i="2" s="1"/>
  <c r="N1481" i="2" s="1"/>
  <c r="H1481" i="2"/>
  <c r="I1481" i="2" s="1"/>
  <c r="B1482" i="2" l="1"/>
  <c r="C1482" i="2"/>
  <c r="L1482" i="2" l="1"/>
  <c r="G1482" i="2"/>
  <c r="F1482" i="2"/>
  <c r="K1482" i="2" s="1"/>
  <c r="J1482" i="2" l="1"/>
  <c r="M1482" i="2" s="1"/>
  <c r="N1482" i="2" s="1"/>
  <c r="H1482" i="2"/>
  <c r="I1482" i="2" s="1"/>
  <c r="C1483" i="2" l="1"/>
  <c r="B1483" i="2"/>
  <c r="G1483" i="2" l="1"/>
  <c r="F1483" i="2"/>
  <c r="K1483" i="2" s="1"/>
  <c r="L1483" i="2"/>
  <c r="J1483" i="2" l="1"/>
  <c r="M1483" i="2" s="1"/>
  <c r="N1483" i="2" s="1"/>
  <c r="H1483" i="2"/>
  <c r="I1483" i="2" s="1"/>
  <c r="B1484" i="2" l="1"/>
  <c r="C1484" i="2"/>
  <c r="L1484" i="2" l="1"/>
  <c r="F1484" i="2"/>
  <c r="K1484" i="2" s="1"/>
  <c r="G1484" i="2"/>
  <c r="J1484" i="2" l="1"/>
  <c r="M1484" i="2" s="1"/>
  <c r="N1484" i="2" s="1"/>
  <c r="H1484" i="2"/>
  <c r="I1484" i="2" s="1"/>
  <c r="C1485" i="2" l="1"/>
  <c r="B1485" i="2"/>
  <c r="F1485" i="2" l="1"/>
  <c r="K1485" i="2" s="1"/>
  <c r="L1485" i="2"/>
  <c r="G1485" i="2"/>
  <c r="J1485" i="2" l="1"/>
  <c r="M1485" i="2" s="1"/>
  <c r="N1485" i="2" s="1"/>
  <c r="H1485" i="2"/>
  <c r="I1485" i="2" s="1"/>
  <c r="C1486" i="2" l="1"/>
  <c r="B1486" i="2"/>
  <c r="G1486" i="2" l="1"/>
  <c r="L1486" i="2"/>
  <c r="F1486" i="2"/>
  <c r="K1486" i="2" s="1"/>
  <c r="H1486" i="2" l="1"/>
  <c r="I1486" i="2" s="1"/>
  <c r="J1486" i="2"/>
  <c r="M1486" i="2" s="1"/>
  <c r="N1486" i="2" s="1"/>
  <c r="C1487" i="2" l="1"/>
  <c r="B1487" i="2"/>
  <c r="L1487" i="2" l="1"/>
  <c r="F1487" i="2"/>
  <c r="K1487" i="2" s="1"/>
  <c r="G1487" i="2"/>
  <c r="H1487" i="2" l="1"/>
  <c r="I1487" i="2" s="1"/>
  <c r="J1487" i="2"/>
  <c r="M1487" i="2" s="1"/>
  <c r="N1487" i="2" s="1"/>
  <c r="B1488" i="2" l="1"/>
  <c r="C1488" i="2"/>
  <c r="G1488" i="2" l="1"/>
  <c r="L1488" i="2"/>
  <c r="F1488" i="2"/>
  <c r="K1488" i="2" s="1"/>
  <c r="H1488" i="2" l="1"/>
  <c r="I1488" i="2" s="1"/>
  <c r="J1488" i="2"/>
  <c r="M1488" i="2" s="1"/>
  <c r="N1488" i="2" s="1"/>
  <c r="B1489" i="2" l="1"/>
  <c r="C1489" i="2"/>
  <c r="G1489" i="2" l="1"/>
  <c r="L1489" i="2"/>
  <c r="F1489" i="2"/>
  <c r="K1489" i="2" s="1"/>
  <c r="H1489" i="2" l="1"/>
  <c r="I1489" i="2" s="1"/>
  <c r="J1489" i="2"/>
  <c r="M1489" i="2" s="1"/>
  <c r="N1489" i="2" s="1"/>
  <c r="C1490" i="2" l="1"/>
  <c r="B1490" i="2"/>
  <c r="G1490" i="2" l="1"/>
  <c r="F1490" i="2"/>
  <c r="K1490" i="2" s="1"/>
  <c r="L1490" i="2"/>
  <c r="J1490" i="2" l="1"/>
  <c r="M1490" i="2" s="1"/>
  <c r="N1490" i="2" s="1"/>
  <c r="H1490" i="2"/>
  <c r="I1490" i="2" s="1"/>
  <c r="B1491" i="2" l="1"/>
  <c r="C1491" i="2"/>
  <c r="G1491" i="2" l="1"/>
  <c r="F1491" i="2"/>
  <c r="K1491" i="2" s="1"/>
  <c r="L1491" i="2"/>
  <c r="J1491" i="2" l="1"/>
  <c r="M1491" i="2" s="1"/>
  <c r="N1491" i="2" s="1"/>
  <c r="H1491" i="2"/>
  <c r="I1491" i="2" s="1"/>
  <c r="C1492" i="2" l="1"/>
  <c r="B1492" i="2"/>
  <c r="G1492" i="2" l="1"/>
  <c r="F1492" i="2"/>
  <c r="K1492" i="2" s="1"/>
  <c r="L1492" i="2"/>
  <c r="H1492" i="2" l="1"/>
  <c r="I1492" i="2" s="1"/>
  <c r="J1492" i="2"/>
  <c r="M1492" i="2" s="1"/>
  <c r="N1492" i="2" s="1"/>
  <c r="B1493" i="2" l="1"/>
  <c r="C1493" i="2"/>
  <c r="L1493" i="2" l="1"/>
  <c r="G1493" i="2"/>
  <c r="F1493" i="2"/>
  <c r="K1493" i="2" s="1"/>
  <c r="H1493" i="2" l="1"/>
  <c r="I1493" i="2" s="1"/>
  <c r="J1493" i="2"/>
  <c r="M1493" i="2" s="1"/>
  <c r="N1493" i="2" s="1"/>
  <c r="B1494" i="2" l="1"/>
  <c r="C1494" i="2"/>
  <c r="G1494" i="2" l="1"/>
  <c r="L1494" i="2"/>
  <c r="F1494" i="2"/>
  <c r="K1494" i="2" s="1"/>
  <c r="J1494" i="2" l="1"/>
  <c r="M1494" i="2" s="1"/>
  <c r="N1494" i="2" s="1"/>
  <c r="H1494" i="2"/>
  <c r="I1494" i="2" s="1"/>
  <c r="C1495" i="2" l="1"/>
  <c r="B1495" i="2"/>
  <c r="F1495" i="2" l="1"/>
  <c r="K1495" i="2" s="1"/>
  <c r="L1495" i="2"/>
  <c r="G1495" i="2"/>
  <c r="J1495" i="2" l="1"/>
  <c r="M1495" i="2" s="1"/>
  <c r="N1495" i="2" s="1"/>
  <c r="H1495" i="2"/>
  <c r="I1495" i="2" s="1"/>
  <c r="B1496" i="2" l="1"/>
  <c r="C1496" i="2"/>
  <c r="G1496" i="2" l="1"/>
  <c r="L1496" i="2"/>
  <c r="F1496" i="2"/>
  <c r="K1496" i="2" s="1"/>
  <c r="J1496" i="2" l="1"/>
  <c r="M1496" i="2" s="1"/>
  <c r="N1496" i="2" s="1"/>
  <c r="H1496" i="2"/>
  <c r="I1496" i="2" s="1"/>
  <c r="C1497" i="2" l="1"/>
  <c r="B1497" i="2"/>
  <c r="F1497" i="2" l="1"/>
  <c r="K1497" i="2" s="1"/>
  <c r="L1497" i="2"/>
  <c r="G1497" i="2"/>
  <c r="J1497" i="2" l="1"/>
  <c r="M1497" i="2" s="1"/>
  <c r="N1497" i="2" s="1"/>
  <c r="H1497" i="2"/>
  <c r="I1497" i="2" s="1"/>
  <c r="B1498" i="2" l="1"/>
  <c r="C1498" i="2"/>
  <c r="L1498" i="2" l="1"/>
  <c r="F1498" i="2"/>
  <c r="K1498" i="2" s="1"/>
  <c r="G1498" i="2"/>
  <c r="H1498" i="2" l="1"/>
  <c r="I1498" i="2" s="1"/>
  <c r="J1498" i="2"/>
  <c r="M1498" i="2" s="1"/>
  <c r="N1498" i="2" s="1"/>
  <c r="B1499" i="2" l="1"/>
  <c r="C1499" i="2"/>
  <c r="L1499" i="2" l="1"/>
  <c r="G1499" i="2"/>
  <c r="F1499" i="2"/>
  <c r="K1499" i="2" s="1"/>
  <c r="J1499" i="2" l="1"/>
  <c r="M1499" i="2" s="1"/>
  <c r="N1499" i="2" s="1"/>
  <c r="H1499" i="2"/>
  <c r="I1499" i="2" s="1"/>
  <c r="C1500" i="2" l="1"/>
  <c r="B1500" i="2"/>
  <c r="F1500" i="2" l="1"/>
  <c r="K1500" i="2" s="1"/>
  <c r="G1500" i="2"/>
  <c r="L1500" i="2"/>
  <c r="J1500" i="2" l="1"/>
  <c r="M1500" i="2" s="1"/>
  <c r="N1500" i="2" s="1"/>
  <c r="H1500" i="2"/>
  <c r="I1500" i="2" s="1"/>
  <c r="C1501" i="2" l="1"/>
  <c r="B1501" i="2"/>
  <c r="G1501" i="2" l="1"/>
  <c r="L1501" i="2"/>
  <c r="F1501" i="2"/>
  <c r="K1501" i="2" s="1"/>
  <c r="J1501" i="2" l="1"/>
  <c r="M1501" i="2" s="1"/>
  <c r="N1501" i="2" s="1"/>
  <c r="H1501" i="2"/>
  <c r="I1501" i="2" s="1"/>
  <c r="C1502" i="2" l="1"/>
  <c r="B1502" i="2"/>
  <c r="F1502" i="2" l="1"/>
  <c r="K1502" i="2" s="1"/>
  <c r="L1502" i="2"/>
  <c r="G1502" i="2"/>
  <c r="J1502" i="2" l="1"/>
  <c r="M1502" i="2" s="1"/>
  <c r="N1502" i="2" s="1"/>
  <c r="H1502" i="2"/>
  <c r="I1502" i="2" s="1"/>
  <c r="C1503" i="2" l="1"/>
  <c r="B1503" i="2"/>
  <c r="F1503" i="2" l="1"/>
  <c r="K1503" i="2" s="1"/>
  <c r="L1503" i="2"/>
  <c r="G1503" i="2"/>
  <c r="J1503" i="2" l="1"/>
  <c r="M1503" i="2" s="1"/>
  <c r="N1503" i="2" s="1"/>
  <c r="H1503" i="2"/>
  <c r="I1503" i="2" s="1"/>
  <c r="C1504" i="2" l="1"/>
  <c r="B1504" i="2"/>
  <c r="F1504" i="2" l="1"/>
  <c r="K1504" i="2" s="1"/>
  <c r="G1504" i="2"/>
  <c r="L1504" i="2"/>
  <c r="J1504" i="2" l="1"/>
  <c r="M1504" i="2" s="1"/>
  <c r="N1504" i="2" s="1"/>
  <c r="H1504" i="2"/>
  <c r="I1504" i="2" s="1"/>
  <c r="B1505" i="2" l="1"/>
  <c r="C1505" i="2"/>
  <c r="F1505" i="2" l="1"/>
  <c r="K1505" i="2" s="1"/>
  <c r="G1505" i="2"/>
  <c r="L1505" i="2"/>
  <c r="H1505" i="2" l="1"/>
  <c r="I1505" i="2" s="1"/>
  <c r="J1505" i="2"/>
  <c r="M1505" i="2" s="1"/>
  <c r="N1505" i="2" s="1"/>
  <c r="B1506" i="2" l="1"/>
  <c r="C1506" i="2"/>
  <c r="G1506" i="2" l="1"/>
  <c r="L1506" i="2"/>
  <c r="F1506" i="2"/>
  <c r="K1506" i="2" s="1"/>
  <c r="H1506" i="2" l="1"/>
  <c r="I1506" i="2" s="1"/>
  <c r="J1506" i="2"/>
  <c r="M1506" i="2" s="1"/>
  <c r="N1506" i="2" s="1"/>
  <c r="C1507" i="2" l="1"/>
  <c r="B1507" i="2"/>
  <c r="G1507" i="2" l="1"/>
  <c r="L1507" i="2"/>
  <c r="F1507" i="2"/>
  <c r="K1507" i="2" s="1"/>
  <c r="J1507" i="2" l="1"/>
  <c r="M1507" i="2" s="1"/>
  <c r="N1507" i="2" s="1"/>
  <c r="H1507" i="2"/>
  <c r="I1507" i="2" s="1"/>
  <c r="C1508" i="2" l="1"/>
  <c r="B1508" i="2"/>
  <c r="F1508" i="2" l="1"/>
  <c r="K1508" i="2" s="1"/>
  <c r="G1508" i="2"/>
  <c r="L1508" i="2"/>
  <c r="J1508" i="2" l="1"/>
  <c r="M1508" i="2" s="1"/>
  <c r="N1508" i="2" s="1"/>
  <c r="H1508" i="2"/>
  <c r="I1508" i="2" s="1"/>
  <c r="C1509" i="2" l="1"/>
  <c r="B1509" i="2"/>
  <c r="L1509" i="2" l="1"/>
  <c r="G1509" i="2"/>
  <c r="F1509" i="2"/>
  <c r="K1509" i="2" s="1"/>
  <c r="J1509" i="2" l="1"/>
  <c r="M1509" i="2" s="1"/>
  <c r="N1509" i="2" s="1"/>
  <c r="H1509" i="2"/>
  <c r="I1509" i="2" s="1"/>
  <c r="C1510" i="2" l="1"/>
  <c r="B1510" i="2"/>
  <c r="F1510" i="2" l="1"/>
  <c r="K1510" i="2" s="1"/>
  <c r="G1510" i="2"/>
  <c r="L1510" i="2"/>
  <c r="H1510" i="2" l="1"/>
  <c r="I1510" i="2" s="1"/>
  <c r="J1510" i="2"/>
  <c r="M1510" i="2" s="1"/>
  <c r="N1510" i="2" s="1"/>
  <c r="B1511" i="2" l="1"/>
  <c r="C1511" i="2"/>
  <c r="F1511" i="2" l="1"/>
  <c r="K1511" i="2" s="1"/>
  <c r="G1511" i="2"/>
  <c r="L1511" i="2"/>
  <c r="J1511" i="2" l="1"/>
  <c r="M1511" i="2" s="1"/>
  <c r="N1511" i="2" s="1"/>
  <c r="H1511" i="2"/>
  <c r="I1511" i="2" s="1"/>
  <c r="C1512" i="2" l="1"/>
  <c r="B1512" i="2"/>
  <c r="G1512" i="2" l="1"/>
  <c r="L1512" i="2"/>
  <c r="F1512" i="2"/>
  <c r="K1512" i="2" s="1"/>
  <c r="H1512" i="2" l="1"/>
  <c r="I1512" i="2" s="1"/>
  <c r="J1512" i="2"/>
  <c r="M1512" i="2" s="1"/>
  <c r="N1512" i="2" s="1"/>
  <c r="C1513" i="2" l="1"/>
  <c r="B1513" i="2"/>
  <c r="G1513" i="2" l="1"/>
  <c r="F1513" i="2"/>
  <c r="K1513" i="2" s="1"/>
  <c r="L1513" i="2"/>
  <c r="H1513" i="2" l="1"/>
  <c r="I1513" i="2" s="1"/>
  <c r="J1513" i="2"/>
  <c r="M1513" i="2" s="1"/>
  <c r="N1513" i="2" s="1"/>
  <c r="B1514" i="2" l="1"/>
  <c r="C1514" i="2"/>
  <c r="G1514" i="2" l="1"/>
  <c r="F1514" i="2"/>
  <c r="K1514" i="2" s="1"/>
  <c r="L1514" i="2"/>
  <c r="J1514" i="2" l="1"/>
  <c r="M1514" i="2" s="1"/>
  <c r="N1514" i="2" s="1"/>
  <c r="H1514" i="2"/>
  <c r="I1514" i="2" s="1"/>
  <c r="C1515" i="2" l="1"/>
  <c r="B1515" i="2"/>
  <c r="G1515" i="2" l="1"/>
  <c r="L1515" i="2"/>
  <c r="F1515" i="2"/>
  <c r="K1515" i="2" s="1"/>
  <c r="J1515" i="2" l="1"/>
  <c r="M1515" i="2" s="1"/>
  <c r="N1515" i="2" s="1"/>
  <c r="H1515" i="2"/>
  <c r="I1515" i="2" s="1"/>
  <c r="C1516" i="2" l="1"/>
  <c r="B1516" i="2"/>
  <c r="G1516" i="2" l="1"/>
  <c r="L1516" i="2"/>
  <c r="F1516" i="2"/>
  <c r="K1516" i="2" s="1"/>
  <c r="H1516" i="2" l="1"/>
  <c r="I1516" i="2" s="1"/>
  <c r="J1516" i="2"/>
  <c r="M1516" i="2" s="1"/>
  <c r="N1516" i="2" s="1"/>
  <c r="C1517" i="2" l="1"/>
  <c r="B1517" i="2"/>
  <c r="G1517" i="2" l="1"/>
  <c r="L1517" i="2"/>
  <c r="F1517" i="2"/>
  <c r="K1517" i="2" s="1"/>
  <c r="J1517" i="2" l="1"/>
  <c r="M1517" i="2" s="1"/>
  <c r="N1517" i="2" s="1"/>
  <c r="H1517" i="2"/>
  <c r="I1517" i="2" s="1"/>
  <c r="B1518" i="2" l="1"/>
  <c r="C1518" i="2"/>
  <c r="L1518" i="2" l="1"/>
  <c r="G1518" i="2"/>
  <c r="F1518" i="2"/>
  <c r="K1518" i="2" s="1"/>
  <c r="J1518" i="2" l="1"/>
  <c r="M1518" i="2" s="1"/>
  <c r="N1518" i="2" s="1"/>
  <c r="H1518" i="2"/>
  <c r="I1518" i="2" s="1"/>
  <c r="B1519" i="2" l="1"/>
  <c r="C1519" i="2"/>
  <c r="G1519" i="2" l="1"/>
  <c r="L1519" i="2"/>
  <c r="F1519" i="2"/>
  <c r="K1519" i="2" s="1"/>
  <c r="J1519" i="2" l="1"/>
  <c r="M1519" i="2" s="1"/>
  <c r="N1519" i="2" s="1"/>
  <c r="H1519" i="2"/>
  <c r="I1519" i="2" s="1"/>
  <c r="B1520" i="2" l="1"/>
  <c r="C1520" i="2"/>
  <c r="F1520" i="2" l="1"/>
  <c r="K1520" i="2" s="1"/>
  <c r="L1520" i="2"/>
  <c r="G1520" i="2"/>
  <c r="J1520" i="2" l="1"/>
  <c r="M1520" i="2" s="1"/>
  <c r="N1520" i="2" s="1"/>
  <c r="H1520" i="2"/>
  <c r="I1520" i="2" s="1"/>
  <c r="B1521" i="2" l="1"/>
  <c r="C1521" i="2"/>
  <c r="L1521" i="2" l="1"/>
  <c r="G1521" i="2"/>
  <c r="F1521" i="2"/>
  <c r="K1521" i="2" s="1"/>
  <c r="J1521" i="2" l="1"/>
  <c r="M1521" i="2" s="1"/>
  <c r="N1521" i="2" s="1"/>
  <c r="H1521" i="2"/>
  <c r="I1521" i="2" s="1"/>
  <c r="C1522" i="2" l="1"/>
  <c r="B1522" i="2"/>
  <c r="L1522" i="2" l="1"/>
  <c r="G1522" i="2"/>
  <c r="F1522" i="2"/>
  <c r="K1522" i="2" s="1"/>
  <c r="J1522" i="2" l="1"/>
  <c r="M1522" i="2" s="1"/>
  <c r="N1522" i="2" s="1"/>
  <c r="H1522" i="2"/>
  <c r="I1522" i="2" s="1"/>
  <c r="C1523" i="2" l="1"/>
  <c r="B1523" i="2"/>
  <c r="G1523" i="2" l="1"/>
  <c r="L1523" i="2"/>
  <c r="F1523" i="2"/>
  <c r="K1523" i="2" s="1"/>
  <c r="H1523" i="2" l="1"/>
  <c r="I1523" i="2" s="1"/>
  <c r="J1523" i="2"/>
  <c r="M1523" i="2" s="1"/>
  <c r="N1523" i="2" s="1"/>
  <c r="C1524" i="2" l="1"/>
  <c r="B1524" i="2"/>
  <c r="F1524" i="2" l="1"/>
  <c r="K1524" i="2" s="1"/>
  <c r="L1524" i="2"/>
  <c r="G1524" i="2"/>
  <c r="J1524" i="2" l="1"/>
  <c r="M1524" i="2" s="1"/>
  <c r="N1524" i="2" s="1"/>
  <c r="H1524" i="2"/>
  <c r="I1524" i="2" s="1"/>
  <c r="B1525" i="2" l="1"/>
  <c r="C1525" i="2"/>
  <c r="G1525" i="2" l="1"/>
  <c r="F1525" i="2"/>
  <c r="K1525" i="2" s="1"/>
  <c r="L1525" i="2"/>
  <c r="J1525" i="2" l="1"/>
  <c r="M1525" i="2" s="1"/>
  <c r="N1525" i="2" s="1"/>
  <c r="H1525" i="2"/>
  <c r="I1525" i="2" s="1"/>
  <c r="C1526" i="2" l="1"/>
  <c r="B1526" i="2"/>
  <c r="L1526" i="2" l="1"/>
  <c r="G1526" i="2"/>
  <c r="F1526" i="2"/>
  <c r="K1526" i="2" s="1"/>
  <c r="H1526" i="2" l="1"/>
  <c r="I1526" i="2" s="1"/>
  <c r="J1526" i="2"/>
  <c r="M1526" i="2" s="1"/>
  <c r="N1526" i="2" s="1"/>
  <c r="C1527" i="2" l="1"/>
  <c r="B1527" i="2"/>
  <c r="G1527" i="2" l="1"/>
  <c r="L1527" i="2"/>
  <c r="F1527" i="2"/>
  <c r="K1527" i="2" s="1"/>
  <c r="J1527" i="2" l="1"/>
  <c r="M1527" i="2" s="1"/>
  <c r="N1527" i="2" s="1"/>
  <c r="H1527" i="2"/>
  <c r="I1527" i="2" s="1"/>
  <c r="C1528" i="2" l="1"/>
  <c r="B1528" i="2"/>
  <c r="L1528" i="2" l="1"/>
  <c r="G1528" i="2"/>
  <c r="F1528" i="2"/>
  <c r="K1528" i="2" s="1"/>
  <c r="H1528" i="2" l="1"/>
  <c r="I1528" i="2" s="1"/>
  <c r="J1528" i="2"/>
  <c r="M1528" i="2" s="1"/>
  <c r="N1528" i="2" s="1"/>
  <c r="B1529" i="2" l="1"/>
  <c r="C1529" i="2"/>
  <c r="G1529" i="2" l="1"/>
  <c r="L1529" i="2"/>
  <c r="F1529" i="2"/>
  <c r="K1529" i="2" s="1"/>
  <c r="J1529" i="2" l="1"/>
  <c r="M1529" i="2" s="1"/>
  <c r="N1529" i="2" s="1"/>
  <c r="H1529" i="2"/>
  <c r="I1529" i="2" s="1"/>
  <c r="C1530" i="2" l="1"/>
  <c r="B1530" i="2"/>
  <c r="G1530" i="2" l="1"/>
  <c r="L1530" i="2"/>
  <c r="F1530" i="2"/>
  <c r="K1530" i="2" s="1"/>
  <c r="H1530" i="2" l="1"/>
  <c r="I1530" i="2" s="1"/>
  <c r="J1530" i="2"/>
  <c r="M1530" i="2" s="1"/>
  <c r="N1530" i="2" s="1"/>
  <c r="C1531" i="2" l="1"/>
  <c r="B1531" i="2"/>
  <c r="L1531" i="2" l="1"/>
  <c r="G1531" i="2"/>
  <c r="F1531" i="2"/>
  <c r="K1531" i="2" s="1"/>
  <c r="H1531" i="2" l="1"/>
  <c r="I1531" i="2" s="1"/>
  <c r="J1531" i="2"/>
  <c r="M1531" i="2" s="1"/>
  <c r="N1531" i="2" s="1"/>
  <c r="C1532" i="2" l="1"/>
  <c r="B1532" i="2"/>
  <c r="L1532" i="2" l="1"/>
  <c r="F1532" i="2"/>
  <c r="K1532" i="2" s="1"/>
  <c r="G1532" i="2"/>
  <c r="J1532" i="2" l="1"/>
  <c r="M1532" i="2" s="1"/>
  <c r="N1532" i="2" s="1"/>
  <c r="H1532" i="2"/>
  <c r="I1532" i="2" s="1"/>
  <c r="C1533" i="2" l="1"/>
  <c r="B1533" i="2"/>
  <c r="F1533" i="2" l="1"/>
  <c r="K1533" i="2" s="1"/>
  <c r="L1533" i="2"/>
  <c r="G1533" i="2"/>
  <c r="J1533" i="2" l="1"/>
  <c r="M1533" i="2" s="1"/>
  <c r="N1533" i="2" s="1"/>
  <c r="H1533" i="2"/>
  <c r="I1533" i="2" s="1"/>
  <c r="B1534" i="2" l="1"/>
  <c r="C1534" i="2"/>
  <c r="G1534" i="2" l="1"/>
  <c r="L1534" i="2"/>
  <c r="F1534" i="2"/>
  <c r="K1534" i="2" s="1"/>
  <c r="J1534" i="2" l="1"/>
  <c r="M1534" i="2" s="1"/>
  <c r="N1534" i="2" s="1"/>
  <c r="H1534" i="2"/>
  <c r="I1534" i="2" s="1"/>
  <c r="C1535" i="2" l="1"/>
  <c r="B1535" i="2"/>
  <c r="G1535" i="2" l="1"/>
  <c r="L1535" i="2"/>
  <c r="F1535" i="2"/>
  <c r="K1535" i="2" s="1"/>
  <c r="H1535" i="2" l="1"/>
  <c r="I1535" i="2" s="1"/>
  <c r="J1535" i="2"/>
  <c r="M1535" i="2" s="1"/>
  <c r="N1535" i="2" s="1"/>
  <c r="C1536" i="2" l="1"/>
  <c r="B1536" i="2"/>
  <c r="F1536" i="2" l="1"/>
  <c r="K1536" i="2" s="1"/>
  <c r="G1536" i="2"/>
  <c r="L1536" i="2"/>
  <c r="J1536" i="2" l="1"/>
  <c r="M1536" i="2" s="1"/>
  <c r="N1536" i="2" s="1"/>
  <c r="H1536" i="2"/>
  <c r="I1536" i="2" s="1"/>
  <c r="B1537" i="2" l="1"/>
  <c r="C1537" i="2"/>
  <c r="G1537" i="2" l="1"/>
  <c r="F1537" i="2"/>
  <c r="K1537" i="2" s="1"/>
  <c r="L1537" i="2"/>
  <c r="J1537" i="2" l="1"/>
  <c r="M1537" i="2" s="1"/>
  <c r="N1537" i="2" s="1"/>
  <c r="H1537" i="2"/>
  <c r="I1537" i="2" s="1"/>
  <c r="C1538" i="2" l="1"/>
  <c r="B1538" i="2"/>
  <c r="L1538" i="2" l="1"/>
  <c r="G1538" i="2"/>
  <c r="F1538" i="2"/>
  <c r="K1538" i="2" s="1"/>
  <c r="J1538" i="2" l="1"/>
  <c r="M1538" i="2" s="1"/>
  <c r="N1538" i="2" s="1"/>
  <c r="H1538" i="2"/>
  <c r="I1538" i="2" s="1"/>
  <c r="B1539" i="2" l="1"/>
  <c r="C1539" i="2"/>
  <c r="G1539" i="2" l="1"/>
  <c r="F1539" i="2"/>
  <c r="K1539" i="2" s="1"/>
  <c r="L1539" i="2"/>
  <c r="J1539" i="2" l="1"/>
  <c r="M1539" i="2" s="1"/>
  <c r="N1539" i="2" s="1"/>
  <c r="H1539" i="2"/>
  <c r="I1539" i="2" s="1"/>
  <c r="B1540" i="2" l="1"/>
  <c r="C1540" i="2"/>
  <c r="L1540" i="2" l="1"/>
  <c r="F1540" i="2"/>
  <c r="K1540" i="2" s="1"/>
  <c r="G1540" i="2"/>
  <c r="J1540" i="2" l="1"/>
  <c r="M1540" i="2" s="1"/>
  <c r="N1540" i="2" s="1"/>
  <c r="H1540" i="2"/>
  <c r="I1540" i="2" s="1"/>
  <c r="C1541" i="2" l="1"/>
  <c r="B1541" i="2"/>
  <c r="F1541" i="2" l="1"/>
  <c r="K1541" i="2" s="1"/>
  <c r="L1541" i="2"/>
  <c r="G1541" i="2"/>
  <c r="H1541" i="2" l="1"/>
  <c r="I1541" i="2" s="1"/>
  <c r="J1541" i="2"/>
  <c r="M1541" i="2" s="1"/>
  <c r="N1541" i="2" s="1"/>
  <c r="C1542" i="2" l="1"/>
  <c r="B1542" i="2"/>
  <c r="G1542" i="2" l="1"/>
  <c r="F1542" i="2"/>
  <c r="K1542" i="2" s="1"/>
  <c r="L1542" i="2"/>
  <c r="H1542" i="2" l="1"/>
  <c r="I1542" i="2" s="1"/>
  <c r="J1542" i="2"/>
  <c r="M1542" i="2" s="1"/>
  <c r="N1542" i="2" s="1"/>
  <c r="C1543" i="2" l="1"/>
  <c r="B1543" i="2"/>
  <c r="L1543" i="2" l="1"/>
  <c r="F1543" i="2"/>
  <c r="K1543" i="2" s="1"/>
  <c r="G1543" i="2"/>
  <c r="J1543" i="2" l="1"/>
  <c r="M1543" i="2" s="1"/>
  <c r="N1543" i="2" s="1"/>
  <c r="H1543" i="2"/>
  <c r="I1543" i="2" s="1"/>
  <c r="C1544" i="2" l="1"/>
  <c r="B1544" i="2"/>
  <c r="F1544" i="2" l="1"/>
  <c r="K1544" i="2" s="1"/>
  <c r="G1544" i="2"/>
  <c r="L1544" i="2"/>
  <c r="H1544" i="2" l="1"/>
  <c r="I1544" i="2" s="1"/>
  <c r="J1544" i="2"/>
  <c r="M1544" i="2" s="1"/>
  <c r="N1544" i="2" s="1"/>
  <c r="B1545" i="2" l="1"/>
  <c r="C1545" i="2"/>
  <c r="L1545" i="2" l="1"/>
  <c r="F1545" i="2"/>
  <c r="K1545" i="2" s="1"/>
  <c r="G1545" i="2"/>
  <c r="H1545" i="2" l="1"/>
  <c r="I1545" i="2" s="1"/>
  <c r="J1545" i="2"/>
  <c r="M1545" i="2" s="1"/>
  <c r="N1545" i="2" s="1"/>
  <c r="B1546" i="2" l="1"/>
  <c r="C1546" i="2"/>
  <c r="L1546" i="2" l="1"/>
  <c r="G1546" i="2"/>
  <c r="F1546" i="2"/>
  <c r="K1546" i="2" s="1"/>
  <c r="H1546" i="2" l="1"/>
  <c r="I1546" i="2" s="1"/>
  <c r="J1546" i="2"/>
  <c r="M1546" i="2" s="1"/>
  <c r="N1546" i="2" s="1"/>
  <c r="C1547" i="2" l="1"/>
  <c r="B1547" i="2"/>
  <c r="L1547" i="2" l="1"/>
  <c r="G1547" i="2"/>
  <c r="F1547" i="2"/>
  <c r="K1547" i="2" s="1"/>
  <c r="H1547" i="2" l="1"/>
  <c r="I1547" i="2" s="1"/>
  <c r="J1547" i="2"/>
  <c r="M1547" i="2" s="1"/>
  <c r="N1547" i="2" s="1"/>
  <c r="B1548" i="2" l="1"/>
  <c r="C1548" i="2"/>
  <c r="G1548" i="2" l="1"/>
  <c r="F1548" i="2"/>
  <c r="K1548" i="2" s="1"/>
  <c r="L1548" i="2"/>
  <c r="H1548" i="2" l="1"/>
  <c r="I1548" i="2" s="1"/>
  <c r="J1548" i="2"/>
  <c r="M1548" i="2" s="1"/>
  <c r="N1548" i="2" s="1"/>
  <c r="B1549" i="2" l="1"/>
  <c r="C1549" i="2"/>
  <c r="G1549" i="2" l="1"/>
  <c r="F1549" i="2"/>
  <c r="K1549" i="2" s="1"/>
  <c r="L1549" i="2"/>
  <c r="J1549" i="2" l="1"/>
  <c r="M1549" i="2" s="1"/>
  <c r="N1549" i="2" s="1"/>
  <c r="H1549" i="2"/>
  <c r="I1549" i="2" s="1"/>
  <c r="B1550" i="2" l="1"/>
  <c r="C1550" i="2"/>
  <c r="G1550" i="2" l="1"/>
  <c r="F1550" i="2"/>
  <c r="K1550" i="2" s="1"/>
  <c r="L1550" i="2"/>
  <c r="J1550" i="2" l="1"/>
  <c r="M1550" i="2" s="1"/>
  <c r="N1550" i="2" s="1"/>
  <c r="H1550" i="2"/>
  <c r="I1550" i="2" s="1"/>
  <c r="C1551" i="2" l="1"/>
  <c r="B1551" i="2"/>
  <c r="F1551" i="2" l="1"/>
  <c r="K1551" i="2" s="1"/>
  <c r="L1551" i="2"/>
  <c r="G1551" i="2"/>
  <c r="J1551" i="2" l="1"/>
  <c r="M1551" i="2" s="1"/>
  <c r="N1551" i="2" s="1"/>
  <c r="H1551" i="2"/>
  <c r="I1551" i="2" s="1"/>
  <c r="B1552" i="2" l="1"/>
  <c r="C1552" i="2"/>
  <c r="L1552" i="2" l="1"/>
  <c r="G1552" i="2"/>
  <c r="F1552" i="2"/>
  <c r="K1552" i="2" s="1"/>
  <c r="J1552" i="2" l="1"/>
  <c r="M1552" i="2" s="1"/>
  <c r="N1552" i="2" s="1"/>
  <c r="H1552" i="2"/>
  <c r="I1552" i="2" s="1"/>
  <c r="C1553" i="2" l="1"/>
  <c r="B1553" i="2"/>
  <c r="F1553" i="2" l="1"/>
  <c r="K1553" i="2" s="1"/>
  <c r="L1553" i="2"/>
  <c r="G1553" i="2"/>
  <c r="J1553" i="2" l="1"/>
  <c r="M1553" i="2" s="1"/>
  <c r="N1553" i="2" s="1"/>
  <c r="H1553" i="2"/>
  <c r="I1553" i="2" s="1"/>
  <c r="C1554" i="2" l="1"/>
  <c r="B1554" i="2"/>
  <c r="G1554" i="2" l="1"/>
  <c r="L1554" i="2"/>
  <c r="F1554" i="2"/>
  <c r="K1554" i="2" s="1"/>
  <c r="J1554" i="2" l="1"/>
  <c r="M1554" i="2" s="1"/>
  <c r="N1554" i="2" s="1"/>
  <c r="H1554" i="2"/>
  <c r="I1554" i="2" s="1"/>
  <c r="C1555" i="2" l="1"/>
  <c r="B1555" i="2"/>
  <c r="G1555" i="2" l="1"/>
  <c r="F1555" i="2"/>
  <c r="K1555" i="2" s="1"/>
  <c r="L1555" i="2"/>
  <c r="J1555" i="2" l="1"/>
  <c r="M1555" i="2" s="1"/>
  <c r="N1555" i="2" s="1"/>
  <c r="H1555" i="2"/>
  <c r="I1555" i="2" s="1"/>
  <c r="B1556" i="2" l="1"/>
  <c r="C1556" i="2"/>
  <c r="L1556" i="2" l="1"/>
  <c r="F1556" i="2"/>
  <c r="K1556" i="2" s="1"/>
  <c r="G1556" i="2"/>
  <c r="J1556" i="2" l="1"/>
  <c r="M1556" i="2" s="1"/>
  <c r="N1556" i="2" s="1"/>
  <c r="H1556" i="2"/>
  <c r="I1556" i="2" s="1"/>
  <c r="B1557" i="2" l="1"/>
  <c r="C1557" i="2"/>
  <c r="G1557" i="2" l="1"/>
  <c r="L1557" i="2"/>
  <c r="F1557" i="2"/>
  <c r="K1557" i="2" s="1"/>
  <c r="J1557" i="2" l="1"/>
  <c r="M1557" i="2" s="1"/>
  <c r="N1557" i="2" s="1"/>
  <c r="H1557" i="2"/>
  <c r="I1557" i="2" s="1"/>
  <c r="B1558" i="2" l="1"/>
  <c r="C1558" i="2"/>
  <c r="F1558" i="2" l="1"/>
  <c r="K1558" i="2" s="1"/>
  <c r="L1558" i="2"/>
  <c r="G1558" i="2"/>
  <c r="J1558" i="2" l="1"/>
  <c r="M1558" i="2" s="1"/>
  <c r="N1558" i="2" s="1"/>
  <c r="H1558" i="2"/>
  <c r="I1558" i="2" s="1"/>
  <c r="C1559" i="2" l="1"/>
  <c r="B1559" i="2"/>
  <c r="L1559" i="2" l="1"/>
  <c r="F1559" i="2"/>
  <c r="K1559" i="2" s="1"/>
  <c r="G1559" i="2"/>
  <c r="H1559" i="2" l="1"/>
  <c r="I1559" i="2" s="1"/>
  <c r="J1559" i="2"/>
  <c r="M1559" i="2" s="1"/>
  <c r="N1559" i="2" s="1"/>
  <c r="B1560" i="2" l="1"/>
  <c r="C1560" i="2"/>
  <c r="L1560" i="2" l="1"/>
  <c r="F1560" i="2"/>
  <c r="K1560" i="2" s="1"/>
  <c r="G1560" i="2"/>
  <c r="H1560" i="2" l="1"/>
  <c r="I1560" i="2" s="1"/>
  <c r="J1560" i="2"/>
  <c r="M1560" i="2" s="1"/>
  <c r="N1560" i="2" s="1"/>
  <c r="B1561" i="2" l="1"/>
  <c r="C1561" i="2"/>
  <c r="G1561" i="2" l="1"/>
  <c r="F1561" i="2"/>
  <c r="K1561" i="2" s="1"/>
  <c r="L1561" i="2"/>
  <c r="J1561" i="2" l="1"/>
  <c r="M1561" i="2" s="1"/>
  <c r="N1561" i="2" s="1"/>
  <c r="H1561" i="2"/>
  <c r="I1561" i="2" s="1"/>
  <c r="B1562" i="2" l="1"/>
  <c r="C1562" i="2"/>
  <c r="L1562" i="2" l="1"/>
  <c r="G1562" i="2"/>
  <c r="F1562" i="2"/>
  <c r="K1562" i="2" s="1"/>
  <c r="H1562" i="2" l="1"/>
  <c r="I1562" i="2" s="1"/>
  <c r="J1562" i="2"/>
  <c r="M1562" i="2" s="1"/>
  <c r="N1562" i="2" s="1"/>
  <c r="C1563" i="2" l="1"/>
  <c r="B1563" i="2"/>
  <c r="L1563" i="2" l="1"/>
  <c r="G1563" i="2"/>
  <c r="F1563" i="2"/>
  <c r="K1563" i="2" s="1"/>
  <c r="J1563" i="2" l="1"/>
  <c r="M1563" i="2" s="1"/>
  <c r="N1563" i="2" s="1"/>
  <c r="H1563" i="2"/>
  <c r="I1563" i="2" s="1"/>
  <c r="B1564" i="2" l="1"/>
  <c r="C1564" i="2"/>
  <c r="F1564" i="2" l="1"/>
  <c r="K1564" i="2" s="1"/>
  <c r="G1564" i="2"/>
  <c r="L1564" i="2"/>
  <c r="H1564" i="2" l="1"/>
  <c r="I1564" i="2" s="1"/>
  <c r="J1564" i="2"/>
  <c r="M1564" i="2" s="1"/>
  <c r="N1564" i="2" s="1"/>
  <c r="C1565" i="2" l="1"/>
  <c r="B1565" i="2"/>
  <c r="F1565" i="2" l="1"/>
  <c r="K1565" i="2" s="1"/>
  <c r="L1565" i="2"/>
  <c r="G1565" i="2"/>
  <c r="J1565" i="2" l="1"/>
  <c r="M1565" i="2" s="1"/>
  <c r="N1565" i="2" s="1"/>
  <c r="H1565" i="2"/>
  <c r="I1565" i="2" s="1"/>
  <c r="C1566" i="2" l="1"/>
  <c r="B1566" i="2"/>
  <c r="L1566" i="2" l="1"/>
  <c r="F1566" i="2"/>
  <c r="K1566" i="2" s="1"/>
  <c r="G1566" i="2"/>
  <c r="H1566" i="2" l="1"/>
  <c r="I1566" i="2" s="1"/>
  <c r="J1566" i="2"/>
  <c r="M1566" i="2" s="1"/>
  <c r="N1566" i="2" s="1"/>
  <c r="B1567" i="2" l="1"/>
  <c r="C1567" i="2"/>
  <c r="L1567" i="2" l="1"/>
  <c r="F1567" i="2"/>
  <c r="K1567" i="2" s="1"/>
  <c r="G1567" i="2"/>
  <c r="H1567" i="2" l="1"/>
  <c r="I1567" i="2" s="1"/>
  <c r="J1567" i="2"/>
  <c r="M1567" i="2" s="1"/>
  <c r="N1567" i="2" s="1"/>
  <c r="C1568" i="2" l="1"/>
  <c r="B1568" i="2"/>
  <c r="G1568" i="2" l="1"/>
  <c r="F1568" i="2"/>
  <c r="K1568" i="2" s="1"/>
  <c r="L1568" i="2"/>
  <c r="H1568" i="2" l="1"/>
  <c r="I1568" i="2" s="1"/>
  <c r="J1568" i="2"/>
  <c r="M1568" i="2" s="1"/>
  <c r="N1568" i="2" s="1"/>
  <c r="C1569" i="2" l="1"/>
  <c r="B1569" i="2"/>
  <c r="F1569" i="2" l="1"/>
  <c r="K1569" i="2" s="1"/>
  <c r="L1569" i="2"/>
  <c r="G1569" i="2"/>
  <c r="J1569" i="2" l="1"/>
  <c r="M1569" i="2" s="1"/>
  <c r="N1569" i="2" s="1"/>
  <c r="H1569" i="2"/>
  <c r="I1569" i="2" s="1"/>
  <c r="B1570" i="2" l="1"/>
  <c r="C1570" i="2"/>
  <c r="F1570" i="2" l="1"/>
  <c r="K1570" i="2" s="1"/>
  <c r="G1570" i="2"/>
  <c r="L1570" i="2"/>
  <c r="J1570" i="2" l="1"/>
  <c r="M1570" i="2" s="1"/>
  <c r="N1570" i="2" s="1"/>
  <c r="H1570" i="2"/>
  <c r="I1570" i="2" s="1"/>
  <c r="C1571" i="2" l="1"/>
  <c r="B1571" i="2"/>
  <c r="L1571" i="2" l="1"/>
  <c r="G1571" i="2"/>
  <c r="F1571" i="2"/>
  <c r="K1571" i="2" s="1"/>
  <c r="H1571" i="2" l="1"/>
  <c r="I1571" i="2" s="1"/>
  <c r="J1571" i="2"/>
  <c r="M1571" i="2" s="1"/>
  <c r="N1571" i="2" s="1"/>
  <c r="C1572" i="2" l="1"/>
  <c r="B1572" i="2"/>
  <c r="G1572" i="2" l="1"/>
  <c r="F1572" i="2"/>
  <c r="K1572" i="2" s="1"/>
  <c r="L1572" i="2"/>
  <c r="H1572" i="2" l="1"/>
  <c r="I1572" i="2" s="1"/>
  <c r="J1572" i="2"/>
  <c r="M1572" i="2" s="1"/>
  <c r="N1572" i="2" s="1"/>
  <c r="B1573" i="2" l="1"/>
  <c r="C1573" i="2"/>
  <c r="G1573" i="2" l="1"/>
  <c r="F1573" i="2"/>
  <c r="K1573" i="2" s="1"/>
  <c r="L1573" i="2"/>
  <c r="H1573" i="2" l="1"/>
  <c r="I1573" i="2" s="1"/>
  <c r="J1573" i="2"/>
  <c r="M1573" i="2" s="1"/>
  <c r="N1573" i="2" s="1"/>
  <c r="B1574" i="2" l="1"/>
  <c r="C1574" i="2"/>
  <c r="L1574" i="2" l="1"/>
  <c r="G1574" i="2"/>
  <c r="F1574" i="2"/>
  <c r="K1574" i="2" s="1"/>
  <c r="J1574" i="2" l="1"/>
  <c r="M1574" i="2" s="1"/>
  <c r="N1574" i="2" s="1"/>
  <c r="H1574" i="2"/>
  <c r="I1574" i="2" s="1"/>
  <c r="B1575" i="2" l="1"/>
  <c r="C1575" i="2"/>
  <c r="L1575" i="2" l="1"/>
  <c r="G1575" i="2"/>
  <c r="F1575" i="2"/>
  <c r="K1575" i="2" s="1"/>
  <c r="H1575" i="2" l="1"/>
  <c r="I1575" i="2" s="1"/>
  <c r="J1575" i="2"/>
  <c r="M1575" i="2" s="1"/>
  <c r="N1575" i="2" s="1"/>
  <c r="C1576" i="2" l="1"/>
  <c r="B1576" i="2"/>
  <c r="L1576" i="2" l="1"/>
  <c r="G1576" i="2"/>
  <c r="F1576" i="2"/>
  <c r="K1576" i="2" s="1"/>
  <c r="J1576" i="2" l="1"/>
  <c r="M1576" i="2" s="1"/>
  <c r="N1576" i="2" s="1"/>
  <c r="H1576" i="2"/>
  <c r="I1576" i="2" s="1"/>
  <c r="B1577" i="2" l="1"/>
  <c r="C1577" i="2"/>
  <c r="L1577" i="2" l="1"/>
  <c r="F1577" i="2"/>
  <c r="K1577" i="2" s="1"/>
  <c r="G1577" i="2"/>
  <c r="J1577" i="2" l="1"/>
  <c r="M1577" i="2" s="1"/>
  <c r="N1577" i="2" s="1"/>
  <c r="H1577" i="2"/>
  <c r="I1577" i="2" s="1"/>
  <c r="B1578" i="2" l="1"/>
  <c r="C1578" i="2"/>
  <c r="L1578" i="2" l="1"/>
  <c r="F1578" i="2"/>
  <c r="K1578" i="2" s="1"/>
  <c r="G1578" i="2"/>
  <c r="J1578" i="2" l="1"/>
  <c r="M1578" i="2" s="1"/>
  <c r="N1578" i="2" s="1"/>
  <c r="H1578" i="2"/>
  <c r="I1578" i="2" s="1"/>
  <c r="B1579" i="2" l="1"/>
  <c r="C1579" i="2"/>
  <c r="F1579" i="2" l="1"/>
  <c r="K1579" i="2" s="1"/>
  <c r="G1579" i="2"/>
  <c r="L1579" i="2"/>
  <c r="H1579" i="2" l="1"/>
  <c r="I1579" i="2" s="1"/>
  <c r="J1579" i="2"/>
  <c r="M1579" i="2" s="1"/>
  <c r="N1579" i="2" s="1"/>
  <c r="B1580" i="2" l="1"/>
  <c r="C1580" i="2"/>
  <c r="G1580" i="2" l="1"/>
  <c r="F1580" i="2"/>
  <c r="K1580" i="2" s="1"/>
  <c r="L1580" i="2"/>
  <c r="H1580" i="2" l="1"/>
  <c r="I1580" i="2" s="1"/>
  <c r="J1580" i="2"/>
  <c r="M1580" i="2" s="1"/>
  <c r="N1580" i="2" s="1"/>
  <c r="B1581" i="2" l="1"/>
  <c r="C1581" i="2"/>
  <c r="L1581" i="2" l="1"/>
  <c r="G1581" i="2"/>
  <c r="F1581" i="2"/>
  <c r="K1581" i="2" s="1"/>
  <c r="J1581" i="2" l="1"/>
  <c r="M1581" i="2" s="1"/>
  <c r="N1581" i="2" s="1"/>
  <c r="H1581" i="2"/>
  <c r="I1581" i="2" s="1"/>
  <c r="B1582" i="2" l="1"/>
  <c r="C1582" i="2"/>
  <c r="F1582" i="2" l="1"/>
  <c r="K1582" i="2" s="1"/>
  <c r="L1582" i="2"/>
  <c r="G1582" i="2"/>
  <c r="J1582" i="2" l="1"/>
  <c r="M1582" i="2" s="1"/>
  <c r="N1582" i="2" s="1"/>
  <c r="H1582" i="2"/>
  <c r="I1582" i="2" s="1"/>
  <c r="C1583" i="2" l="1"/>
  <c r="B1583" i="2"/>
  <c r="F1583" i="2" l="1"/>
  <c r="K1583" i="2" s="1"/>
  <c r="G1583" i="2"/>
  <c r="L1583" i="2"/>
  <c r="H1583" i="2" l="1"/>
  <c r="I1583" i="2" s="1"/>
  <c r="J1583" i="2"/>
  <c r="M1583" i="2" s="1"/>
  <c r="N1583" i="2" s="1"/>
  <c r="B1584" i="2" l="1"/>
  <c r="C1584" i="2"/>
  <c r="G1584" i="2" l="1"/>
  <c r="F1584" i="2"/>
  <c r="K1584" i="2" s="1"/>
  <c r="L1584" i="2"/>
  <c r="H1584" i="2" l="1"/>
  <c r="I1584" i="2" s="1"/>
  <c r="J1584" i="2"/>
  <c r="M1584" i="2" s="1"/>
  <c r="N1584" i="2" s="1"/>
  <c r="C1585" i="2" l="1"/>
  <c r="B1585" i="2"/>
  <c r="F1585" i="2" l="1"/>
  <c r="K1585" i="2" s="1"/>
  <c r="G1585" i="2"/>
  <c r="L1585" i="2"/>
  <c r="J1585" i="2" l="1"/>
  <c r="M1585" i="2" s="1"/>
  <c r="N1585" i="2" s="1"/>
  <c r="H1585" i="2"/>
  <c r="I1585" i="2" s="1"/>
  <c r="B1586" i="2" l="1"/>
  <c r="C1586" i="2"/>
  <c r="G1586" i="2" l="1"/>
  <c r="F1586" i="2"/>
  <c r="K1586" i="2" s="1"/>
  <c r="L1586" i="2"/>
  <c r="H1586" i="2" l="1"/>
  <c r="J1586" i="2"/>
  <c r="M1586" i="2" s="1"/>
  <c r="N1586" i="2" s="1"/>
  <c r="I1586" i="2"/>
  <c r="C1587" i="2" l="1"/>
  <c r="B1587" i="2"/>
  <c r="F1587" i="2" l="1"/>
  <c r="K1587" i="2" s="1"/>
  <c r="L1587" i="2"/>
  <c r="G1587" i="2"/>
  <c r="J1587" i="2" l="1"/>
  <c r="M1587" i="2" s="1"/>
  <c r="N1587" i="2" s="1"/>
  <c r="H1587" i="2"/>
  <c r="I1587" i="2" s="1"/>
  <c r="B1588" i="2" l="1"/>
  <c r="C1588" i="2"/>
  <c r="G1588" i="2" l="1"/>
  <c r="L1588" i="2"/>
  <c r="F1588" i="2"/>
  <c r="K1588" i="2" s="1"/>
  <c r="H1588" i="2" l="1"/>
  <c r="I1588" i="2" s="1"/>
  <c r="J1588" i="2"/>
  <c r="M1588" i="2" s="1"/>
  <c r="N1588" i="2" s="1"/>
  <c r="C1589" i="2" l="1"/>
  <c r="B1589" i="2"/>
  <c r="L1589" i="2" l="1"/>
  <c r="F1589" i="2"/>
  <c r="K1589" i="2" s="1"/>
  <c r="G1589" i="2"/>
  <c r="J1589" i="2" l="1"/>
  <c r="M1589" i="2" s="1"/>
  <c r="N1589" i="2" s="1"/>
  <c r="H1589" i="2"/>
  <c r="I1589" i="2" s="1"/>
  <c r="B1590" i="2" l="1"/>
  <c r="C1590" i="2"/>
  <c r="F1590" i="2" l="1"/>
  <c r="K1590" i="2" s="1"/>
  <c r="G1590" i="2"/>
  <c r="L1590" i="2"/>
  <c r="J1590" i="2" l="1"/>
  <c r="M1590" i="2" s="1"/>
  <c r="N1590" i="2" s="1"/>
  <c r="H1590" i="2"/>
  <c r="I1590" i="2" s="1"/>
  <c r="B1591" i="2" l="1"/>
  <c r="C1591" i="2"/>
  <c r="G1591" i="2" l="1"/>
  <c r="L1591" i="2"/>
  <c r="F1591" i="2"/>
  <c r="K1591" i="2" s="1"/>
  <c r="H1591" i="2" l="1"/>
  <c r="I1591" i="2" s="1"/>
  <c r="J1591" i="2"/>
  <c r="M1591" i="2" s="1"/>
  <c r="N1591" i="2" s="1"/>
  <c r="B1592" i="2" l="1"/>
  <c r="C1592" i="2"/>
  <c r="L1592" i="2" l="1"/>
  <c r="G1592" i="2"/>
  <c r="F1592" i="2"/>
  <c r="K1592" i="2" s="1"/>
  <c r="H1592" i="2" l="1"/>
  <c r="I1592" i="2" s="1"/>
  <c r="J1592" i="2"/>
  <c r="M1592" i="2" s="1"/>
  <c r="N1592" i="2" s="1"/>
  <c r="B1593" i="2" l="1"/>
  <c r="C1593" i="2"/>
  <c r="G1593" i="2" l="1"/>
  <c r="F1593" i="2"/>
  <c r="K1593" i="2" s="1"/>
  <c r="L1593" i="2"/>
  <c r="J1593" i="2" l="1"/>
  <c r="M1593" i="2" s="1"/>
  <c r="N1593" i="2" s="1"/>
  <c r="H1593" i="2"/>
  <c r="I1593" i="2" s="1"/>
  <c r="B1594" i="2" l="1"/>
  <c r="C1594" i="2"/>
  <c r="F1594" i="2" l="1"/>
  <c r="K1594" i="2" s="1"/>
  <c r="L1594" i="2"/>
  <c r="G1594" i="2"/>
  <c r="J1594" i="2" l="1"/>
  <c r="M1594" i="2" s="1"/>
  <c r="N1594" i="2" s="1"/>
  <c r="H1594" i="2"/>
  <c r="I1594" i="2" s="1"/>
  <c r="C1595" i="2" l="1"/>
  <c r="B1595" i="2"/>
  <c r="G1595" i="2" l="1"/>
  <c r="L1595" i="2"/>
  <c r="F1595" i="2"/>
  <c r="K1595" i="2" s="1"/>
  <c r="H1595" i="2" l="1"/>
  <c r="I1595" i="2" s="1"/>
  <c r="J1595" i="2"/>
  <c r="M1595" i="2" s="1"/>
  <c r="N1595" i="2" s="1"/>
  <c r="C1596" i="2" l="1"/>
  <c r="B1596" i="2"/>
  <c r="L1596" i="2" l="1"/>
  <c r="G1596" i="2"/>
  <c r="F1596" i="2"/>
  <c r="K1596" i="2" s="1"/>
  <c r="H1596" i="2" l="1"/>
  <c r="I1596" i="2" s="1"/>
  <c r="J1596" i="2"/>
  <c r="M1596" i="2" s="1"/>
  <c r="N1596" i="2" s="1"/>
  <c r="C1597" i="2" l="1"/>
  <c r="B1597" i="2"/>
  <c r="G1597" i="2" l="1"/>
  <c r="L1597" i="2"/>
  <c r="F1597" i="2"/>
  <c r="K1597" i="2" s="1"/>
  <c r="H1597" i="2" l="1"/>
  <c r="I1597" i="2" s="1"/>
  <c r="J1597" i="2"/>
  <c r="M1597" i="2" s="1"/>
  <c r="N1597" i="2" s="1"/>
  <c r="B1598" i="2" l="1"/>
  <c r="C1598" i="2"/>
  <c r="F1598" i="2" l="1"/>
  <c r="K1598" i="2" s="1"/>
  <c r="L1598" i="2"/>
  <c r="G1598" i="2"/>
  <c r="H1598" i="2" l="1"/>
  <c r="I1598" i="2" s="1"/>
  <c r="J1598" i="2"/>
  <c r="M1598" i="2" s="1"/>
  <c r="N1598" i="2" s="1"/>
  <c r="C1599" i="2" l="1"/>
  <c r="B1599" i="2"/>
  <c r="L1599" i="2" l="1"/>
  <c r="G1599" i="2"/>
  <c r="F1599" i="2"/>
  <c r="K1599" i="2" s="1"/>
  <c r="J1599" i="2" l="1"/>
  <c r="M1599" i="2" s="1"/>
  <c r="N1599" i="2" s="1"/>
  <c r="H1599" i="2"/>
  <c r="I1599" i="2" s="1"/>
  <c r="B1600" i="2" l="1"/>
  <c r="C1600" i="2"/>
  <c r="F1600" i="2" l="1"/>
  <c r="K1600" i="2" s="1"/>
  <c r="L1600" i="2"/>
  <c r="G1600" i="2"/>
  <c r="J1600" i="2" l="1"/>
  <c r="M1600" i="2" s="1"/>
  <c r="N1600" i="2" s="1"/>
  <c r="H1600" i="2"/>
  <c r="I1600" i="2" s="1"/>
  <c r="B1601" i="2" l="1"/>
  <c r="C1601" i="2"/>
  <c r="L1601" i="2" l="1"/>
  <c r="F1601" i="2"/>
  <c r="K1601" i="2" s="1"/>
  <c r="G1601" i="2"/>
  <c r="J1601" i="2" l="1"/>
  <c r="M1601" i="2" s="1"/>
  <c r="N1601" i="2" s="1"/>
  <c r="H1601" i="2"/>
  <c r="I1601" i="2" s="1"/>
  <c r="B1602" i="2" l="1"/>
  <c r="C1602" i="2"/>
  <c r="G1602" i="2" l="1"/>
  <c r="L1602" i="2"/>
  <c r="F1602" i="2"/>
  <c r="K1602" i="2" s="1"/>
  <c r="H1602" i="2" l="1"/>
  <c r="I1602" i="2" s="1"/>
  <c r="J1602" i="2"/>
  <c r="M1602" i="2" s="1"/>
  <c r="N1602" i="2" s="1"/>
  <c r="B1603" i="2" l="1"/>
  <c r="C1603" i="2"/>
  <c r="F1603" i="2" l="1"/>
  <c r="K1603" i="2" s="1"/>
  <c r="L1603" i="2"/>
  <c r="G1603" i="2"/>
  <c r="H1603" i="2" l="1"/>
  <c r="I1603" i="2" s="1"/>
  <c r="J1603" i="2"/>
  <c r="M1603" i="2" s="1"/>
  <c r="N1603" i="2" s="1"/>
  <c r="C1604" i="2" l="1"/>
  <c r="B1604" i="2"/>
  <c r="G1604" i="2" l="1"/>
  <c r="F1604" i="2"/>
  <c r="K1604" i="2" s="1"/>
  <c r="L1604" i="2"/>
  <c r="H1604" i="2" l="1"/>
  <c r="I1604" i="2" s="1"/>
  <c r="J1604" i="2"/>
  <c r="M1604" i="2" s="1"/>
  <c r="N1604" i="2" s="1"/>
  <c r="B1605" i="2" l="1"/>
  <c r="C1605" i="2"/>
  <c r="F1605" i="2" l="1"/>
  <c r="K1605" i="2" s="1"/>
  <c r="G1605" i="2"/>
  <c r="L1605" i="2"/>
  <c r="H1605" i="2" l="1"/>
  <c r="I1605" i="2" s="1"/>
  <c r="J1605" i="2"/>
  <c r="M1605" i="2" s="1"/>
  <c r="N1605" i="2" s="1"/>
  <c r="B1606" i="2" l="1"/>
  <c r="C1606" i="2"/>
  <c r="L1606" i="2" l="1"/>
  <c r="G1606" i="2"/>
  <c r="F1606" i="2"/>
  <c r="K1606" i="2" s="1"/>
  <c r="H1606" i="2" l="1"/>
  <c r="I1606" i="2" s="1"/>
  <c r="J1606" i="2"/>
  <c r="M1606" i="2" s="1"/>
  <c r="N1606" i="2" s="1"/>
  <c r="B1607" i="2" l="1"/>
  <c r="C1607" i="2"/>
  <c r="G1607" i="2" l="1"/>
  <c r="L1607" i="2"/>
  <c r="F1607" i="2"/>
  <c r="K1607" i="2" s="1"/>
  <c r="H1607" i="2" l="1"/>
  <c r="I1607" i="2" s="1"/>
  <c r="J1607" i="2"/>
  <c r="M1607" i="2" s="1"/>
  <c r="N1607" i="2" s="1"/>
  <c r="C1608" i="2" l="1"/>
  <c r="B1608" i="2"/>
  <c r="L1608" i="2" l="1"/>
  <c r="G1608" i="2"/>
  <c r="F1608" i="2"/>
  <c r="K1608" i="2" s="1"/>
  <c r="H1608" i="2" l="1"/>
  <c r="I1608" i="2" s="1"/>
  <c r="J1608" i="2"/>
  <c r="M1608" i="2" s="1"/>
  <c r="N1608" i="2" s="1"/>
  <c r="B1609" i="2" l="1"/>
  <c r="C1609" i="2"/>
  <c r="L1609" i="2" l="1"/>
  <c r="F1609" i="2"/>
  <c r="K1609" i="2" s="1"/>
  <c r="G1609" i="2"/>
  <c r="J1609" i="2" l="1"/>
  <c r="M1609" i="2" s="1"/>
  <c r="N1609" i="2" s="1"/>
  <c r="H1609" i="2"/>
  <c r="I1609" i="2" s="1"/>
  <c r="C1610" i="2" l="1"/>
  <c r="B1610" i="2"/>
  <c r="L1610" i="2" l="1"/>
  <c r="F1610" i="2"/>
  <c r="K1610" i="2" s="1"/>
  <c r="G1610" i="2"/>
  <c r="H1610" i="2" l="1"/>
  <c r="I1610" i="2" s="1"/>
  <c r="J1610" i="2"/>
  <c r="M1610" i="2" s="1"/>
  <c r="N1610" i="2" s="1"/>
  <c r="C1611" i="2" l="1"/>
  <c r="B1611" i="2"/>
  <c r="G1611" i="2" l="1"/>
  <c r="F1611" i="2"/>
  <c r="K1611" i="2" s="1"/>
  <c r="L1611" i="2"/>
  <c r="H1611" i="2" l="1"/>
  <c r="I1611" i="2" s="1"/>
  <c r="J1611" i="2"/>
  <c r="M1611" i="2" s="1"/>
  <c r="N1611" i="2" s="1"/>
  <c r="C1612" i="2" l="1"/>
  <c r="B1612" i="2"/>
  <c r="L1612" i="2" l="1"/>
  <c r="F1612" i="2"/>
  <c r="K1612" i="2" s="1"/>
  <c r="G1612" i="2"/>
  <c r="H1612" i="2" l="1"/>
  <c r="I1612" i="2" s="1"/>
  <c r="J1612" i="2"/>
  <c r="M1612" i="2" s="1"/>
  <c r="N1612" i="2" s="1"/>
  <c r="C1613" i="2" l="1"/>
  <c r="B1613" i="2"/>
  <c r="L1613" i="2" l="1"/>
  <c r="F1613" i="2"/>
  <c r="K1613" i="2" s="1"/>
  <c r="G1613" i="2"/>
  <c r="H1613" i="2" l="1"/>
  <c r="I1613" i="2" s="1"/>
  <c r="J1613" i="2"/>
  <c r="M1613" i="2" s="1"/>
  <c r="N1613" i="2" s="1"/>
  <c r="C1614" i="2" l="1"/>
  <c r="B1614" i="2"/>
  <c r="F1614" i="2" l="1"/>
  <c r="K1614" i="2" s="1"/>
  <c r="L1614" i="2"/>
  <c r="G1614" i="2"/>
  <c r="H1614" i="2" l="1"/>
  <c r="I1614" i="2" s="1"/>
  <c r="J1614" i="2"/>
  <c r="M1614" i="2" s="1"/>
  <c r="N1614" i="2" s="1"/>
  <c r="B1615" i="2" l="1"/>
  <c r="C1615" i="2"/>
  <c r="L1615" i="2" l="1"/>
  <c r="G1615" i="2"/>
  <c r="F1615" i="2"/>
  <c r="K1615" i="2" s="1"/>
  <c r="H1615" i="2" l="1"/>
  <c r="I1615" i="2" s="1"/>
  <c r="J1615" i="2"/>
  <c r="M1615" i="2" s="1"/>
  <c r="N1615" i="2" s="1"/>
  <c r="B1616" i="2" l="1"/>
  <c r="C1616" i="2"/>
  <c r="G1616" i="2" l="1"/>
  <c r="L1616" i="2"/>
  <c r="F1616" i="2"/>
  <c r="K1616" i="2" s="1"/>
  <c r="H1616" i="2" l="1"/>
  <c r="I1616" i="2" s="1"/>
  <c r="J1616" i="2"/>
  <c r="M1616" i="2" s="1"/>
  <c r="N1616" i="2" s="1"/>
  <c r="C1617" i="2" l="1"/>
  <c r="B1617" i="2"/>
  <c r="L1617" i="2" l="1"/>
  <c r="F1617" i="2"/>
  <c r="K1617" i="2" s="1"/>
  <c r="G1617" i="2"/>
  <c r="H1617" i="2" l="1"/>
  <c r="I1617" i="2" s="1"/>
  <c r="J1617" i="2"/>
  <c r="M1617" i="2" s="1"/>
  <c r="N1617" i="2" s="1"/>
  <c r="B1618" i="2" l="1"/>
  <c r="C1618" i="2"/>
  <c r="F1618" i="2" l="1"/>
  <c r="K1618" i="2" s="1"/>
  <c r="G1618" i="2"/>
  <c r="L1618" i="2"/>
  <c r="J1618" i="2" l="1"/>
  <c r="M1618" i="2" s="1"/>
  <c r="N1618" i="2" s="1"/>
  <c r="H1618" i="2"/>
  <c r="I1618" i="2" s="1"/>
  <c r="C1619" i="2" l="1"/>
  <c r="B1619" i="2"/>
  <c r="F1619" i="2" l="1"/>
  <c r="K1619" i="2" s="1"/>
  <c r="L1619" i="2"/>
  <c r="G1619" i="2"/>
  <c r="H1619" i="2" l="1"/>
  <c r="I1619" i="2" s="1"/>
  <c r="J1619" i="2"/>
  <c r="M1619" i="2" s="1"/>
  <c r="N1619" i="2" s="1"/>
  <c r="C1620" i="2" l="1"/>
  <c r="B1620" i="2"/>
  <c r="G1620" i="2" l="1"/>
  <c r="L1620" i="2"/>
  <c r="F1620" i="2"/>
  <c r="K1620" i="2" s="1"/>
  <c r="J1620" i="2" l="1"/>
  <c r="M1620" i="2" s="1"/>
  <c r="N1620" i="2" s="1"/>
  <c r="H1620" i="2"/>
  <c r="I1620" i="2" s="1"/>
  <c r="B1621" i="2" l="1"/>
  <c r="C1621" i="2"/>
  <c r="F1621" i="2" l="1"/>
  <c r="K1621" i="2" s="1"/>
  <c r="L1621" i="2"/>
  <c r="G1621" i="2"/>
  <c r="J1621" i="2" l="1"/>
  <c r="M1621" i="2" s="1"/>
  <c r="N1621" i="2" s="1"/>
  <c r="H1621" i="2"/>
  <c r="I1621" i="2" s="1"/>
  <c r="C1622" i="2" l="1"/>
  <c r="B1622" i="2"/>
  <c r="G1622" i="2" l="1"/>
  <c r="L1622" i="2"/>
  <c r="F1622" i="2"/>
  <c r="K1622" i="2" s="1"/>
  <c r="J1622" i="2" l="1"/>
  <c r="M1622" i="2" s="1"/>
  <c r="N1622" i="2" s="1"/>
  <c r="H1622" i="2"/>
  <c r="I1622" i="2" s="1"/>
  <c r="B1623" i="2" l="1"/>
  <c r="C1623" i="2"/>
  <c r="F1623" i="2" l="1"/>
  <c r="K1623" i="2" s="1"/>
  <c r="L1623" i="2"/>
  <c r="G1623" i="2"/>
  <c r="H1623" i="2" l="1"/>
  <c r="I1623" i="2" s="1"/>
  <c r="J1623" i="2"/>
  <c r="M1623" i="2" s="1"/>
  <c r="N1623" i="2" s="1"/>
  <c r="C1624" i="2" l="1"/>
  <c r="B1624" i="2"/>
  <c r="G1624" i="2" l="1"/>
  <c r="F1624" i="2"/>
  <c r="K1624" i="2" s="1"/>
  <c r="L1624" i="2"/>
  <c r="H1624" i="2" l="1"/>
  <c r="I1624" i="2" s="1"/>
  <c r="J1624" i="2"/>
  <c r="M1624" i="2" s="1"/>
  <c r="N1624" i="2" s="1"/>
  <c r="C1625" i="2" l="1"/>
  <c r="B1625" i="2"/>
  <c r="F1625" i="2" l="1"/>
  <c r="K1625" i="2" s="1"/>
  <c r="G1625" i="2"/>
  <c r="L1625" i="2"/>
  <c r="J1625" i="2" l="1"/>
  <c r="M1625" i="2" s="1"/>
  <c r="N1625" i="2" s="1"/>
  <c r="H1625" i="2"/>
  <c r="I1625" i="2" s="1"/>
  <c r="C1626" i="2" l="1"/>
  <c r="B1626" i="2"/>
  <c r="G1626" i="2" l="1"/>
  <c r="F1626" i="2"/>
  <c r="K1626" i="2" s="1"/>
  <c r="L1626" i="2"/>
  <c r="H1626" i="2" l="1"/>
  <c r="I1626" i="2" s="1"/>
  <c r="J1626" i="2"/>
  <c r="M1626" i="2" s="1"/>
  <c r="N1626" i="2" s="1"/>
  <c r="C1627" i="2" l="1"/>
  <c r="B1627" i="2"/>
  <c r="G1627" i="2" l="1"/>
  <c r="F1627" i="2"/>
  <c r="K1627" i="2" s="1"/>
  <c r="L1627" i="2"/>
  <c r="H1627" i="2" l="1"/>
  <c r="I1627" i="2" s="1"/>
  <c r="J1627" i="2"/>
  <c r="M1627" i="2" s="1"/>
  <c r="N1627" i="2" s="1"/>
  <c r="C1628" i="2" l="1"/>
  <c r="B1628" i="2"/>
  <c r="G1628" i="2" l="1"/>
  <c r="L1628" i="2"/>
  <c r="F1628" i="2"/>
  <c r="K1628" i="2" s="1"/>
  <c r="J1628" i="2" l="1"/>
  <c r="M1628" i="2" s="1"/>
  <c r="N1628" i="2" s="1"/>
  <c r="H1628" i="2"/>
  <c r="I1628" i="2" s="1"/>
  <c r="C1629" i="2" l="1"/>
  <c r="B1629" i="2"/>
  <c r="L1629" i="2" l="1"/>
  <c r="F1629" i="2"/>
  <c r="K1629" i="2" s="1"/>
  <c r="G1629" i="2"/>
  <c r="H1629" i="2" l="1"/>
  <c r="I1629" i="2" s="1"/>
  <c r="J1629" i="2"/>
  <c r="M1629" i="2" s="1"/>
  <c r="N1629" i="2" s="1"/>
  <c r="C1630" i="2" l="1"/>
  <c r="B1630" i="2"/>
  <c r="G1630" i="2" l="1"/>
  <c r="F1630" i="2"/>
  <c r="K1630" i="2" s="1"/>
  <c r="L1630" i="2"/>
  <c r="J1630" i="2" l="1"/>
  <c r="M1630" i="2" s="1"/>
  <c r="N1630" i="2" s="1"/>
  <c r="H1630" i="2"/>
  <c r="I1630" i="2" s="1"/>
  <c r="C1631" i="2" l="1"/>
  <c r="B1631" i="2"/>
  <c r="F1631" i="2" l="1"/>
  <c r="K1631" i="2" s="1"/>
  <c r="G1631" i="2"/>
  <c r="L1631" i="2"/>
  <c r="J1631" i="2" l="1"/>
  <c r="M1631" i="2" s="1"/>
  <c r="N1631" i="2" s="1"/>
  <c r="H1631" i="2"/>
  <c r="I1631" i="2" s="1"/>
  <c r="C1632" i="2" l="1"/>
  <c r="B1632" i="2"/>
  <c r="L1632" i="2" l="1"/>
  <c r="F1632" i="2"/>
  <c r="K1632" i="2" s="1"/>
  <c r="G1632" i="2"/>
  <c r="H1632" i="2" l="1"/>
  <c r="I1632" i="2" s="1"/>
  <c r="J1632" i="2"/>
  <c r="M1632" i="2" s="1"/>
  <c r="N1632" i="2" s="1"/>
  <c r="C1633" i="2" l="1"/>
  <c r="B1633" i="2"/>
  <c r="L1633" i="2" l="1"/>
  <c r="F1633" i="2"/>
  <c r="K1633" i="2" s="1"/>
  <c r="G1633" i="2"/>
  <c r="J1633" i="2" l="1"/>
  <c r="M1633" i="2" s="1"/>
  <c r="N1633" i="2" s="1"/>
  <c r="H1633" i="2"/>
  <c r="I1633" i="2" s="1"/>
  <c r="C1634" i="2" l="1"/>
  <c r="B1634" i="2"/>
  <c r="F1634" i="2" l="1"/>
  <c r="K1634" i="2" s="1"/>
  <c r="L1634" i="2"/>
  <c r="G1634" i="2"/>
  <c r="J1634" i="2" l="1"/>
  <c r="M1634" i="2" s="1"/>
  <c r="N1634" i="2" s="1"/>
  <c r="H1634" i="2"/>
  <c r="I1634" i="2" s="1"/>
  <c r="B1635" i="2" l="1"/>
  <c r="C1635" i="2"/>
  <c r="F1635" i="2" l="1"/>
  <c r="K1635" i="2" s="1"/>
  <c r="L1635" i="2"/>
  <c r="G1635" i="2"/>
  <c r="J1635" i="2" l="1"/>
  <c r="M1635" i="2" s="1"/>
  <c r="N1635" i="2" s="1"/>
  <c r="H1635" i="2"/>
  <c r="I1635" i="2" s="1"/>
  <c r="B1636" i="2" l="1"/>
  <c r="C1636" i="2"/>
  <c r="L1636" i="2" l="1"/>
  <c r="F1636" i="2"/>
  <c r="K1636" i="2" s="1"/>
  <c r="G1636" i="2"/>
  <c r="J1636" i="2" l="1"/>
  <c r="M1636" i="2" s="1"/>
  <c r="N1636" i="2" s="1"/>
  <c r="H1636" i="2"/>
  <c r="I1636" i="2" s="1"/>
  <c r="B1637" i="2" l="1"/>
  <c r="C1637" i="2"/>
  <c r="F1637" i="2" l="1"/>
  <c r="K1637" i="2" s="1"/>
  <c r="L1637" i="2"/>
  <c r="G1637" i="2"/>
  <c r="H1637" i="2" l="1"/>
  <c r="I1637" i="2" s="1"/>
  <c r="J1637" i="2"/>
  <c r="M1637" i="2" s="1"/>
  <c r="N1637" i="2" s="1"/>
  <c r="B1638" i="2" l="1"/>
  <c r="C1638" i="2"/>
  <c r="L1638" i="2" l="1"/>
  <c r="G1638" i="2"/>
  <c r="F1638" i="2"/>
  <c r="K1638" i="2" s="1"/>
  <c r="H1638" i="2" l="1"/>
  <c r="I1638" i="2" s="1"/>
  <c r="J1638" i="2"/>
  <c r="M1638" i="2" s="1"/>
  <c r="N1638" i="2" s="1"/>
  <c r="B1639" i="2" l="1"/>
  <c r="C1639" i="2"/>
  <c r="G1639" i="2" l="1"/>
  <c r="L1639" i="2"/>
  <c r="F1639" i="2"/>
  <c r="K1639" i="2" s="1"/>
  <c r="H1639" i="2" l="1"/>
  <c r="I1639" i="2" s="1"/>
  <c r="J1639" i="2"/>
  <c r="M1639" i="2" s="1"/>
  <c r="N1639" i="2" s="1"/>
  <c r="B1640" i="2" l="1"/>
  <c r="C1640" i="2"/>
  <c r="G1640" i="2" l="1"/>
  <c r="F1640" i="2"/>
  <c r="K1640" i="2" s="1"/>
  <c r="L1640" i="2"/>
  <c r="J1640" i="2" l="1"/>
  <c r="M1640" i="2" s="1"/>
  <c r="N1640" i="2" s="1"/>
  <c r="H1640" i="2"/>
  <c r="I1640" i="2" s="1"/>
  <c r="C1641" i="2" l="1"/>
  <c r="B1641" i="2"/>
  <c r="G1641" i="2" l="1"/>
  <c r="L1641" i="2"/>
  <c r="F1641" i="2"/>
  <c r="K1641" i="2" s="1"/>
  <c r="H1641" i="2" l="1"/>
  <c r="I1641" i="2" s="1"/>
  <c r="J1641" i="2"/>
  <c r="M1641" i="2" s="1"/>
  <c r="N1641" i="2" s="1"/>
  <c r="C1642" i="2" l="1"/>
  <c r="B1642" i="2"/>
  <c r="F1642" i="2" l="1"/>
  <c r="K1642" i="2" s="1"/>
  <c r="L1642" i="2"/>
  <c r="G1642" i="2"/>
  <c r="J1642" i="2" l="1"/>
  <c r="M1642" i="2" s="1"/>
  <c r="N1642" i="2" s="1"/>
  <c r="H1642" i="2"/>
  <c r="I1642" i="2" s="1"/>
  <c r="C1643" i="2" l="1"/>
  <c r="B1643" i="2"/>
  <c r="G1643" i="2" l="1"/>
  <c r="L1643" i="2"/>
  <c r="F1643" i="2"/>
  <c r="K1643" i="2" s="1"/>
  <c r="H1643" i="2" l="1"/>
  <c r="I1643" i="2" s="1"/>
  <c r="J1643" i="2"/>
  <c r="M1643" i="2" s="1"/>
  <c r="N1643" i="2" s="1"/>
  <c r="B1644" i="2" l="1"/>
  <c r="C1644" i="2"/>
  <c r="G1644" i="2" l="1"/>
  <c r="L1644" i="2"/>
  <c r="F1644" i="2"/>
  <c r="K1644" i="2" s="1"/>
  <c r="J1644" i="2" l="1"/>
  <c r="M1644" i="2" s="1"/>
  <c r="N1644" i="2" s="1"/>
  <c r="H1644" i="2"/>
  <c r="I1644" i="2" s="1"/>
  <c r="B1645" i="2" l="1"/>
  <c r="C1645" i="2"/>
  <c r="G1645" i="2" l="1"/>
  <c r="F1645" i="2"/>
  <c r="K1645" i="2" s="1"/>
  <c r="L1645" i="2"/>
  <c r="H1645" i="2" l="1"/>
  <c r="I1645" i="2" s="1"/>
  <c r="J1645" i="2"/>
  <c r="M1645" i="2" s="1"/>
  <c r="N1645" i="2" s="1"/>
  <c r="C1646" i="2" l="1"/>
  <c r="B1646" i="2"/>
  <c r="F1646" i="2" l="1"/>
  <c r="K1646" i="2" s="1"/>
  <c r="G1646" i="2"/>
  <c r="L1646" i="2"/>
  <c r="J1646" i="2" l="1"/>
  <c r="M1646" i="2" s="1"/>
  <c r="N1646" i="2" s="1"/>
  <c r="H1646" i="2"/>
  <c r="I1646" i="2" s="1"/>
  <c r="B1647" i="2" l="1"/>
  <c r="C1647" i="2"/>
  <c r="F1647" i="2" l="1"/>
  <c r="K1647" i="2" s="1"/>
  <c r="G1647" i="2"/>
  <c r="L1647" i="2"/>
  <c r="H1647" i="2" l="1"/>
  <c r="I1647" i="2" s="1"/>
  <c r="J1647" i="2"/>
  <c r="M1647" i="2" s="1"/>
  <c r="N1647" i="2" s="1"/>
  <c r="C1648" i="2" l="1"/>
  <c r="B1648" i="2"/>
  <c r="G1648" i="2" l="1"/>
  <c r="F1648" i="2"/>
  <c r="K1648" i="2" s="1"/>
  <c r="L1648" i="2"/>
  <c r="J1648" i="2" l="1"/>
  <c r="M1648" i="2" s="1"/>
  <c r="N1648" i="2" s="1"/>
  <c r="H1648" i="2"/>
  <c r="I1648" i="2" s="1"/>
  <c r="B1649" i="2" l="1"/>
  <c r="C1649" i="2"/>
  <c r="G1649" i="2" l="1"/>
  <c r="F1649" i="2"/>
  <c r="K1649" i="2" s="1"/>
  <c r="L1649" i="2"/>
  <c r="H1649" i="2" l="1"/>
  <c r="J1649" i="2"/>
  <c r="M1649" i="2" s="1"/>
  <c r="N1649" i="2" s="1"/>
  <c r="I1649" i="2"/>
  <c r="C1650" i="2" l="1"/>
  <c r="B1650" i="2"/>
  <c r="G1650" i="2" l="1"/>
  <c r="L1650" i="2"/>
  <c r="F1650" i="2"/>
  <c r="K1650" i="2" s="1"/>
  <c r="J1650" i="2" l="1"/>
  <c r="M1650" i="2" s="1"/>
  <c r="N1650" i="2" s="1"/>
  <c r="H1650" i="2"/>
  <c r="I1650" i="2" s="1"/>
  <c r="C1651" i="2" l="1"/>
  <c r="B1651" i="2"/>
  <c r="F1651" i="2" l="1"/>
  <c r="K1651" i="2" s="1"/>
  <c r="L1651" i="2"/>
  <c r="G1651" i="2"/>
  <c r="H1651" i="2" l="1"/>
  <c r="I1651" i="2" s="1"/>
  <c r="J1651" i="2"/>
  <c r="M1651" i="2" s="1"/>
  <c r="N1651" i="2" s="1"/>
  <c r="B1652" i="2" l="1"/>
  <c r="C1652" i="2"/>
  <c r="F1652" i="2" l="1"/>
  <c r="K1652" i="2" s="1"/>
  <c r="G1652" i="2"/>
  <c r="L1652" i="2"/>
  <c r="H1652" i="2" l="1"/>
  <c r="I1652" i="2" s="1"/>
  <c r="J1652" i="2"/>
  <c r="M1652" i="2" s="1"/>
  <c r="N1652" i="2" s="1"/>
  <c r="B1653" i="2" l="1"/>
  <c r="C1653" i="2"/>
  <c r="F1653" i="2" l="1"/>
  <c r="K1653" i="2" s="1"/>
  <c r="L1653" i="2"/>
  <c r="G1653" i="2"/>
  <c r="H1653" i="2" l="1"/>
  <c r="I1653" i="2" s="1"/>
  <c r="J1653" i="2"/>
  <c r="M1653" i="2" s="1"/>
  <c r="N1653" i="2" s="1"/>
  <c r="C1654" i="2" l="1"/>
  <c r="B1654" i="2"/>
  <c r="G1654" i="2" l="1"/>
  <c r="L1654" i="2"/>
  <c r="F1654" i="2"/>
  <c r="K1654" i="2" s="1"/>
  <c r="J1654" i="2" l="1"/>
  <c r="M1654" i="2" s="1"/>
  <c r="N1654" i="2" s="1"/>
  <c r="H1654" i="2"/>
  <c r="I1654" i="2" s="1"/>
  <c r="B1655" i="2" l="1"/>
  <c r="C1655" i="2"/>
  <c r="F1655" i="2" l="1"/>
  <c r="K1655" i="2" s="1"/>
  <c r="L1655" i="2"/>
  <c r="G1655" i="2"/>
  <c r="J1655" i="2" l="1"/>
  <c r="M1655" i="2" s="1"/>
  <c r="N1655" i="2" s="1"/>
  <c r="H1655" i="2"/>
  <c r="I1655" i="2" s="1"/>
  <c r="B1656" i="2" l="1"/>
  <c r="C1656" i="2"/>
  <c r="L1656" i="2" l="1"/>
  <c r="G1656" i="2"/>
  <c r="F1656" i="2"/>
  <c r="K1656" i="2" s="1"/>
  <c r="J1656" i="2" l="1"/>
  <c r="M1656" i="2" s="1"/>
  <c r="N1656" i="2" s="1"/>
  <c r="H1656" i="2"/>
  <c r="I1656" i="2" s="1"/>
  <c r="B1657" i="2" l="1"/>
  <c r="C1657" i="2"/>
  <c r="G1657" i="2" l="1"/>
  <c r="L1657" i="2"/>
  <c r="F1657" i="2"/>
  <c r="K1657" i="2" s="1"/>
  <c r="H1657" i="2" l="1"/>
  <c r="I1657" i="2" s="1"/>
  <c r="J1657" i="2"/>
  <c r="M1657" i="2" s="1"/>
  <c r="N1657" i="2" s="1"/>
  <c r="B1658" i="2" l="1"/>
  <c r="C1658" i="2"/>
  <c r="G1658" i="2" l="1"/>
  <c r="L1658" i="2"/>
  <c r="F1658" i="2"/>
  <c r="K1658" i="2" s="1"/>
  <c r="J1658" i="2" l="1"/>
  <c r="M1658" i="2" s="1"/>
  <c r="N1658" i="2" s="1"/>
  <c r="H1658" i="2"/>
  <c r="I1658" i="2" s="1"/>
  <c r="B1659" i="2" l="1"/>
  <c r="C1659" i="2"/>
  <c r="G1659" i="2" l="1"/>
  <c r="L1659" i="2"/>
  <c r="F1659" i="2"/>
  <c r="K1659" i="2" s="1"/>
  <c r="H1659" i="2" l="1"/>
  <c r="I1659" i="2" s="1"/>
  <c r="J1659" i="2"/>
  <c r="M1659" i="2" s="1"/>
  <c r="N1659" i="2" s="1"/>
  <c r="C1660" i="2" l="1"/>
  <c r="B1660" i="2"/>
  <c r="G1660" i="2" l="1"/>
  <c r="F1660" i="2"/>
  <c r="K1660" i="2" s="1"/>
  <c r="L1660" i="2"/>
  <c r="H1660" i="2" l="1"/>
  <c r="J1660" i="2"/>
  <c r="M1660" i="2" s="1"/>
  <c r="N1660" i="2" s="1"/>
  <c r="I1660" i="2"/>
  <c r="B1661" i="2" l="1"/>
  <c r="C1661" i="2"/>
  <c r="G1661" i="2" l="1"/>
  <c r="L1661" i="2"/>
  <c r="F1661" i="2"/>
  <c r="K1661" i="2" s="1"/>
  <c r="J1661" i="2" l="1"/>
  <c r="M1661" i="2" s="1"/>
  <c r="N1661" i="2" s="1"/>
  <c r="H1661" i="2"/>
  <c r="I1661" i="2" s="1"/>
  <c r="B1662" i="2" l="1"/>
  <c r="C1662" i="2"/>
  <c r="G1662" i="2" l="1"/>
  <c r="L1662" i="2"/>
  <c r="F1662" i="2"/>
  <c r="K1662" i="2" s="1"/>
  <c r="H1662" i="2" l="1"/>
  <c r="I1662" i="2" s="1"/>
  <c r="J1662" i="2"/>
  <c r="M1662" i="2" s="1"/>
  <c r="N1662" i="2" s="1"/>
  <c r="C1663" i="2" l="1"/>
  <c r="B1663" i="2"/>
  <c r="L1663" i="2" l="1"/>
  <c r="G1663" i="2"/>
  <c r="F1663" i="2"/>
  <c r="K1663" i="2" s="1"/>
  <c r="J1663" i="2" l="1"/>
  <c r="M1663" i="2" s="1"/>
  <c r="N1663" i="2" s="1"/>
  <c r="H1663" i="2"/>
  <c r="I1663" i="2" s="1"/>
  <c r="B1664" i="2" l="1"/>
  <c r="C1664" i="2"/>
  <c r="G1664" i="2" l="1"/>
  <c r="F1664" i="2"/>
  <c r="K1664" i="2" s="1"/>
  <c r="L1664" i="2"/>
  <c r="H1664" i="2" l="1"/>
  <c r="I1664" i="2" s="1"/>
  <c r="J1664" i="2"/>
  <c r="M1664" i="2" s="1"/>
  <c r="N1664" i="2" s="1"/>
  <c r="B1665" i="2" l="1"/>
  <c r="C1665" i="2"/>
  <c r="L1665" i="2" l="1"/>
  <c r="F1665" i="2"/>
  <c r="K1665" i="2" s="1"/>
  <c r="G1665" i="2"/>
  <c r="J1665" i="2" l="1"/>
  <c r="M1665" i="2" s="1"/>
  <c r="N1665" i="2" s="1"/>
  <c r="H1665" i="2"/>
  <c r="I1665" i="2" s="1"/>
  <c r="C1666" i="2" l="1"/>
  <c r="B1666" i="2"/>
  <c r="G1666" i="2" l="1"/>
  <c r="L1666" i="2"/>
  <c r="F1666" i="2"/>
  <c r="K1666" i="2" s="1"/>
  <c r="J1666" i="2" l="1"/>
  <c r="M1666" i="2" s="1"/>
  <c r="N1666" i="2" s="1"/>
  <c r="H1666" i="2"/>
  <c r="I1666" i="2" s="1"/>
  <c r="C1667" i="2" l="1"/>
  <c r="B1667" i="2"/>
  <c r="L1667" i="2" l="1"/>
  <c r="F1667" i="2"/>
  <c r="K1667" i="2" s="1"/>
  <c r="G1667" i="2"/>
  <c r="J1667" i="2" l="1"/>
  <c r="M1667" i="2" s="1"/>
  <c r="N1667" i="2" s="1"/>
  <c r="H1667" i="2"/>
  <c r="I1667" i="2" s="1"/>
  <c r="C1668" i="2" l="1"/>
  <c r="B1668" i="2"/>
  <c r="G1668" i="2" l="1"/>
  <c r="L1668" i="2"/>
  <c r="F1668" i="2"/>
  <c r="K1668" i="2" s="1"/>
  <c r="H1668" i="2" l="1"/>
  <c r="I1668" i="2" s="1"/>
  <c r="J1668" i="2"/>
  <c r="M1668" i="2" s="1"/>
  <c r="N1668" i="2" s="1"/>
  <c r="B1669" i="2" l="1"/>
  <c r="C1669" i="2"/>
  <c r="L1669" i="2" l="1"/>
  <c r="F1669" i="2"/>
  <c r="K1669" i="2" s="1"/>
  <c r="G1669" i="2"/>
  <c r="H1669" i="2" l="1"/>
  <c r="J1669" i="2"/>
  <c r="M1669" i="2" s="1"/>
  <c r="N1669" i="2" s="1"/>
  <c r="I1669" i="2"/>
  <c r="C1670" i="2" l="1"/>
  <c r="B1670" i="2"/>
  <c r="F1670" i="2" l="1"/>
  <c r="K1670" i="2" s="1"/>
  <c r="L1670" i="2"/>
  <c r="G1670" i="2"/>
  <c r="H1670" i="2" l="1"/>
  <c r="I1670" i="2" s="1"/>
  <c r="J1670" i="2"/>
  <c r="M1670" i="2" s="1"/>
  <c r="N1670" i="2" s="1"/>
  <c r="B1671" i="2" l="1"/>
  <c r="C1671" i="2"/>
  <c r="G1671" i="2" l="1"/>
  <c r="F1671" i="2"/>
  <c r="K1671" i="2" s="1"/>
  <c r="L1671" i="2"/>
  <c r="H1671" i="2" l="1"/>
  <c r="I1671" i="2" s="1"/>
  <c r="J1671" i="2"/>
  <c r="M1671" i="2" s="1"/>
  <c r="N1671" i="2" s="1"/>
  <c r="B1672" i="2" l="1"/>
  <c r="C1672" i="2"/>
  <c r="G1672" i="2" l="1"/>
  <c r="F1672" i="2"/>
  <c r="K1672" i="2" s="1"/>
  <c r="L1672" i="2"/>
  <c r="J1672" i="2" l="1"/>
  <c r="M1672" i="2" s="1"/>
  <c r="N1672" i="2" s="1"/>
  <c r="H1672" i="2"/>
  <c r="I1672" i="2" s="1"/>
  <c r="C1673" i="2" l="1"/>
  <c r="B1673" i="2"/>
  <c r="L1673" i="2" l="1"/>
  <c r="G1673" i="2"/>
  <c r="F1673" i="2"/>
  <c r="K1673" i="2" s="1"/>
  <c r="J1673" i="2" l="1"/>
  <c r="M1673" i="2" s="1"/>
  <c r="N1673" i="2" s="1"/>
  <c r="H1673" i="2"/>
  <c r="I1673" i="2" s="1"/>
  <c r="B1674" i="2" l="1"/>
  <c r="C1674" i="2"/>
  <c r="G1674" i="2" l="1"/>
  <c r="L1674" i="2"/>
  <c r="F1674" i="2"/>
  <c r="K1674" i="2" s="1"/>
  <c r="H1674" i="2" l="1"/>
  <c r="I1674" i="2" s="1"/>
  <c r="J1674" i="2"/>
  <c r="M1674" i="2" s="1"/>
  <c r="N1674" i="2" s="1"/>
  <c r="C1675" i="2" l="1"/>
  <c r="B1675" i="2"/>
  <c r="G1675" i="2" l="1"/>
  <c r="F1675" i="2"/>
  <c r="K1675" i="2" s="1"/>
  <c r="L1675" i="2"/>
  <c r="J1675" i="2" l="1"/>
  <c r="M1675" i="2" s="1"/>
  <c r="N1675" i="2" s="1"/>
  <c r="H1675" i="2"/>
  <c r="I1675" i="2" s="1"/>
  <c r="C1676" i="2" l="1"/>
  <c r="B1676" i="2"/>
  <c r="F1676" i="2" l="1"/>
  <c r="K1676" i="2" s="1"/>
  <c r="G1676" i="2"/>
  <c r="L1676" i="2"/>
  <c r="H1676" i="2" l="1"/>
  <c r="I1676" i="2" s="1"/>
  <c r="J1676" i="2"/>
  <c r="M1676" i="2" s="1"/>
  <c r="N1676" i="2" s="1"/>
  <c r="B1677" i="2" l="1"/>
  <c r="C1677" i="2"/>
  <c r="F1677" i="2" l="1"/>
  <c r="K1677" i="2" s="1"/>
  <c r="G1677" i="2"/>
  <c r="L1677" i="2"/>
  <c r="H1677" i="2" l="1"/>
  <c r="I1677" i="2" s="1"/>
  <c r="J1677" i="2"/>
  <c r="M1677" i="2" s="1"/>
  <c r="N1677" i="2" s="1"/>
  <c r="C1678" i="2" l="1"/>
  <c r="B1678" i="2"/>
  <c r="G1678" i="2" l="1"/>
  <c r="L1678" i="2"/>
  <c r="F1678" i="2"/>
  <c r="K1678" i="2" s="1"/>
  <c r="J1678" i="2" l="1"/>
  <c r="M1678" i="2" s="1"/>
  <c r="N1678" i="2" s="1"/>
  <c r="H1678" i="2"/>
  <c r="I1678" i="2" s="1"/>
  <c r="C1679" i="2" l="1"/>
  <c r="B1679" i="2"/>
  <c r="G1679" i="2" l="1"/>
  <c r="F1679" i="2"/>
  <c r="K1679" i="2" s="1"/>
  <c r="L1679" i="2"/>
  <c r="H1679" i="2" l="1"/>
  <c r="I1679" i="2" s="1"/>
  <c r="J1679" i="2"/>
  <c r="M1679" i="2" s="1"/>
  <c r="N1679" i="2" s="1"/>
  <c r="B1680" i="2" l="1"/>
  <c r="C1680" i="2"/>
  <c r="F1680" i="2" l="1"/>
  <c r="K1680" i="2" s="1"/>
  <c r="G1680" i="2"/>
  <c r="L1680" i="2"/>
  <c r="H1680" i="2" l="1"/>
  <c r="I1680" i="2" s="1"/>
  <c r="J1680" i="2"/>
  <c r="M1680" i="2" s="1"/>
  <c r="N1680" i="2" s="1"/>
  <c r="C1681" i="2" l="1"/>
  <c r="B1681" i="2"/>
  <c r="G1681" i="2" l="1"/>
  <c r="F1681" i="2"/>
  <c r="K1681" i="2" s="1"/>
  <c r="L1681" i="2"/>
  <c r="H1681" i="2" l="1"/>
  <c r="I1681" i="2" s="1"/>
  <c r="J1681" i="2"/>
  <c r="M1681" i="2" s="1"/>
  <c r="N1681" i="2" s="1"/>
  <c r="B1682" i="2" l="1"/>
  <c r="C1682" i="2"/>
  <c r="G1682" i="2" l="1"/>
  <c r="F1682" i="2"/>
  <c r="K1682" i="2" s="1"/>
  <c r="L1682" i="2"/>
  <c r="J1682" i="2" l="1"/>
  <c r="M1682" i="2" s="1"/>
  <c r="N1682" i="2" s="1"/>
  <c r="H1682" i="2"/>
  <c r="I1682" i="2" s="1"/>
  <c r="B1683" i="2" l="1"/>
  <c r="C1683" i="2"/>
  <c r="F1683" i="2" l="1"/>
  <c r="K1683" i="2" s="1"/>
  <c r="G1683" i="2"/>
  <c r="L1683" i="2"/>
  <c r="J1683" i="2" l="1"/>
  <c r="M1683" i="2" s="1"/>
  <c r="N1683" i="2" s="1"/>
  <c r="H1683" i="2"/>
  <c r="I1683" i="2" s="1"/>
  <c r="B1684" i="2" l="1"/>
  <c r="C1684" i="2"/>
  <c r="F1684" i="2" l="1"/>
  <c r="K1684" i="2" s="1"/>
  <c r="G1684" i="2"/>
  <c r="L1684" i="2"/>
  <c r="J1684" i="2" l="1"/>
  <c r="M1684" i="2" s="1"/>
  <c r="N1684" i="2" s="1"/>
  <c r="H1684" i="2"/>
  <c r="I1684" i="2" s="1"/>
  <c r="B1685" i="2" l="1"/>
  <c r="C1685" i="2"/>
  <c r="G1685" i="2" l="1"/>
  <c r="F1685" i="2"/>
  <c r="K1685" i="2" s="1"/>
  <c r="L1685" i="2"/>
  <c r="H1685" i="2" l="1"/>
  <c r="I1685" i="2" s="1"/>
  <c r="J1685" i="2"/>
  <c r="M1685" i="2" s="1"/>
  <c r="N1685" i="2" s="1"/>
  <c r="C1686" i="2" l="1"/>
  <c r="B1686" i="2"/>
  <c r="F1686" i="2" l="1"/>
  <c r="K1686" i="2" s="1"/>
  <c r="G1686" i="2"/>
  <c r="L1686" i="2"/>
  <c r="H1686" i="2" l="1"/>
  <c r="I1686" i="2" s="1"/>
  <c r="J1686" i="2"/>
  <c r="M1686" i="2" s="1"/>
  <c r="N1686" i="2" s="1"/>
  <c r="B1687" i="2" l="1"/>
  <c r="C1687" i="2"/>
  <c r="G1687" i="2" l="1"/>
  <c r="L1687" i="2"/>
  <c r="F1687" i="2"/>
  <c r="K1687" i="2" s="1"/>
  <c r="J1687" i="2" l="1"/>
  <c r="M1687" i="2" s="1"/>
  <c r="N1687" i="2" s="1"/>
  <c r="H1687" i="2"/>
  <c r="I1687" i="2"/>
  <c r="B1688" i="2" l="1"/>
  <c r="C1688" i="2"/>
  <c r="F1688" i="2" l="1"/>
  <c r="K1688" i="2" s="1"/>
  <c r="G1688" i="2"/>
  <c r="L1688" i="2"/>
  <c r="J1688" i="2" l="1"/>
  <c r="M1688" i="2" s="1"/>
  <c r="N1688" i="2" s="1"/>
  <c r="H1688" i="2"/>
  <c r="I1688" i="2" s="1"/>
  <c r="C1689" i="2" l="1"/>
  <c r="B1689" i="2"/>
  <c r="F1689" i="2" l="1"/>
  <c r="K1689" i="2" s="1"/>
  <c r="G1689" i="2"/>
  <c r="L1689" i="2"/>
  <c r="H1689" i="2" l="1"/>
  <c r="I1689" i="2" s="1"/>
  <c r="J1689" i="2"/>
  <c r="M1689" i="2" s="1"/>
  <c r="N1689" i="2" s="1"/>
  <c r="B1690" i="2" l="1"/>
  <c r="C1690" i="2"/>
  <c r="G1690" i="2" l="1"/>
  <c r="F1690" i="2"/>
  <c r="K1690" i="2" s="1"/>
  <c r="L1690" i="2"/>
  <c r="H1690" i="2" l="1"/>
  <c r="I1690" i="2" s="1"/>
  <c r="J1690" i="2"/>
  <c r="M1690" i="2" s="1"/>
  <c r="N1690" i="2" s="1"/>
  <c r="B1691" i="2" l="1"/>
  <c r="C1691" i="2"/>
  <c r="G1691" i="2" l="1"/>
  <c r="L1691" i="2"/>
  <c r="F1691" i="2"/>
  <c r="K1691" i="2" s="1"/>
  <c r="J1691" i="2" l="1"/>
  <c r="M1691" i="2" s="1"/>
  <c r="N1691" i="2" s="1"/>
  <c r="H1691" i="2"/>
  <c r="I1691" i="2" s="1"/>
  <c r="B1692" i="2" l="1"/>
  <c r="C1692" i="2"/>
  <c r="L1692" i="2" l="1"/>
  <c r="G1692" i="2"/>
  <c r="F1692" i="2"/>
  <c r="K1692" i="2" s="1"/>
  <c r="J1692" i="2" l="1"/>
  <c r="M1692" i="2" s="1"/>
  <c r="N1692" i="2" s="1"/>
  <c r="H1692" i="2"/>
  <c r="I1692" i="2" s="1"/>
  <c r="C1693" i="2" l="1"/>
  <c r="B1693" i="2"/>
  <c r="F1693" i="2" l="1"/>
  <c r="K1693" i="2" s="1"/>
  <c r="L1693" i="2"/>
  <c r="G1693" i="2"/>
  <c r="J1693" i="2" l="1"/>
  <c r="M1693" i="2" s="1"/>
  <c r="N1693" i="2" s="1"/>
  <c r="H1693" i="2"/>
  <c r="I1693" i="2" s="1"/>
  <c r="B1694" i="2" l="1"/>
  <c r="C1694" i="2"/>
  <c r="L1694" i="2" l="1"/>
  <c r="G1694" i="2"/>
  <c r="F1694" i="2"/>
  <c r="K1694" i="2" s="1"/>
  <c r="H1694" i="2" l="1"/>
  <c r="I1694" i="2" s="1"/>
  <c r="J1694" i="2"/>
  <c r="M1694" i="2" s="1"/>
  <c r="N1694" i="2" s="1"/>
  <c r="C1695" i="2" l="1"/>
  <c r="B1695" i="2"/>
  <c r="L1695" i="2" l="1"/>
  <c r="F1695" i="2"/>
  <c r="K1695" i="2" s="1"/>
  <c r="G1695" i="2"/>
  <c r="J1695" i="2" l="1"/>
  <c r="M1695" i="2" s="1"/>
  <c r="N1695" i="2" s="1"/>
  <c r="H1695" i="2"/>
  <c r="I1695" i="2" s="1"/>
  <c r="B1696" i="2" l="1"/>
  <c r="C1696" i="2"/>
  <c r="L1696" i="2" l="1"/>
  <c r="F1696" i="2"/>
  <c r="K1696" i="2" s="1"/>
  <c r="G1696" i="2"/>
  <c r="J1696" i="2" l="1"/>
  <c r="M1696" i="2" s="1"/>
  <c r="N1696" i="2" s="1"/>
  <c r="H1696" i="2"/>
  <c r="I1696" i="2" s="1"/>
  <c r="B1697" i="2" l="1"/>
  <c r="C1697" i="2"/>
  <c r="L1697" i="2" l="1"/>
  <c r="G1697" i="2"/>
  <c r="F1697" i="2"/>
  <c r="K1697" i="2" s="1"/>
  <c r="J1697" i="2" l="1"/>
  <c r="M1697" i="2" s="1"/>
  <c r="N1697" i="2" s="1"/>
  <c r="H1697" i="2"/>
  <c r="I1697" i="2" s="1"/>
  <c r="B1698" i="2" l="1"/>
  <c r="C1698" i="2"/>
  <c r="L1698" i="2" l="1"/>
  <c r="F1698" i="2"/>
  <c r="K1698" i="2" s="1"/>
  <c r="G1698" i="2"/>
  <c r="J1698" i="2" l="1"/>
  <c r="M1698" i="2" s="1"/>
  <c r="N1698" i="2" s="1"/>
  <c r="H1698" i="2"/>
  <c r="I1698" i="2" s="1"/>
  <c r="C1699" i="2" l="1"/>
  <c r="B1699" i="2"/>
  <c r="L1699" i="2" l="1"/>
  <c r="G1699" i="2"/>
  <c r="F1699" i="2"/>
  <c r="K1699" i="2" s="1"/>
  <c r="H1699" i="2" l="1"/>
  <c r="I1699" i="2" s="1"/>
  <c r="J1699" i="2"/>
  <c r="M1699" i="2" s="1"/>
  <c r="N1699" i="2" s="1"/>
  <c r="B1700" i="2" l="1"/>
  <c r="C1700" i="2"/>
  <c r="F1700" i="2" l="1"/>
  <c r="K1700" i="2" s="1"/>
  <c r="L1700" i="2"/>
  <c r="G1700" i="2"/>
  <c r="J1700" i="2" l="1"/>
  <c r="M1700" i="2" s="1"/>
  <c r="N1700" i="2" s="1"/>
  <c r="H1700" i="2"/>
  <c r="I1700" i="2" s="1"/>
  <c r="C1701" i="2" l="1"/>
  <c r="B1701" i="2"/>
  <c r="L1701" i="2" l="1"/>
  <c r="G1701" i="2"/>
  <c r="F1701" i="2"/>
  <c r="K1701" i="2" s="1"/>
  <c r="J1701" i="2" l="1"/>
  <c r="M1701" i="2" s="1"/>
  <c r="N1701" i="2" s="1"/>
  <c r="H1701" i="2"/>
  <c r="I1701" i="2" s="1"/>
  <c r="C1702" i="2" l="1"/>
  <c r="B1702" i="2"/>
  <c r="F1702" i="2" s="1"/>
  <c r="K1702" i="2" s="1"/>
  <c r="G1702" i="2" l="1"/>
  <c r="J1702" i="2" s="1"/>
  <c r="M1702" i="2" s="1"/>
  <c r="N1702" i="2" s="1"/>
  <c r="L1702" i="2"/>
  <c r="H1702" i="2" l="1"/>
  <c r="I1702" i="2" s="1"/>
  <c r="B1703" i="2" s="1"/>
  <c r="C1703" i="2" l="1"/>
  <c r="L1703" i="2"/>
  <c r="G1703" i="2"/>
  <c r="F1703" i="2"/>
  <c r="K1703" i="2" s="1"/>
  <c r="J1703" i="2" l="1"/>
  <c r="M1703" i="2" s="1"/>
  <c r="N1703" i="2" s="1"/>
  <c r="H1703" i="2"/>
  <c r="I1703" i="2" s="1"/>
  <c r="C1704" i="2" l="1"/>
  <c r="B1704" i="2"/>
  <c r="F1704" i="2" l="1"/>
  <c r="K1704" i="2" s="1"/>
  <c r="G1704" i="2"/>
  <c r="L1704" i="2"/>
  <c r="J1704" i="2" l="1"/>
  <c r="M1704" i="2" s="1"/>
  <c r="N1704" i="2" s="1"/>
  <c r="H1704" i="2"/>
  <c r="I1704" i="2" s="1"/>
  <c r="C1705" i="2" l="1"/>
  <c r="B1705" i="2"/>
  <c r="F1705" i="2" l="1"/>
  <c r="K1705" i="2" s="1"/>
  <c r="L1705" i="2"/>
  <c r="G1705" i="2"/>
  <c r="H1705" i="2" l="1"/>
  <c r="I1705" i="2" s="1"/>
  <c r="J1705" i="2"/>
  <c r="M1705" i="2" s="1"/>
  <c r="N1705" i="2" s="1"/>
  <c r="B1706" i="2" l="1"/>
  <c r="C1706" i="2"/>
  <c r="G1706" i="2" l="1"/>
  <c r="F1706" i="2"/>
  <c r="K1706" i="2" s="1"/>
  <c r="L1706" i="2"/>
  <c r="J1706" i="2" l="1"/>
  <c r="M1706" i="2" s="1"/>
  <c r="N1706" i="2" s="1"/>
  <c r="H1706" i="2"/>
  <c r="I1706" i="2" s="1"/>
  <c r="C1707" i="2" l="1"/>
  <c r="B1707" i="2"/>
  <c r="G1707" i="2" l="1"/>
  <c r="F1707" i="2"/>
  <c r="K1707" i="2" s="1"/>
  <c r="L1707" i="2"/>
  <c r="H1707" i="2" l="1"/>
  <c r="I1707" i="2" s="1"/>
  <c r="J1707" i="2"/>
  <c r="M1707" i="2" s="1"/>
  <c r="N1707" i="2" s="1"/>
  <c r="B1708" i="2" l="1"/>
  <c r="C1708" i="2"/>
  <c r="F1708" i="2" l="1"/>
  <c r="K1708" i="2" s="1"/>
  <c r="G1708" i="2"/>
  <c r="L1708" i="2"/>
  <c r="H1708" i="2" l="1"/>
  <c r="I1708" i="2" s="1"/>
  <c r="J1708" i="2"/>
  <c r="M1708" i="2" s="1"/>
  <c r="N1708" i="2" s="1"/>
  <c r="C1709" i="2" l="1"/>
  <c r="B1709" i="2"/>
  <c r="G1709" i="2" l="1"/>
  <c r="L1709" i="2"/>
  <c r="F1709" i="2"/>
  <c r="K1709" i="2" s="1"/>
  <c r="J1709" i="2" l="1"/>
  <c r="M1709" i="2" s="1"/>
  <c r="N1709" i="2" s="1"/>
  <c r="H1709" i="2"/>
  <c r="I1709" i="2" s="1"/>
  <c r="C1710" i="2" l="1"/>
  <c r="B1710" i="2"/>
  <c r="G1710" i="2" l="1"/>
  <c r="F1710" i="2"/>
  <c r="K1710" i="2" s="1"/>
  <c r="L1710" i="2"/>
  <c r="J1710" i="2" l="1"/>
  <c r="M1710" i="2" s="1"/>
  <c r="N1710" i="2" s="1"/>
  <c r="H1710" i="2"/>
  <c r="I1710" i="2" s="1"/>
  <c r="C1711" i="2" l="1"/>
  <c r="B1711" i="2"/>
  <c r="F1711" i="2" l="1"/>
  <c r="K1711" i="2" s="1"/>
  <c r="G1711" i="2"/>
  <c r="L1711" i="2"/>
  <c r="H1711" i="2" l="1"/>
  <c r="I1711" i="2" s="1"/>
  <c r="J1711" i="2"/>
  <c r="M1711" i="2" s="1"/>
  <c r="N1711" i="2" s="1"/>
  <c r="B1712" i="2" l="1"/>
  <c r="C1712" i="2"/>
  <c r="L1712" i="2" l="1"/>
  <c r="G1712" i="2"/>
  <c r="F1712" i="2"/>
  <c r="K1712" i="2" s="1"/>
  <c r="H1712" i="2" l="1"/>
  <c r="I1712" i="2" s="1"/>
  <c r="J1712" i="2"/>
  <c r="M1712" i="2" s="1"/>
  <c r="N1712" i="2" s="1"/>
  <c r="B1713" i="2" l="1"/>
  <c r="C1713" i="2"/>
  <c r="L1713" i="2" l="1"/>
  <c r="G1713" i="2"/>
  <c r="F1713" i="2"/>
  <c r="K1713" i="2" s="1"/>
  <c r="J1713" i="2" l="1"/>
  <c r="M1713" i="2" s="1"/>
  <c r="N1713" i="2" s="1"/>
  <c r="H1713" i="2"/>
  <c r="I1713" i="2" s="1"/>
  <c r="C1714" i="2" l="1"/>
  <c r="B1714" i="2"/>
  <c r="L1714" i="2" l="1"/>
  <c r="F1714" i="2"/>
  <c r="K1714" i="2" s="1"/>
  <c r="G1714" i="2"/>
  <c r="J1714" i="2" l="1"/>
  <c r="M1714" i="2" s="1"/>
  <c r="N1714" i="2" s="1"/>
  <c r="H1714" i="2"/>
  <c r="I1714" i="2" s="1"/>
  <c r="B1715" i="2" l="1"/>
  <c r="C1715" i="2"/>
  <c r="F1715" i="2" l="1"/>
  <c r="K1715" i="2" s="1"/>
  <c r="L1715" i="2"/>
  <c r="G1715" i="2"/>
  <c r="H1715" i="2" l="1"/>
  <c r="I1715" i="2" s="1"/>
  <c r="J1715" i="2"/>
  <c r="M1715" i="2" s="1"/>
  <c r="N1715" i="2" s="1"/>
  <c r="B1716" i="2" l="1"/>
  <c r="C1716" i="2"/>
  <c r="F1716" i="2" l="1"/>
  <c r="K1716" i="2" s="1"/>
  <c r="G1716" i="2"/>
  <c r="L1716" i="2"/>
  <c r="J1716" i="2" l="1"/>
  <c r="M1716" i="2" s="1"/>
  <c r="N1716" i="2" s="1"/>
  <c r="H1716" i="2"/>
  <c r="I1716" i="2" s="1"/>
  <c r="B1717" i="2" l="1"/>
  <c r="C1717" i="2"/>
  <c r="F1717" i="2" l="1"/>
  <c r="K1717" i="2" s="1"/>
  <c r="L1717" i="2"/>
  <c r="G1717" i="2"/>
  <c r="H1717" i="2" l="1"/>
  <c r="I1717" i="2" s="1"/>
  <c r="J1717" i="2"/>
  <c r="M1717" i="2" s="1"/>
  <c r="N1717" i="2" s="1"/>
  <c r="C1718" i="2" l="1"/>
  <c r="B1718" i="2"/>
  <c r="G1718" i="2" l="1"/>
  <c r="L1718" i="2"/>
  <c r="F1718" i="2"/>
  <c r="K1718" i="2" s="1"/>
  <c r="H1718" i="2" l="1"/>
  <c r="I1718" i="2" s="1"/>
  <c r="J1718" i="2"/>
  <c r="M1718" i="2" s="1"/>
  <c r="N1718" i="2" s="1"/>
  <c r="B1719" i="2" l="1"/>
  <c r="C1719" i="2"/>
  <c r="F1719" i="2" l="1"/>
  <c r="K1719" i="2" s="1"/>
  <c r="G1719" i="2"/>
  <c r="L1719" i="2"/>
  <c r="J1719" i="2" l="1"/>
  <c r="M1719" i="2" s="1"/>
  <c r="N1719" i="2" s="1"/>
  <c r="H1719" i="2"/>
  <c r="I1719" i="2" s="1"/>
  <c r="C1720" i="2" l="1"/>
  <c r="B1720" i="2"/>
  <c r="L1720" i="2" l="1"/>
  <c r="G1720" i="2"/>
  <c r="F1720" i="2"/>
  <c r="K1720" i="2" s="1"/>
  <c r="J1720" i="2" l="1"/>
  <c r="M1720" i="2" s="1"/>
  <c r="N1720" i="2" s="1"/>
  <c r="H1720" i="2"/>
  <c r="I1720" i="2" s="1"/>
  <c r="C1721" i="2" l="1"/>
  <c r="B1721" i="2"/>
  <c r="L1721" i="2" l="1"/>
  <c r="F1721" i="2"/>
  <c r="K1721" i="2" s="1"/>
  <c r="G1721" i="2"/>
  <c r="J1721" i="2" l="1"/>
  <c r="M1721" i="2" s="1"/>
  <c r="N1721" i="2" s="1"/>
  <c r="H1721" i="2"/>
  <c r="I1721" i="2" s="1"/>
  <c r="C1722" i="2" l="1"/>
  <c r="B1722" i="2"/>
  <c r="L1722" i="2" l="1"/>
  <c r="G1722" i="2"/>
  <c r="F1722" i="2"/>
  <c r="K1722" i="2" s="1"/>
  <c r="J1722" i="2" l="1"/>
  <c r="M1722" i="2" s="1"/>
  <c r="N1722" i="2" s="1"/>
  <c r="H1722" i="2"/>
  <c r="I1722" i="2" s="1"/>
  <c r="C1723" i="2" l="1"/>
  <c r="B1723" i="2"/>
  <c r="F1723" i="2" l="1"/>
  <c r="K1723" i="2" s="1"/>
  <c r="L1723" i="2"/>
  <c r="G1723" i="2"/>
  <c r="H1723" i="2" l="1"/>
  <c r="I1723" i="2" s="1"/>
  <c r="J1723" i="2"/>
  <c r="M1723" i="2" s="1"/>
  <c r="N1723" i="2" s="1"/>
  <c r="C1724" i="2" l="1"/>
  <c r="B1724" i="2"/>
  <c r="G1724" i="2" l="1"/>
  <c r="L1724" i="2"/>
  <c r="F1724" i="2"/>
  <c r="K1724" i="2" s="1"/>
  <c r="J1724" i="2" l="1"/>
  <c r="M1724" i="2" s="1"/>
  <c r="N1724" i="2" s="1"/>
  <c r="H1724" i="2"/>
  <c r="I1724" i="2" s="1"/>
  <c r="C1725" i="2" l="1"/>
  <c r="B1725" i="2"/>
  <c r="G1725" i="2" l="1"/>
  <c r="L1725" i="2"/>
  <c r="F1725" i="2"/>
  <c r="K1725" i="2" s="1"/>
  <c r="H1725" i="2" l="1"/>
  <c r="I1725" i="2" s="1"/>
  <c r="J1725" i="2"/>
  <c r="M1725" i="2" s="1"/>
  <c r="N1725" i="2" s="1"/>
  <c r="C1726" i="2" l="1"/>
  <c r="B1726" i="2"/>
  <c r="L1726" i="2" l="1"/>
  <c r="F1726" i="2"/>
  <c r="K1726" i="2" s="1"/>
  <c r="G1726" i="2"/>
  <c r="H1726" i="2" l="1"/>
  <c r="I1726" i="2" s="1"/>
  <c r="J1726" i="2"/>
  <c r="M1726" i="2" s="1"/>
  <c r="N1726" i="2" s="1"/>
  <c r="C1727" i="2" l="1"/>
  <c r="B1727" i="2"/>
  <c r="G1727" i="2" l="1"/>
  <c r="L1727" i="2"/>
  <c r="F1727" i="2"/>
  <c r="K1727" i="2" s="1"/>
  <c r="J1727" i="2" l="1"/>
  <c r="M1727" i="2" s="1"/>
  <c r="N1727" i="2" s="1"/>
  <c r="H1727" i="2"/>
  <c r="I1727" i="2" s="1"/>
  <c r="B1728" i="2" l="1"/>
  <c r="C1728" i="2"/>
  <c r="G1728" i="2" l="1"/>
  <c r="L1728" i="2"/>
  <c r="F1728" i="2"/>
  <c r="K1728" i="2" s="1"/>
  <c r="J1728" i="2" l="1"/>
  <c r="M1728" i="2" s="1"/>
  <c r="N1728" i="2" s="1"/>
  <c r="H1728" i="2"/>
  <c r="I1728" i="2" s="1"/>
  <c r="C1729" i="2" l="1"/>
  <c r="B1729" i="2"/>
  <c r="L1729" i="2" l="1"/>
  <c r="G1729" i="2"/>
  <c r="F1729" i="2"/>
  <c r="K1729" i="2" s="1"/>
  <c r="H1729" i="2" l="1"/>
  <c r="I1729" i="2" s="1"/>
  <c r="J1729" i="2"/>
  <c r="M1729" i="2" s="1"/>
  <c r="N1729" i="2" s="1"/>
  <c r="C1730" i="2" l="1"/>
  <c r="B1730" i="2"/>
  <c r="L1730" i="2" l="1"/>
  <c r="F1730" i="2"/>
  <c r="K1730" i="2" s="1"/>
  <c r="G1730" i="2"/>
  <c r="J1730" i="2" l="1"/>
  <c r="M1730" i="2" s="1"/>
  <c r="N1730" i="2" s="1"/>
  <c r="H1730" i="2"/>
  <c r="I1730" i="2" s="1"/>
  <c r="C1731" i="2" l="1"/>
  <c r="B1731" i="2"/>
  <c r="F1731" i="2" l="1"/>
  <c r="K1731" i="2" s="1"/>
  <c r="L1731" i="2"/>
  <c r="G1731" i="2"/>
  <c r="H1731" i="2" l="1"/>
  <c r="I1731" i="2" s="1"/>
  <c r="J1731" i="2"/>
  <c r="M1731" i="2" s="1"/>
  <c r="N1731" i="2" s="1"/>
  <c r="C1732" i="2" l="1"/>
  <c r="B1732" i="2"/>
  <c r="L1732" i="2" l="1"/>
  <c r="G1732" i="2"/>
  <c r="F1732" i="2"/>
  <c r="K1732" i="2" s="1"/>
  <c r="J1732" i="2" l="1"/>
  <c r="M1732" i="2" s="1"/>
  <c r="N1732" i="2" s="1"/>
  <c r="H1732" i="2"/>
  <c r="I1732" i="2" s="1"/>
  <c r="B1733" i="2" l="1"/>
  <c r="C1733" i="2"/>
  <c r="L1733" i="2" l="1"/>
  <c r="F1733" i="2"/>
  <c r="K1733" i="2" s="1"/>
  <c r="G1733" i="2"/>
  <c r="J1733" i="2" l="1"/>
  <c r="M1733" i="2" s="1"/>
  <c r="N1733" i="2" s="1"/>
  <c r="H1733" i="2"/>
  <c r="I1733" i="2" s="1"/>
  <c r="C1734" i="2" l="1"/>
  <c r="B1734" i="2"/>
  <c r="G1734" i="2" l="1"/>
  <c r="L1734" i="2"/>
  <c r="F1734" i="2"/>
  <c r="K1734" i="2" s="1"/>
  <c r="H1734" i="2" l="1"/>
  <c r="I1734" i="2" s="1"/>
  <c r="J1734" i="2"/>
  <c r="M1734" i="2" s="1"/>
  <c r="N1734" i="2" s="1"/>
  <c r="C1735" i="2" l="1"/>
  <c r="B1735" i="2"/>
  <c r="F1735" i="2" l="1"/>
  <c r="K1735" i="2" s="1"/>
  <c r="G1735" i="2"/>
  <c r="L1735" i="2"/>
  <c r="H1735" i="2" l="1"/>
  <c r="I1735" i="2" s="1"/>
  <c r="J1735" i="2"/>
  <c r="M1735" i="2" s="1"/>
  <c r="N1735" i="2" s="1"/>
  <c r="B1736" i="2" l="1"/>
  <c r="C1736" i="2"/>
  <c r="L1736" i="2" l="1"/>
  <c r="F1736" i="2"/>
  <c r="K1736" i="2" s="1"/>
  <c r="G1736" i="2"/>
  <c r="H1736" i="2" l="1"/>
  <c r="I1736" i="2" s="1"/>
  <c r="J1736" i="2"/>
  <c r="M1736" i="2" s="1"/>
  <c r="N1736" i="2" s="1"/>
  <c r="B1737" i="2" l="1"/>
  <c r="C1737" i="2"/>
  <c r="L1737" i="2" l="1"/>
  <c r="F1737" i="2"/>
  <c r="K1737" i="2" s="1"/>
  <c r="G1737" i="2"/>
  <c r="J1737" i="2" l="1"/>
  <c r="M1737" i="2" s="1"/>
  <c r="N1737" i="2" s="1"/>
  <c r="H1737" i="2"/>
  <c r="I1737" i="2" s="1"/>
  <c r="B1738" i="2" l="1"/>
  <c r="C1738" i="2"/>
  <c r="L1738" i="2" l="1"/>
  <c r="G1738" i="2"/>
  <c r="F1738" i="2"/>
  <c r="K1738" i="2" s="1"/>
  <c r="J1738" i="2" l="1"/>
  <c r="M1738" i="2" s="1"/>
  <c r="N1738" i="2" s="1"/>
  <c r="H1738" i="2"/>
  <c r="I1738" i="2" s="1"/>
  <c r="C1739" i="2" l="1"/>
  <c r="B1739" i="2"/>
  <c r="L1739" i="2" l="1"/>
  <c r="G1739" i="2"/>
  <c r="F1739" i="2"/>
  <c r="K1739" i="2" s="1"/>
  <c r="H1739" i="2" l="1"/>
  <c r="I1739" i="2" s="1"/>
  <c r="J1739" i="2"/>
  <c r="M1739" i="2" s="1"/>
  <c r="N1739" i="2" s="1"/>
  <c r="B1740" i="2" l="1"/>
  <c r="C1740" i="2"/>
  <c r="G1740" i="2" l="1"/>
  <c r="L1740" i="2"/>
  <c r="F1740" i="2"/>
  <c r="K1740" i="2" s="1"/>
  <c r="H1740" i="2" l="1"/>
  <c r="I1740" i="2" s="1"/>
  <c r="J1740" i="2"/>
  <c r="M1740" i="2" s="1"/>
  <c r="N1740" i="2" s="1"/>
  <c r="B1741" i="2" l="1"/>
  <c r="C1741" i="2"/>
  <c r="G1741" i="2" l="1"/>
  <c r="F1741" i="2"/>
  <c r="K1741" i="2" s="1"/>
  <c r="L1741" i="2"/>
  <c r="J1741" i="2" l="1"/>
  <c r="M1741" i="2" s="1"/>
  <c r="N1741" i="2" s="1"/>
  <c r="H1741" i="2"/>
  <c r="I1741" i="2" s="1"/>
  <c r="C1742" i="2" l="1"/>
  <c r="B1742" i="2"/>
  <c r="F1742" i="2" l="1"/>
  <c r="K1742" i="2" s="1"/>
  <c r="G1742" i="2"/>
  <c r="L1742" i="2"/>
  <c r="H1742" i="2" l="1"/>
  <c r="I1742" i="2" s="1"/>
  <c r="J1742" i="2"/>
  <c r="M1742" i="2" s="1"/>
  <c r="N1742" i="2" s="1"/>
  <c r="C1743" i="2" l="1"/>
  <c r="B1743" i="2"/>
  <c r="L1743" i="2" l="1"/>
  <c r="G1743" i="2"/>
  <c r="F1743" i="2"/>
  <c r="K1743" i="2" s="1"/>
  <c r="J1743" i="2" l="1"/>
  <c r="M1743" i="2" s="1"/>
  <c r="N1743" i="2" s="1"/>
  <c r="H1743" i="2"/>
  <c r="I1743" i="2" s="1"/>
  <c r="B1744" i="2" l="1"/>
  <c r="C1744" i="2"/>
  <c r="L1744" i="2" l="1"/>
  <c r="G1744" i="2"/>
  <c r="F1744" i="2"/>
  <c r="K1744" i="2" s="1"/>
  <c r="J1744" i="2" l="1"/>
  <c r="M1744" i="2" s="1"/>
  <c r="N1744" i="2" s="1"/>
  <c r="H1744" i="2"/>
  <c r="I1744" i="2" s="1"/>
  <c r="C1745" i="2" l="1"/>
  <c r="B1745" i="2"/>
  <c r="G1745" i="2" l="1"/>
  <c r="L1745" i="2"/>
  <c r="F1745" i="2"/>
  <c r="K1745" i="2" s="1"/>
  <c r="H1745" i="2" l="1"/>
  <c r="I1745" i="2" s="1"/>
  <c r="J1745" i="2"/>
  <c r="M1745" i="2" s="1"/>
  <c r="N1745" i="2" s="1"/>
  <c r="C1746" i="2" l="1"/>
  <c r="B1746" i="2"/>
  <c r="G1746" i="2" l="1"/>
  <c r="F1746" i="2"/>
  <c r="K1746" i="2" s="1"/>
  <c r="L1746" i="2"/>
  <c r="J1746" i="2" l="1"/>
  <c r="M1746" i="2" s="1"/>
  <c r="N1746" i="2" s="1"/>
  <c r="H1746" i="2"/>
  <c r="I1746" i="2" s="1"/>
  <c r="C1747" i="2" l="1"/>
  <c r="B1747" i="2"/>
  <c r="F1747" i="2" l="1"/>
  <c r="K1747" i="2" s="1"/>
  <c r="L1747" i="2"/>
  <c r="G1747" i="2"/>
  <c r="H1747" i="2" l="1"/>
  <c r="I1747" i="2" s="1"/>
  <c r="J1747" i="2"/>
  <c r="M1747" i="2" s="1"/>
  <c r="N1747" i="2" s="1"/>
  <c r="B1748" i="2" l="1"/>
  <c r="C1748" i="2"/>
  <c r="L1748" i="2" l="1"/>
  <c r="F1748" i="2"/>
  <c r="K1748" i="2" s="1"/>
  <c r="G1748" i="2"/>
  <c r="J1748" i="2" l="1"/>
  <c r="M1748" i="2" s="1"/>
  <c r="N1748" i="2" s="1"/>
  <c r="H1748" i="2"/>
  <c r="I1748" i="2" s="1"/>
  <c r="C1749" i="2" l="1"/>
  <c r="B1749" i="2"/>
  <c r="G1749" i="2" l="1"/>
  <c r="L1749" i="2"/>
  <c r="F1749" i="2"/>
  <c r="K1749" i="2" s="1"/>
  <c r="J1749" i="2" l="1"/>
  <c r="M1749" i="2" s="1"/>
  <c r="N1749" i="2" s="1"/>
  <c r="H1749" i="2"/>
  <c r="I1749" i="2" s="1"/>
  <c r="B1750" i="2" l="1"/>
  <c r="C1750" i="2"/>
  <c r="F1750" i="2" l="1"/>
  <c r="K1750" i="2" s="1"/>
  <c r="L1750" i="2"/>
  <c r="G1750" i="2"/>
  <c r="J1750" i="2" l="1"/>
  <c r="M1750" i="2" s="1"/>
  <c r="N1750" i="2" s="1"/>
  <c r="H1750" i="2"/>
  <c r="I1750" i="2" s="1"/>
  <c r="B1751" i="2" l="1"/>
  <c r="C1751" i="2"/>
  <c r="L1751" i="2" l="1"/>
  <c r="F1751" i="2"/>
  <c r="K1751" i="2" s="1"/>
  <c r="G1751" i="2"/>
  <c r="H1751" i="2" l="1"/>
  <c r="I1751" i="2" s="1"/>
  <c r="J1751" i="2"/>
  <c r="M1751" i="2" s="1"/>
  <c r="N1751" i="2" s="1"/>
  <c r="C1752" i="2" l="1"/>
  <c r="B1752" i="2"/>
  <c r="L1752" i="2" l="1"/>
  <c r="G1752" i="2"/>
  <c r="F1752" i="2"/>
  <c r="K1752" i="2" s="1"/>
  <c r="H1752" i="2" l="1"/>
  <c r="I1752" i="2" s="1"/>
  <c r="J1752" i="2"/>
  <c r="M1752" i="2" s="1"/>
  <c r="N1752" i="2" s="1"/>
  <c r="B1753" i="2" l="1"/>
  <c r="C1753" i="2"/>
  <c r="F1753" i="2" l="1"/>
  <c r="K1753" i="2" s="1"/>
  <c r="L1753" i="2"/>
  <c r="G1753" i="2"/>
  <c r="H1753" i="2" l="1"/>
  <c r="I1753" i="2" s="1"/>
  <c r="J1753" i="2"/>
  <c r="M1753" i="2" s="1"/>
  <c r="N1753" i="2" s="1"/>
  <c r="C1754" i="2" l="1"/>
  <c r="B1754" i="2"/>
  <c r="L1754" i="2" l="1"/>
  <c r="G1754" i="2"/>
  <c r="F1754" i="2"/>
  <c r="K1754" i="2" s="1"/>
  <c r="H1754" i="2" l="1"/>
  <c r="I1754" i="2" s="1"/>
  <c r="J1754" i="2"/>
  <c r="M1754" i="2" s="1"/>
  <c r="N1754" i="2" s="1"/>
  <c r="B1755" i="2" l="1"/>
  <c r="C1755" i="2"/>
  <c r="G1755" i="2" l="1"/>
  <c r="F1755" i="2"/>
  <c r="K1755" i="2" s="1"/>
  <c r="L1755" i="2"/>
  <c r="H1755" i="2" l="1"/>
  <c r="I1755" i="2" s="1"/>
  <c r="J1755" i="2"/>
  <c r="M1755" i="2" s="1"/>
  <c r="N1755" i="2" s="1"/>
  <c r="C1756" i="2" l="1"/>
  <c r="B1756" i="2"/>
  <c r="L1756" i="2" l="1"/>
  <c r="G1756" i="2"/>
  <c r="F1756" i="2"/>
  <c r="K1756" i="2" s="1"/>
  <c r="J1756" i="2" l="1"/>
  <c r="M1756" i="2" s="1"/>
  <c r="N1756" i="2" s="1"/>
  <c r="H1756" i="2"/>
  <c r="I1756" i="2" s="1"/>
  <c r="B1757" i="2" l="1"/>
  <c r="C1757" i="2"/>
  <c r="G1757" i="2" l="1"/>
  <c r="F1757" i="2"/>
  <c r="K1757" i="2" s="1"/>
  <c r="L1757" i="2"/>
  <c r="H1757" i="2" l="1"/>
  <c r="I1757" i="2" s="1"/>
  <c r="J1757" i="2"/>
  <c r="M1757" i="2" s="1"/>
  <c r="N1757" i="2" s="1"/>
  <c r="B1758" i="2" l="1"/>
  <c r="C1758" i="2"/>
  <c r="L1758" i="2" l="1"/>
  <c r="G1758" i="2"/>
  <c r="F1758" i="2"/>
  <c r="K1758" i="2" s="1"/>
  <c r="H1758" i="2" l="1"/>
  <c r="I1758" i="2" s="1"/>
  <c r="J1758" i="2"/>
  <c r="M1758" i="2" s="1"/>
  <c r="N1758" i="2" s="1"/>
  <c r="B1759" i="2" l="1"/>
  <c r="C1759" i="2"/>
  <c r="G1759" i="2" l="1"/>
  <c r="F1759" i="2"/>
  <c r="K1759" i="2" s="1"/>
  <c r="L1759" i="2"/>
  <c r="J1759" i="2" l="1"/>
  <c r="M1759" i="2" s="1"/>
  <c r="N1759" i="2" s="1"/>
  <c r="H1759" i="2"/>
  <c r="I1759" i="2" s="1"/>
  <c r="C1760" i="2" l="1"/>
  <c r="B1760" i="2"/>
  <c r="F1760" i="2" l="1"/>
  <c r="K1760" i="2" s="1"/>
  <c r="G1760" i="2"/>
  <c r="L1760" i="2"/>
  <c r="J1760" i="2" l="1"/>
  <c r="M1760" i="2" s="1"/>
  <c r="N1760" i="2" s="1"/>
  <c r="H1760" i="2"/>
  <c r="I1760" i="2" s="1"/>
  <c r="B1761" i="2" l="1"/>
  <c r="C1761" i="2"/>
  <c r="L1761" i="2" l="1"/>
  <c r="F1761" i="2"/>
  <c r="K1761" i="2" s="1"/>
  <c r="G1761" i="2"/>
  <c r="H1761" i="2" l="1"/>
  <c r="I1761" i="2" s="1"/>
  <c r="J1761" i="2"/>
  <c r="M1761" i="2" s="1"/>
  <c r="N1761" i="2" s="1"/>
  <c r="C1762" i="2" l="1"/>
  <c r="B1762" i="2"/>
  <c r="F1762" i="2" l="1"/>
  <c r="K1762" i="2" s="1"/>
  <c r="L1762" i="2"/>
  <c r="G1762" i="2"/>
  <c r="J1762" i="2" l="1"/>
  <c r="M1762" i="2" s="1"/>
  <c r="N1762" i="2" s="1"/>
  <c r="H1762" i="2"/>
  <c r="I1762" i="2" s="1"/>
  <c r="B1763" i="2" l="1"/>
  <c r="C1763" i="2"/>
  <c r="F1763" i="2" l="1"/>
  <c r="K1763" i="2" s="1"/>
  <c r="G1763" i="2"/>
  <c r="L1763" i="2"/>
  <c r="J1763" i="2" l="1"/>
  <c r="M1763" i="2" s="1"/>
  <c r="N1763" i="2" s="1"/>
  <c r="H1763" i="2"/>
  <c r="I1763" i="2" s="1"/>
  <c r="B1764" i="2" l="1"/>
  <c r="C1764" i="2"/>
  <c r="G1764" i="2" l="1"/>
  <c r="F1764" i="2"/>
  <c r="K1764" i="2" s="1"/>
  <c r="L1764" i="2"/>
  <c r="J1764" i="2" l="1"/>
  <c r="M1764" i="2" s="1"/>
  <c r="N1764" i="2" s="1"/>
  <c r="H1764" i="2"/>
  <c r="I1764" i="2" s="1"/>
  <c r="C1765" i="2" l="1"/>
  <c r="B1765" i="2"/>
  <c r="L1765" i="2" l="1"/>
  <c r="G1765" i="2"/>
  <c r="F1765" i="2"/>
  <c r="K1765" i="2" s="1"/>
  <c r="H1765" i="2" l="1"/>
  <c r="I1765" i="2" s="1"/>
  <c r="J1765" i="2"/>
  <c r="M1765" i="2" s="1"/>
  <c r="N1765" i="2" s="1"/>
  <c r="C1766" i="2" l="1"/>
  <c r="B1766" i="2"/>
  <c r="G1766" i="2" l="1"/>
  <c r="L1766" i="2"/>
  <c r="F1766" i="2"/>
  <c r="K1766" i="2" s="1"/>
  <c r="J1766" i="2" l="1"/>
  <c r="M1766" i="2" s="1"/>
  <c r="N1766" i="2" s="1"/>
  <c r="H1766" i="2"/>
  <c r="I1766" i="2" s="1"/>
  <c r="B1767" i="2" l="1"/>
  <c r="C1767" i="2"/>
  <c r="L1767" i="2" l="1"/>
  <c r="G1767" i="2"/>
  <c r="F1767" i="2"/>
  <c r="K1767" i="2" s="1"/>
  <c r="H1767" i="2" l="1"/>
  <c r="I1767" i="2" s="1"/>
  <c r="J1767" i="2"/>
  <c r="M1767" i="2" s="1"/>
  <c r="N1767" i="2" s="1"/>
  <c r="C1768" i="2" l="1"/>
  <c r="B1768" i="2"/>
  <c r="G1768" i="2" l="1"/>
  <c r="F1768" i="2"/>
  <c r="K1768" i="2" s="1"/>
  <c r="L1768" i="2"/>
  <c r="H1768" i="2" l="1"/>
  <c r="I1768" i="2" s="1"/>
  <c r="J1768" i="2"/>
  <c r="M1768" i="2" s="1"/>
  <c r="N1768" i="2" s="1"/>
  <c r="B1769" i="2" l="1"/>
  <c r="C1769" i="2"/>
  <c r="G1769" i="2" l="1"/>
  <c r="F1769" i="2"/>
  <c r="K1769" i="2" s="1"/>
  <c r="L1769" i="2"/>
  <c r="J1769" i="2" l="1"/>
  <c r="M1769" i="2" s="1"/>
  <c r="N1769" i="2" s="1"/>
  <c r="H1769" i="2"/>
  <c r="I1769" i="2" s="1"/>
  <c r="C1770" i="2" l="1"/>
  <c r="B1770" i="2"/>
  <c r="G1770" i="2" l="1"/>
  <c r="F1770" i="2"/>
  <c r="K1770" i="2" s="1"/>
  <c r="L1770" i="2"/>
  <c r="J1770" i="2" l="1"/>
  <c r="M1770" i="2" s="1"/>
  <c r="N1770" i="2" s="1"/>
  <c r="H1770" i="2"/>
  <c r="I1770" i="2" s="1"/>
  <c r="C1771" i="2" l="1"/>
  <c r="B1771" i="2"/>
  <c r="F1771" i="2" l="1"/>
  <c r="K1771" i="2" s="1"/>
  <c r="L1771" i="2"/>
  <c r="G1771" i="2"/>
  <c r="H1771" i="2" l="1"/>
  <c r="I1771" i="2" s="1"/>
  <c r="J1771" i="2"/>
  <c r="M1771" i="2" s="1"/>
  <c r="N1771" i="2" s="1"/>
  <c r="B1772" i="2" l="1"/>
  <c r="C1772" i="2"/>
  <c r="F1772" i="2" l="1"/>
  <c r="K1772" i="2" s="1"/>
  <c r="G1772" i="2"/>
  <c r="L1772" i="2"/>
  <c r="J1772" i="2" l="1"/>
  <c r="M1772" i="2" s="1"/>
  <c r="N1772" i="2" s="1"/>
  <c r="H1772" i="2"/>
  <c r="I1772" i="2" s="1"/>
  <c r="C1773" i="2" l="1"/>
  <c r="B1773" i="2"/>
  <c r="L1773" i="2" l="1"/>
  <c r="G1773" i="2"/>
  <c r="F1773" i="2"/>
  <c r="K1773" i="2" s="1"/>
  <c r="J1773" i="2" l="1"/>
  <c r="M1773" i="2" s="1"/>
  <c r="N1773" i="2" s="1"/>
  <c r="H1773" i="2"/>
  <c r="I1773" i="2" s="1"/>
  <c r="B1774" i="2" l="1"/>
  <c r="C1774" i="2"/>
  <c r="L1774" i="2" l="1"/>
  <c r="G1774" i="2"/>
  <c r="F1774" i="2"/>
  <c r="K1774" i="2" s="1"/>
  <c r="H1774" i="2" l="1"/>
  <c r="I1774" i="2" s="1"/>
  <c r="J1774" i="2"/>
  <c r="M1774" i="2" s="1"/>
  <c r="N1774" i="2" s="1"/>
  <c r="C1775" i="2" l="1"/>
  <c r="B1775" i="2"/>
  <c r="G1775" i="2" l="1"/>
  <c r="F1775" i="2"/>
  <c r="K1775" i="2" s="1"/>
  <c r="L1775" i="2"/>
  <c r="H1775" i="2" l="1"/>
  <c r="I1775" i="2" s="1"/>
  <c r="J1775" i="2"/>
  <c r="M1775" i="2" s="1"/>
  <c r="N1775" i="2" s="1"/>
  <c r="B1776" i="2" l="1"/>
  <c r="C1776" i="2"/>
  <c r="L1776" i="2" l="1"/>
  <c r="F1776" i="2"/>
  <c r="K1776" i="2" s="1"/>
  <c r="G1776" i="2"/>
  <c r="H1776" i="2" l="1"/>
  <c r="I1776" i="2" s="1"/>
  <c r="J1776" i="2"/>
  <c r="M1776" i="2" s="1"/>
  <c r="N1776" i="2" s="1"/>
  <c r="C1777" i="2" l="1"/>
  <c r="B1777" i="2"/>
  <c r="G1777" i="2" l="1"/>
  <c r="L1777" i="2"/>
  <c r="F1777" i="2"/>
  <c r="K1777" i="2" s="1"/>
  <c r="H1777" i="2" l="1"/>
  <c r="I1777" i="2" s="1"/>
  <c r="J1777" i="2"/>
  <c r="M1777" i="2" s="1"/>
  <c r="N1777" i="2" s="1"/>
  <c r="B1778" i="2" l="1"/>
  <c r="C1778" i="2"/>
  <c r="G1778" i="2" l="1"/>
  <c r="F1778" i="2"/>
  <c r="K1778" i="2" s="1"/>
  <c r="L1778" i="2"/>
  <c r="J1778" i="2" l="1"/>
  <c r="M1778" i="2" s="1"/>
  <c r="N1778" i="2" s="1"/>
  <c r="H1778" i="2"/>
  <c r="I1778" i="2" s="1"/>
  <c r="C1779" i="2" l="1"/>
  <c r="B1779" i="2"/>
  <c r="L1779" i="2" l="1"/>
  <c r="G1779" i="2"/>
  <c r="F1779" i="2"/>
  <c r="K1779" i="2" s="1"/>
  <c r="H1779" i="2" l="1"/>
  <c r="I1779" i="2" s="1"/>
  <c r="J1779" i="2"/>
  <c r="M1779" i="2" s="1"/>
  <c r="N1779" i="2" s="1"/>
  <c r="C1780" i="2" l="1"/>
  <c r="B1780" i="2"/>
  <c r="F1780" i="2" l="1"/>
  <c r="K1780" i="2" s="1"/>
  <c r="L1780" i="2"/>
  <c r="G1780" i="2"/>
  <c r="H1780" i="2" l="1"/>
  <c r="I1780" i="2" s="1"/>
  <c r="J1780" i="2"/>
  <c r="M1780" i="2" s="1"/>
  <c r="N1780" i="2" s="1"/>
  <c r="C1781" i="2" l="1"/>
  <c r="B1781" i="2"/>
  <c r="L1781" i="2" l="1"/>
  <c r="G1781" i="2"/>
  <c r="F1781" i="2"/>
  <c r="K1781" i="2" s="1"/>
  <c r="J1781" i="2" l="1"/>
  <c r="M1781" i="2" s="1"/>
  <c r="N1781" i="2" s="1"/>
  <c r="H1781" i="2"/>
  <c r="I1781" i="2" s="1"/>
  <c r="C1782" i="2" l="1"/>
  <c r="B1782" i="2"/>
  <c r="L1782" i="2" l="1"/>
  <c r="F1782" i="2"/>
  <c r="K1782" i="2" s="1"/>
  <c r="G1782" i="2"/>
  <c r="J1782" i="2" l="1"/>
  <c r="M1782" i="2" s="1"/>
  <c r="N1782" i="2" s="1"/>
  <c r="H1782" i="2"/>
  <c r="I1782" i="2" s="1"/>
  <c r="C1783" i="2" l="1"/>
  <c r="B1783" i="2"/>
  <c r="L1783" i="2" l="1"/>
  <c r="G1783" i="2"/>
  <c r="F1783" i="2"/>
  <c r="K1783" i="2" s="1"/>
  <c r="J1783" i="2" l="1"/>
  <c r="M1783" i="2" s="1"/>
  <c r="N1783" i="2" s="1"/>
  <c r="H1783" i="2"/>
  <c r="I1783" i="2" s="1"/>
  <c r="C1784" i="2" l="1"/>
  <c r="B1784" i="2"/>
  <c r="G1784" i="2" l="1"/>
  <c r="F1784" i="2"/>
  <c r="K1784" i="2" s="1"/>
  <c r="L1784" i="2"/>
  <c r="H1784" i="2" l="1"/>
  <c r="I1784" i="2" s="1"/>
  <c r="J1784" i="2"/>
  <c r="M1784" i="2" s="1"/>
  <c r="N1784" i="2" s="1"/>
  <c r="B1785" i="2" l="1"/>
  <c r="C1785" i="2"/>
  <c r="G1785" i="2" l="1"/>
  <c r="F1785" i="2"/>
  <c r="K1785" i="2" s="1"/>
  <c r="L1785" i="2"/>
  <c r="H1785" i="2" l="1"/>
  <c r="I1785" i="2" s="1"/>
  <c r="J1785" i="2"/>
  <c r="M1785" i="2" s="1"/>
  <c r="N1785" i="2" s="1"/>
  <c r="B1786" i="2" l="1"/>
  <c r="C1786" i="2"/>
  <c r="F1786" i="2" l="1"/>
  <c r="K1786" i="2" s="1"/>
  <c r="L1786" i="2"/>
  <c r="G1786" i="2"/>
  <c r="J1786" i="2" l="1"/>
  <c r="M1786" i="2" s="1"/>
  <c r="N1786" i="2" s="1"/>
  <c r="H1786" i="2"/>
  <c r="I1786" i="2" s="1"/>
  <c r="B1787" i="2" l="1"/>
  <c r="C1787" i="2"/>
  <c r="L1787" i="2" l="1"/>
  <c r="G1787" i="2"/>
  <c r="F1787" i="2"/>
  <c r="K1787" i="2" s="1"/>
  <c r="H1787" i="2" l="1"/>
  <c r="I1787" i="2" s="1"/>
  <c r="J1787" i="2"/>
  <c r="M1787" i="2" s="1"/>
  <c r="N1787" i="2" s="1"/>
  <c r="B1788" i="2" l="1"/>
  <c r="C1788" i="2"/>
  <c r="L1788" i="2" l="1"/>
  <c r="G1788" i="2"/>
  <c r="F1788" i="2"/>
  <c r="K1788" i="2" s="1"/>
  <c r="J1788" i="2" l="1"/>
  <c r="M1788" i="2" s="1"/>
  <c r="N1788" i="2" s="1"/>
  <c r="H1788" i="2"/>
  <c r="I1788" i="2" s="1"/>
  <c r="C1789" i="2" l="1"/>
  <c r="B1789" i="2"/>
  <c r="G1789" i="2" l="1"/>
  <c r="F1789" i="2"/>
  <c r="K1789" i="2" s="1"/>
  <c r="L1789" i="2"/>
  <c r="H1789" i="2" l="1"/>
  <c r="I1789" i="2" s="1"/>
  <c r="J1789" i="2"/>
  <c r="M1789" i="2" s="1"/>
  <c r="N1789" i="2" s="1"/>
  <c r="B1790" i="2" l="1"/>
  <c r="C1790" i="2"/>
  <c r="F1790" i="2" l="1"/>
  <c r="K1790" i="2" s="1"/>
  <c r="L1790" i="2"/>
  <c r="G1790" i="2"/>
  <c r="H1790" i="2" l="1"/>
  <c r="I1790" i="2" s="1"/>
  <c r="J1790" i="2"/>
  <c r="M1790" i="2" s="1"/>
  <c r="N1790" i="2" s="1"/>
  <c r="C1791" i="2" l="1"/>
  <c r="B1791" i="2"/>
  <c r="F1791" i="2" l="1"/>
  <c r="K1791" i="2" s="1"/>
  <c r="L1791" i="2"/>
  <c r="G1791" i="2"/>
  <c r="J1791" i="2" l="1"/>
  <c r="M1791" i="2" s="1"/>
  <c r="N1791" i="2" s="1"/>
  <c r="H1791" i="2"/>
  <c r="I1791" i="2" s="1"/>
  <c r="B1792" i="2" l="1"/>
  <c r="C1792" i="2"/>
  <c r="L1792" i="2" l="1"/>
  <c r="F1792" i="2"/>
  <c r="K1792" i="2" s="1"/>
  <c r="G1792" i="2"/>
  <c r="J1792" i="2" l="1"/>
  <c r="M1792" i="2" s="1"/>
  <c r="N1792" i="2" s="1"/>
  <c r="H1792" i="2"/>
  <c r="I1792" i="2" s="1"/>
  <c r="B1793" i="2" l="1"/>
  <c r="C1793" i="2"/>
  <c r="G1793" i="2" l="1"/>
  <c r="F1793" i="2"/>
  <c r="K1793" i="2" s="1"/>
  <c r="L1793" i="2"/>
  <c r="H1793" i="2" l="1"/>
  <c r="I1793" i="2" s="1"/>
  <c r="J1793" i="2"/>
  <c r="M1793" i="2" s="1"/>
  <c r="N1793" i="2" s="1"/>
  <c r="B1794" i="2" l="1"/>
  <c r="C1794" i="2"/>
  <c r="L1794" i="2" l="1"/>
  <c r="F1794" i="2"/>
  <c r="K1794" i="2" s="1"/>
  <c r="G1794" i="2"/>
  <c r="H1794" i="2" l="1"/>
  <c r="I1794" i="2" s="1"/>
  <c r="J1794" i="2"/>
  <c r="M1794" i="2" s="1"/>
  <c r="N1794" i="2" s="1"/>
  <c r="B1795" i="2" l="1"/>
  <c r="C1795" i="2"/>
  <c r="F1795" i="2" l="1"/>
  <c r="K1795" i="2" s="1"/>
  <c r="G1795" i="2"/>
  <c r="L1795" i="2"/>
  <c r="J1795" i="2" l="1"/>
  <c r="M1795" i="2" s="1"/>
  <c r="N1795" i="2" s="1"/>
  <c r="H1795" i="2"/>
  <c r="I1795" i="2" s="1"/>
  <c r="B1796" i="2" l="1"/>
  <c r="C1796" i="2"/>
  <c r="F1796" i="2" l="1"/>
  <c r="K1796" i="2" s="1"/>
  <c r="L1796" i="2"/>
  <c r="G1796" i="2"/>
  <c r="J1796" i="2" l="1"/>
  <c r="M1796" i="2" s="1"/>
  <c r="N1796" i="2" s="1"/>
  <c r="H1796" i="2"/>
  <c r="I1796" i="2" s="1"/>
  <c r="B1797" i="2" l="1"/>
  <c r="C1797" i="2"/>
  <c r="F1797" i="2" l="1"/>
  <c r="K1797" i="2" s="1"/>
  <c r="G1797" i="2"/>
  <c r="L1797" i="2"/>
  <c r="H1797" i="2" l="1"/>
  <c r="I1797" i="2" s="1"/>
  <c r="J1797" i="2"/>
  <c r="M1797" i="2" s="1"/>
  <c r="N1797" i="2" s="1"/>
  <c r="C1798" i="2" l="1"/>
  <c r="B1798" i="2"/>
  <c r="L1798" i="2" l="1"/>
  <c r="G1798" i="2"/>
  <c r="F1798" i="2"/>
  <c r="K1798" i="2" s="1"/>
  <c r="J1798" i="2" l="1"/>
  <c r="M1798" i="2" s="1"/>
  <c r="N1798" i="2" s="1"/>
  <c r="H1798" i="2"/>
  <c r="I1798" i="2" s="1"/>
  <c r="C1799" i="2" l="1"/>
  <c r="B1799" i="2"/>
  <c r="L1799" i="2" l="1"/>
  <c r="F1799" i="2"/>
  <c r="K1799" i="2" s="1"/>
  <c r="G1799" i="2"/>
  <c r="J1799" i="2" l="1"/>
  <c r="M1799" i="2" s="1"/>
  <c r="N1799" i="2" s="1"/>
  <c r="H1799" i="2"/>
  <c r="I1799" i="2" s="1"/>
  <c r="C1800" i="2" l="1"/>
  <c r="B1800" i="2"/>
  <c r="F1800" i="2" l="1"/>
  <c r="K1800" i="2" s="1"/>
  <c r="L1800" i="2"/>
  <c r="G1800" i="2"/>
  <c r="H1800" i="2" l="1"/>
  <c r="I1800" i="2" s="1"/>
  <c r="J1800" i="2"/>
  <c r="M1800" i="2" s="1"/>
  <c r="N1800" i="2" s="1"/>
  <c r="B1801" i="2" l="1"/>
  <c r="C1801" i="2"/>
  <c r="F1801" i="2" l="1"/>
  <c r="K1801" i="2" s="1"/>
  <c r="L1801" i="2"/>
  <c r="G1801" i="2"/>
  <c r="H1801" i="2" l="1"/>
  <c r="I1801" i="2" s="1"/>
  <c r="J1801" i="2"/>
  <c r="M1801" i="2" s="1"/>
  <c r="N1801" i="2" s="1"/>
  <c r="B1802" i="2" l="1"/>
  <c r="C1802" i="2"/>
  <c r="L1802" i="2" l="1"/>
  <c r="F1802" i="2"/>
  <c r="K1802" i="2" s="1"/>
  <c r="G1802" i="2"/>
  <c r="J1802" i="2" l="1"/>
  <c r="M1802" i="2" s="1"/>
  <c r="N1802" i="2" s="1"/>
  <c r="H1802" i="2"/>
  <c r="I1802" i="2" s="1"/>
  <c r="B1803" i="2" l="1"/>
  <c r="C1803" i="2"/>
  <c r="G1803" i="2" l="1"/>
  <c r="F1803" i="2"/>
  <c r="K1803" i="2" s="1"/>
  <c r="L1803" i="2"/>
  <c r="J1803" i="2" l="1"/>
  <c r="M1803" i="2" s="1"/>
  <c r="N1803" i="2" s="1"/>
  <c r="H1803" i="2"/>
  <c r="I1803" i="2" s="1"/>
  <c r="C1804" i="2" l="1"/>
  <c r="B1804" i="2"/>
  <c r="F1804" i="2" l="1"/>
  <c r="K1804" i="2" s="1"/>
  <c r="L1804" i="2"/>
  <c r="G1804" i="2"/>
  <c r="H1804" i="2" l="1"/>
  <c r="I1804" i="2" s="1"/>
  <c r="J1804" i="2"/>
  <c r="M1804" i="2" s="1"/>
  <c r="N1804" i="2" s="1"/>
  <c r="B1805" i="2" l="1"/>
  <c r="C1805" i="2"/>
  <c r="L1805" i="2" l="1"/>
  <c r="F1805" i="2"/>
  <c r="K1805" i="2" s="1"/>
  <c r="G1805" i="2"/>
  <c r="H1805" i="2" l="1"/>
  <c r="I1805" i="2" s="1"/>
  <c r="J1805" i="2"/>
  <c r="M1805" i="2" s="1"/>
  <c r="N1805" i="2" s="1"/>
  <c r="B1806" i="2" l="1"/>
  <c r="C1806" i="2"/>
  <c r="L1806" i="2" l="1"/>
  <c r="G1806" i="2"/>
  <c r="F1806" i="2"/>
  <c r="K1806" i="2" s="1"/>
  <c r="J1806" i="2" l="1"/>
  <c r="M1806" i="2" s="1"/>
  <c r="N1806" i="2" s="1"/>
  <c r="H1806" i="2"/>
  <c r="I1806" i="2" s="1"/>
  <c r="C1807" i="2" l="1"/>
  <c r="B1807" i="2"/>
  <c r="F1807" i="2" l="1"/>
  <c r="K1807" i="2" s="1"/>
  <c r="G1807" i="2"/>
  <c r="L1807" i="2"/>
  <c r="J1807" i="2" l="1"/>
  <c r="M1807" i="2" s="1"/>
  <c r="N1807" i="2" s="1"/>
  <c r="H1807" i="2"/>
  <c r="I1807" i="2" s="1"/>
  <c r="B1808" i="2" l="1"/>
  <c r="C1808" i="2"/>
  <c r="G1808" i="2" l="1"/>
  <c r="F1808" i="2"/>
  <c r="K1808" i="2" s="1"/>
  <c r="L1808" i="2"/>
  <c r="J1808" i="2" l="1"/>
  <c r="M1808" i="2" s="1"/>
  <c r="N1808" i="2" s="1"/>
  <c r="H1808" i="2"/>
  <c r="I1808" i="2" s="1"/>
  <c r="B1809" i="2" l="1"/>
  <c r="C1809" i="2"/>
  <c r="F1809" i="2" l="1"/>
  <c r="K1809" i="2" s="1"/>
  <c r="L1809" i="2"/>
  <c r="G1809" i="2"/>
  <c r="J1809" i="2" l="1"/>
  <c r="M1809" i="2" s="1"/>
  <c r="N1809" i="2" s="1"/>
  <c r="H1809" i="2"/>
  <c r="I1809" i="2" s="1"/>
  <c r="C1810" i="2" l="1"/>
  <c r="B1810" i="2"/>
  <c r="F1810" i="2" l="1"/>
  <c r="K1810" i="2" s="1"/>
  <c r="G1810" i="2"/>
  <c r="L1810" i="2"/>
  <c r="H1810" i="2" l="1"/>
  <c r="I1810" i="2" s="1"/>
  <c r="J1810" i="2"/>
  <c r="M1810" i="2" s="1"/>
  <c r="N1810" i="2" s="1"/>
  <c r="C1811" i="2" l="1"/>
  <c r="B1811" i="2"/>
  <c r="L1811" i="2" l="1"/>
  <c r="F1811" i="2"/>
  <c r="K1811" i="2" s="1"/>
  <c r="G1811" i="2"/>
  <c r="J1811" i="2" l="1"/>
  <c r="M1811" i="2" s="1"/>
  <c r="N1811" i="2" s="1"/>
  <c r="H1811" i="2"/>
  <c r="I1811" i="2" s="1"/>
  <c r="B1812" i="2" l="1"/>
  <c r="C1812" i="2"/>
  <c r="L1812" i="2" l="1"/>
  <c r="F1812" i="2"/>
  <c r="K1812" i="2" s="1"/>
  <c r="G1812" i="2"/>
  <c r="J1812" i="2" l="1"/>
  <c r="M1812" i="2" s="1"/>
  <c r="N1812" i="2" s="1"/>
  <c r="H1812" i="2"/>
  <c r="I1812" i="2" s="1"/>
  <c r="B1813" i="2" l="1"/>
  <c r="C1813" i="2"/>
  <c r="F1813" i="2" l="1"/>
  <c r="K1813" i="2" s="1"/>
  <c r="G1813" i="2"/>
  <c r="L1813" i="2"/>
  <c r="H1813" i="2" l="1"/>
  <c r="I1813" i="2" s="1"/>
  <c r="J1813" i="2"/>
  <c r="M1813" i="2" s="1"/>
  <c r="N1813" i="2" s="1"/>
  <c r="B1814" i="2" l="1"/>
  <c r="C1814" i="2"/>
  <c r="L1814" i="2" l="1"/>
  <c r="F1814" i="2"/>
  <c r="K1814" i="2" s="1"/>
  <c r="G1814" i="2"/>
  <c r="J1814" i="2" l="1"/>
  <c r="M1814" i="2" s="1"/>
  <c r="N1814" i="2" s="1"/>
  <c r="H1814" i="2"/>
  <c r="I1814" i="2" s="1"/>
  <c r="B1815" i="2" l="1"/>
  <c r="C1815" i="2"/>
  <c r="L1815" i="2" l="1"/>
  <c r="F1815" i="2"/>
  <c r="K1815" i="2" s="1"/>
  <c r="G1815" i="2"/>
  <c r="H1815" i="2" l="1"/>
  <c r="I1815" i="2" s="1"/>
  <c r="J1815" i="2"/>
  <c r="M1815" i="2" s="1"/>
  <c r="N1815" i="2" s="1"/>
  <c r="C1816" i="2" l="1"/>
  <c r="B1816" i="2"/>
  <c r="L1816" i="2" l="1"/>
  <c r="F1816" i="2"/>
  <c r="K1816" i="2" s="1"/>
  <c r="G1816" i="2"/>
  <c r="H1816" i="2" l="1"/>
  <c r="I1816" i="2" s="1"/>
  <c r="J1816" i="2"/>
  <c r="M1816" i="2" s="1"/>
  <c r="N1816" i="2" s="1"/>
  <c r="C1817" i="2" l="1"/>
  <c r="B1817" i="2"/>
  <c r="G1817" i="2" l="1"/>
  <c r="F1817" i="2"/>
  <c r="K1817" i="2" s="1"/>
  <c r="L1817" i="2"/>
  <c r="J1817" i="2" l="1"/>
  <c r="M1817" i="2" s="1"/>
  <c r="N1817" i="2" s="1"/>
  <c r="H1817" i="2"/>
  <c r="I1817" i="2" s="1"/>
  <c r="C1818" i="2" l="1"/>
  <c r="B1818" i="2"/>
  <c r="L1818" i="2" l="1"/>
  <c r="G1818" i="2"/>
  <c r="F1818" i="2"/>
  <c r="K1818" i="2" s="1"/>
  <c r="H1818" i="2" l="1"/>
  <c r="I1818" i="2" s="1"/>
  <c r="J1818" i="2"/>
  <c r="M1818" i="2" s="1"/>
  <c r="N1818" i="2" s="1"/>
  <c r="B1819" i="2" l="1"/>
  <c r="C1819" i="2"/>
  <c r="L1819" i="2" l="1"/>
  <c r="G1819" i="2"/>
  <c r="F1819" i="2"/>
  <c r="K1819" i="2" s="1"/>
  <c r="H1819" i="2" l="1"/>
  <c r="I1819" i="2" s="1"/>
  <c r="J1819" i="2"/>
  <c r="M1819" i="2" s="1"/>
  <c r="N1819" i="2" s="1"/>
  <c r="C1820" i="2" l="1"/>
  <c r="B1820" i="2"/>
  <c r="L1820" i="2" l="1"/>
  <c r="F1820" i="2"/>
  <c r="K1820" i="2" s="1"/>
  <c r="G1820" i="2"/>
  <c r="J1820" i="2" l="1"/>
  <c r="M1820" i="2" s="1"/>
  <c r="N1820" i="2" s="1"/>
  <c r="H1820" i="2"/>
  <c r="I1820" i="2" s="1"/>
  <c r="C1821" i="2" l="1"/>
  <c r="B1821" i="2"/>
  <c r="G1821" i="2" l="1"/>
  <c r="F1821" i="2"/>
  <c r="K1821" i="2" s="1"/>
  <c r="L1821" i="2"/>
  <c r="H1821" i="2" l="1"/>
  <c r="I1821" i="2" s="1"/>
  <c r="J1821" i="2"/>
  <c r="M1821" i="2" s="1"/>
  <c r="N1821" i="2" s="1"/>
  <c r="C1822" i="2" l="1"/>
  <c r="B1822" i="2"/>
  <c r="F1822" i="2" l="1"/>
  <c r="K1822" i="2" s="1"/>
  <c r="L1822" i="2"/>
  <c r="G1822" i="2"/>
  <c r="H1822" i="2" l="1"/>
  <c r="I1822" i="2" s="1"/>
  <c r="J1822" i="2"/>
  <c r="M1822" i="2" s="1"/>
  <c r="N1822" i="2" s="1"/>
  <c r="C1823" i="2" l="1"/>
  <c r="B1823" i="2"/>
  <c r="G1823" i="2" l="1"/>
  <c r="F1823" i="2"/>
  <c r="K1823" i="2" s="1"/>
  <c r="L1823" i="2"/>
  <c r="H1823" i="2" l="1"/>
  <c r="I1823" i="2" s="1"/>
  <c r="J1823" i="2"/>
  <c r="M1823" i="2" s="1"/>
  <c r="N1823" i="2" s="1"/>
  <c r="C1824" i="2" l="1"/>
  <c r="B1824" i="2"/>
  <c r="F1824" i="2" l="1"/>
  <c r="K1824" i="2" s="1"/>
  <c r="G1824" i="2"/>
  <c r="L1824" i="2"/>
  <c r="J1824" i="2" l="1"/>
  <c r="M1824" i="2" s="1"/>
  <c r="N1824" i="2" s="1"/>
  <c r="H1824" i="2"/>
  <c r="I1824" i="2" s="1"/>
  <c r="C1825" i="2" l="1"/>
  <c r="B1825" i="2"/>
  <c r="G1825" i="2" l="1"/>
  <c r="F1825" i="2"/>
  <c r="K1825" i="2" s="1"/>
  <c r="L1825" i="2"/>
  <c r="J1825" i="2" l="1"/>
  <c r="M1825" i="2" s="1"/>
  <c r="N1825" i="2" s="1"/>
  <c r="H1825" i="2"/>
  <c r="I1825" i="2" s="1"/>
  <c r="B1826" i="2" l="1"/>
  <c r="C1826" i="2"/>
  <c r="F1826" i="2" l="1"/>
  <c r="K1826" i="2" s="1"/>
  <c r="L1826" i="2"/>
  <c r="G1826" i="2"/>
  <c r="J1826" i="2" l="1"/>
  <c r="M1826" i="2" s="1"/>
  <c r="N1826" i="2" s="1"/>
  <c r="H1826" i="2"/>
  <c r="I1826" i="2" s="1"/>
  <c r="B1827" i="2" l="1"/>
  <c r="C1827" i="2"/>
  <c r="G1827" i="2" l="1"/>
  <c r="F1827" i="2"/>
  <c r="K1827" i="2" s="1"/>
  <c r="L1827" i="2"/>
  <c r="H1827" i="2" l="1"/>
  <c r="I1827" i="2" s="1"/>
  <c r="J1827" i="2"/>
  <c r="M1827" i="2" s="1"/>
  <c r="N1827" i="2" s="1"/>
  <c r="B1828" i="2" l="1"/>
  <c r="C1828" i="2"/>
  <c r="L1828" i="2" l="1"/>
  <c r="F1828" i="2"/>
  <c r="K1828" i="2" s="1"/>
  <c r="G1828" i="2"/>
  <c r="H1828" i="2" l="1"/>
  <c r="I1828" i="2" s="1"/>
  <c r="J1828" i="2"/>
  <c r="M1828" i="2" s="1"/>
  <c r="N1828" i="2" s="1"/>
  <c r="C1829" i="2" l="1"/>
  <c r="B1829" i="2"/>
  <c r="G1829" i="2" l="1"/>
  <c r="L1829" i="2"/>
  <c r="F1829" i="2"/>
  <c r="K1829" i="2" s="1"/>
  <c r="J1829" i="2" l="1"/>
  <c r="M1829" i="2" s="1"/>
  <c r="N1829" i="2" s="1"/>
  <c r="H1829" i="2"/>
  <c r="I1829" i="2" s="1"/>
  <c r="B1830" i="2" l="1"/>
  <c r="C1830" i="2"/>
  <c r="G1830" i="2" l="1"/>
  <c r="L1830" i="2"/>
  <c r="F1830" i="2"/>
  <c r="K1830" i="2" s="1"/>
  <c r="J1830" i="2" l="1"/>
  <c r="M1830" i="2" s="1"/>
  <c r="N1830" i="2" s="1"/>
  <c r="H1830" i="2"/>
  <c r="I1830" i="2" s="1"/>
  <c r="B1831" i="2" l="1"/>
  <c r="C1831" i="2"/>
  <c r="F1831" i="2" l="1"/>
  <c r="K1831" i="2" s="1"/>
  <c r="G1831" i="2"/>
  <c r="L1831" i="2"/>
  <c r="J1831" i="2" l="1"/>
  <c r="M1831" i="2" s="1"/>
  <c r="N1831" i="2" s="1"/>
  <c r="H1831" i="2"/>
  <c r="I1831" i="2" s="1"/>
  <c r="C1832" i="2" l="1"/>
  <c r="B1832" i="2"/>
  <c r="L1832" i="2" l="1"/>
  <c r="F1832" i="2"/>
  <c r="K1832" i="2" s="1"/>
  <c r="G1832" i="2"/>
  <c r="J1832" i="2" l="1"/>
  <c r="M1832" i="2" s="1"/>
  <c r="N1832" i="2" s="1"/>
  <c r="H1832" i="2"/>
  <c r="I1832" i="2" s="1"/>
  <c r="B1833" i="2" l="1"/>
  <c r="C1833" i="2"/>
  <c r="F1833" i="2" l="1"/>
  <c r="K1833" i="2" s="1"/>
  <c r="G1833" i="2"/>
  <c r="L1833" i="2"/>
  <c r="H1833" i="2" l="1"/>
  <c r="I1833" i="2" s="1"/>
  <c r="J1833" i="2"/>
  <c r="M1833" i="2" s="1"/>
  <c r="N1833" i="2" s="1"/>
  <c r="B1834" i="2" l="1"/>
  <c r="C1834" i="2"/>
  <c r="G1834" i="2" l="1"/>
  <c r="F1834" i="2"/>
  <c r="K1834" i="2" s="1"/>
  <c r="L1834" i="2"/>
  <c r="J1834" i="2" l="1"/>
  <c r="M1834" i="2" s="1"/>
  <c r="N1834" i="2" s="1"/>
  <c r="H1834" i="2"/>
  <c r="I1834" i="2" s="1"/>
  <c r="B1835" i="2" l="1"/>
  <c r="C1835" i="2"/>
  <c r="G1835" i="2" l="1"/>
  <c r="L1835" i="2"/>
  <c r="F1835" i="2"/>
  <c r="K1835" i="2" s="1"/>
  <c r="H1835" i="2" l="1"/>
  <c r="I1835" i="2" s="1"/>
  <c r="J1835" i="2"/>
  <c r="M1835" i="2" s="1"/>
  <c r="N1835" i="2" s="1"/>
  <c r="C1836" i="2" l="1"/>
  <c r="B1836" i="2"/>
  <c r="F1836" i="2" l="1"/>
  <c r="K1836" i="2" s="1"/>
  <c r="G1836" i="2"/>
  <c r="L1836" i="2"/>
  <c r="H1836" i="2" l="1"/>
  <c r="I1836" i="2" s="1"/>
  <c r="J1836" i="2"/>
  <c r="M1836" i="2" s="1"/>
  <c r="N1836" i="2" s="1"/>
  <c r="C1837" i="2" l="1"/>
  <c r="B1837" i="2"/>
  <c r="G1837" i="2" l="1"/>
  <c r="L1837" i="2"/>
  <c r="F1837" i="2"/>
  <c r="K1837" i="2" s="1"/>
  <c r="J1837" i="2" l="1"/>
  <c r="M1837" i="2" s="1"/>
  <c r="N1837" i="2" s="1"/>
  <c r="H1837" i="2"/>
  <c r="I1837" i="2" s="1"/>
  <c r="C1838" i="2" l="1"/>
  <c r="B1838" i="2"/>
  <c r="G1838" i="2" l="1"/>
  <c r="F1838" i="2"/>
  <c r="K1838" i="2" s="1"/>
  <c r="L1838" i="2"/>
  <c r="H1838" i="2" l="1"/>
  <c r="I1838" i="2" s="1"/>
  <c r="J1838" i="2"/>
  <c r="M1838" i="2" s="1"/>
  <c r="N1838" i="2" s="1"/>
  <c r="B1839" i="2" l="1"/>
  <c r="C1839" i="2"/>
  <c r="L1839" i="2" l="1"/>
  <c r="F1839" i="2"/>
  <c r="K1839" i="2" s="1"/>
  <c r="G1839" i="2"/>
  <c r="J1839" i="2" l="1"/>
  <c r="M1839" i="2" s="1"/>
  <c r="N1839" i="2" s="1"/>
  <c r="H1839" i="2"/>
  <c r="I1839" i="2" s="1"/>
  <c r="B1840" i="2" l="1"/>
  <c r="C1840" i="2"/>
  <c r="G1840" i="2" l="1"/>
  <c r="L1840" i="2"/>
  <c r="F1840" i="2"/>
  <c r="K1840" i="2" s="1"/>
  <c r="H1840" i="2" l="1"/>
  <c r="I1840" i="2" s="1"/>
  <c r="J1840" i="2"/>
  <c r="M1840" i="2" s="1"/>
  <c r="N1840" i="2" s="1"/>
  <c r="C1841" i="2" l="1"/>
  <c r="B1841" i="2"/>
  <c r="L1841" i="2" l="1"/>
  <c r="F1841" i="2"/>
  <c r="K1841" i="2" s="1"/>
  <c r="G1841" i="2"/>
  <c r="H1841" i="2" l="1"/>
  <c r="I1841" i="2" s="1"/>
  <c r="J1841" i="2"/>
  <c r="M1841" i="2" s="1"/>
  <c r="N1841" i="2" s="1"/>
  <c r="C1842" i="2" l="1"/>
  <c r="B1842" i="2"/>
  <c r="L1842" i="2" s="1"/>
  <c r="F1842" i="2" l="1"/>
  <c r="K1842" i="2" s="1"/>
  <c r="G1842" i="2"/>
  <c r="J1842" i="2" s="1"/>
  <c r="M1842" i="2" s="1"/>
  <c r="N1842" i="2" s="1"/>
  <c r="H1842" i="2" l="1"/>
  <c r="I1842" i="2" s="1"/>
  <c r="B1843" i="2" s="1"/>
  <c r="C1843" i="2" l="1"/>
  <c r="F1843" i="2" s="1"/>
  <c r="K1843" i="2" s="1"/>
  <c r="G1843" i="2"/>
  <c r="L1843" i="2" l="1"/>
  <c r="J1843" i="2"/>
  <c r="M1843" i="2" s="1"/>
  <c r="N1843" i="2" s="1"/>
  <c r="H1843" i="2"/>
  <c r="I1843" i="2" s="1"/>
  <c r="B1844" i="2" l="1"/>
  <c r="C1844" i="2"/>
  <c r="G1844" i="2" l="1"/>
  <c r="F1844" i="2"/>
  <c r="K1844" i="2" s="1"/>
  <c r="L1844" i="2"/>
  <c r="J1844" i="2" l="1"/>
  <c r="M1844" i="2" s="1"/>
  <c r="N1844" i="2" s="1"/>
  <c r="H1844" i="2"/>
  <c r="I1844" i="2" s="1"/>
  <c r="C1845" i="2" l="1"/>
  <c r="B1845" i="2"/>
  <c r="F1845" i="2" l="1"/>
  <c r="K1845" i="2" s="1"/>
  <c r="G1845" i="2"/>
  <c r="L1845" i="2"/>
  <c r="J1845" i="2" l="1"/>
  <c r="M1845" i="2" s="1"/>
  <c r="N1845" i="2" s="1"/>
  <c r="H1845" i="2"/>
  <c r="I1845" i="2" s="1"/>
  <c r="B1846" i="2" l="1"/>
  <c r="C1846" i="2"/>
  <c r="L1846" i="2" l="1"/>
  <c r="F1846" i="2"/>
  <c r="K1846" i="2" s="1"/>
  <c r="G1846" i="2"/>
  <c r="J1846" i="2" l="1"/>
  <c r="M1846" i="2" s="1"/>
  <c r="N1846" i="2" s="1"/>
  <c r="H1846" i="2"/>
  <c r="I1846" i="2" s="1"/>
  <c r="B1847" i="2" l="1"/>
  <c r="C1847" i="2"/>
  <c r="F1847" i="2" l="1"/>
  <c r="K1847" i="2" s="1"/>
  <c r="G1847" i="2"/>
  <c r="L1847" i="2"/>
  <c r="J1847" i="2" l="1"/>
  <c r="M1847" i="2" s="1"/>
  <c r="N1847" i="2" s="1"/>
  <c r="H1847" i="2"/>
  <c r="I1847" i="2" s="1"/>
  <c r="B1848" i="2" l="1"/>
  <c r="C1848" i="2"/>
  <c r="F1848" i="2" l="1"/>
  <c r="K1848" i="2" s="1"/>
  <c r="G1848" i="2"/>
  <c r="L1848" i="2"/>
  <c r="J1848" i="2" l="1"/>
  <c r="M1848" i="2" s="1"/>
  <c r="N1848" i="2" s="1"/>
  <c r="H1848" i="2"/>
  <c r="I1848" i="2" s="1"/>
  <c r="B1849" i="2" l="1"/>
  <c r="C1849" i="2"/>
  <c r="F1849" i="2" l="1"/>
  <c r="K1849" i="2" s="1"/>
  <c r="G1849" i="2"/>
  <c r="L1849" i="2"/>
  <c r="H1849" i="2" l="1"/>
  <c r="I1849" i="2" s="1"/>
  <c r="J1849" i="2"/>
  <c r="M1849" i="2" s="1"/>
  <c r="N1849" i="2" s="1"/>
  <c r="B1850" i="2" l="1"/>
  <c r="C1850" i="2"/>
  <c r="G1850" i="2" l="1"/>
  <c r="L1850" i="2"/>
  <c r="F1850" i="2"/>
  <c r="K1850" i="2" s="1"/>
  <c r="H1850" i="2" l="1"/>
  <c r="I1850" i="2" s="1"/>
  <c r="J1850" i="2"/>
  <c r="M1850" i="2" s="1"/>
  <c r="N1850" i="2" s="1"/>
  <c r="B1851" i="2" l="1"/>
  <c r="C1851" i="2"/>
  <c r="L1851" i="2" l="1"/>
  <c r="F1851" i="2"/>
  <c r="K1851" i="2" s="1"/>
  <c r="G1851" i="2"/>
  <c r="H1851" i="2" l="1"/>
  <c r="I1851" i="2" s="1"/>
  <c r="J1851" i="2"/>
  <c r="M1851" i="2" s="1"/>
  <c r="N1851" i="2" s="1"/>
  <c r="B1852" i="2" l="1"/>
  <c r="C1852" i="2"/>
  <c r="G1852" i="2" l="1"/>
  <c r="F1852" i="2"/>
  <c r="K1852" i="2" s="1"/>
  <c r="L1852" i="2"/>
  <c r="J1852" i="2" l="1"/>
  <c r="M1852" i="2" s="1"/>
  <c r="N1852" i="2" s="1"/>
  <c r="H1852" i="2"/>
  <c r="I1852" i="2" s="1"/>
  <c r="C1853" i="2" l="1"/>
  <c r="B1853" i="2"/>
  <c r="G1853" i="2" l="1"/>
  <c r="L1853" i="2"/>
  <c r="F1853" i="2"/>
  <c r="K1853" i="2" s="1"/>
  <c r="H1853" i="2" l="1"/>
  <c r="I1853" i="2" s="1"/>
  <c r="J1853" i="2"/>
  <c r="M1853" i="2" s="1"/>
  <c r="N1853" i="2" s="1"/>
  <c r="B1854" i="2" l="1"/>
  <c r="C1854" i="2"/>
  <c r="L1854" i="2" l="1"/>
  <c r="G1854" i="2"/>
  <c r="F1854" i="2"/>
  <c r="K1854" i="2" s="1"/>
  <c r="H1854" i="2" l="1"/>
  <c r="I1854" i="2" s="1"/>
  <c r="J1854" i="2"/>
  <c r="M1854" i="2" s="1"/>
  <c r="N1854" i="2" s="1"/>
  <c r="B1855" i="2" l="1"/>
  <c r="C1855" i="2"/>
  <c r="L1855" i="2" l="1"/>
  <c r="F1855" i="2"/>
  <c r="K1855" i="2" s="1"/>
  <c r="G1855" i="2"/>
  <c r="H1855" i="2" l="1"/>
  <c r="I1855" i="2" s="1"/>
  <c r="J1855" i="2"/>
  <c r="M1855" i="2" s="1"/>
  <c r="N1855" i="2" s="1"/>
  <c r="C1856" i="2" l="1"/>
  <c r="B1856" i="2"/>
  <c r="G1856" i="2" l="1"/>
  <c r="L1856" i="2"/>
  <c r="F1856" i="2"/>
  <c r="K1856" i="2" s="1"/>
  <c r="H1856" i="2" l="1"/>
  <c r="I1856" i="2" s="1"/>
  <c r="J1856" i="2"/>
  <c r="M1856" i="2" s="1"/>
  <c r="N1856" i="2" s="1"/>
  <c r="B1857" i="2" l="1"/>
  <c r="C1857" i="2"/>
  <c r="G1857" i="2" l="1"/>
  <c r="F1857" i="2"/>
  <c r="K1857" i="2" s="1"/>
  <c r="L1857" i="2"/>
  <c r="H1857" i="2" l="1"/>
  <c r="I1857" i="2" s="1"/>
  <c r="J1857" i="2"/>
  <c r="M1857" i="2" s="1"/>
  <c r="N1857" i="2" s="1"/>
  <c r="B1858" i="2" l="1"/>
  <c r="C1858" i="2"/>
  <c r="L1858" i="2" l="1"/>
  <c r="F1858" i="2"/>
  <c r="K1858" i="2" s="1"/>
  <c r="G1858" i="2"/>
  <c r="H1858" i="2" l="1"/>
  <c r="I1858" i="2" s="1"/>
  <c r="J1858" i="2"/>
  <c r="M1858" i="2" s="1"/>
  <c r="N1858" i="2" s="1"/>
  <c r="C1859" i="2" l="1"/>
  <c r="B1859" i="2"/>
  <c r="L1859" i="2" l="1"/>
  <c r="G1859" i="2"/>
  <c r="F1859" i="2"/>
  <c r="K1859" i="2" s="1"/>
  <c r="H1859" i="2" l="1"/>
  <c r="I1859" i="2" s="1"/>
  <c r="J1859" i="2"/>
  <c r="M1859" i="2" s="1"/>
  <c r="N1859" i="2" s="1"/>
  <c r="B1860" i="2" l="1"/>
  <c r="C1860" i="2"/>
  <c r="L1860" i="2" l="1"/>
  <c r="F1860" i="2"/>
  <c r="K1860" i="2" s="1"/>
  <c r="G1860" i="2"/>
  <c r="J1860" i="2" l="1"/>
  <c r="M1860" i="2" s="1"/>
  <c r="N1860" i="2" s="1"/>
  <c r="H1860" i="2"/>
  <c r="I1860" i="2" s="1"/>
  <c r="B1861" i="2" l="1"/>
  <c r="C1861" i="2"/>
  <c r="F1861" i="2" l="1"/>
  <c r="K1861" i="2" s="1"/>
  <c r="G1861" i="2"/>
  <c r="L1861" i="2"/>
  <c r="H1861" i="2" l="1"/>
  <c r="I1861" i="2" s="1"/>
  <c r="J1861" i="2"/>
  <c r="M1861" i="2" s="1"/>
  <c r="N1861" i="2" s="1"/>
  <c r="B1862" i="2" l="1"/>
  <c r="C1862" i="2"/>
  <c r="L1862" i="2" l="1"/>
  <c r="G1862" i="2"/>
  <c r="F1862" i="2"/>
  <c r="K1862" i="2" s="1"/>
  <c r="J1862" i="2" l="1"/>
  <c r="M1862" i="2" s="1"/>
  <c r="N1862" i="2" s="1"/>
  <c r="H1862" i="2"/>
  <c r="I1862" i="2" s="1"/>
  <c r="B1863" i="2" l="1"/>
  <c r="C1863" i="2"/>
  <c r="G1863" i="2" l="1"/>
  <c r="F1863" i="2"/>
  <c r="K1863" i="2" s="1"/>
  <c r="L1863" i="2"/>
  <c r="J1863" i="2" l="1"/>
  <c r="M1863" i="2" s="1"/>
  <c r="N1863" i="2" s="1"/>
  <c r="H1863" i="2"/>
  <c r="I1863" i="2" s="1"/>
  <c r="C1864" i="2" l="1"/>
  <c r="B1864" i="2"/>
  <c r="F1864" i="2" l="1"/>
  <c r="K1864" i="2" s="1"/>
  <c r="L1864" i="2"/>
  <c r="G1864" i="2"/>
  <c r="H1864" i="2" l="1"/>
  <c r="I1864" i="2" s="1"/>
  <c r="J1864" i="2"/>
  <c r="M1864" i="2" s="1"/>
  <c r="N1864" i="2" s="1"/>
  <c r="B1865" i="2" l="1"/>
  <c r="C1865" i="2"/>
  <c r="G1865" i="2" l="1"/>
  <c r="F1865" i="2"/>
  <c r="K1865" i="2" s="1"/>
  <c r="L1865" i="2"/>
  <c r="H1865" i="2" l="1"/>
  <c r="I1865" i="2" s="1"/>
  <c r="J1865" i="2"/>
  <c r="M1865" i="2" s="1"/>
  <c r="N1865" i="2" s="1"/>
  <c r="B1866" i="2" l="1"/>
  <c r="C1866" i="2"/>
  <c r="L1866" i="2" l="1"/>
  <c r="F1866" i="2"/>
  <c r="K1866" i="2" s="1"/>
  <c r="G1866" i="2"/>
  <c r="J1866" i="2" l="1"/>
  <c r="M1866" i="2" s="1"/>
  <c r="N1866" i="2" s="1"/>
  <c r="H1866" i="2"/>
  <c r="I1866" i="2" s="1"/>
  <c r="B1867" i="2" l="1"/>
  <c r="C1867" i="2"/>
  <c r="G1867" i="2" l="1"/>
  <c r="F1867" i="2"/>
  <c r="K1867" i="2" s="1"/>
  <c r="L1867" i="2"/>
  <c r="J1867" i="2" l="1"/>
  <c r="M1867" i="2" s="1"/>
  <c r="N1867" i="2" s="1"/>
  <c r="H1867" i="2"/>
  <c r="I1867" i="2" s="1"/>
  <c r="B1868" i="2" l="1"/>
  <c r="C1868" i="2"/>
  <c r="G1868" i="2" l="1"/>
  <c r="F1868" i="2"/>
  <c r="K1868" i="2" s="1"/>
  <c r="L1868" i="2"/>
  <c r="H1868" i="2" l="1"/>
  <c r="I1868" i="2" s="1"/>
  <c r="J1868" i="2"/>
  <c r="M1868" i="2" s="1"/>
  <c r="N1868" i="2" s="1"/>
  <c r="B1869" i="2" l="1"/>
  <c r="C1869" i="2"/>
  <c r="L1869" i="2" l="1"/>
  <c r="F1869" i="2"/>
  <c r="K1869" i="2" s="1"/>
  <c r="G1869" i="2"/>
  <c r="H1869" i="2" l="1"/>
  <c r="I1869" i="2" s="1"/>
  <c r="J1869" i="2"/>
  <c r="M1869" i="2" s="1"/>
  <c r="N1869" i="2" s="1"/>
  <c r="C1870" i="2" l="1"/>
  <c r="B1870" i="2"/>
  <c r="F1870" i="2" l="1"/>
  <c r="K1870" i="2" s="1"/>
  <c r="L1870" i="2"/>
  <c r="G1870" i="2"/>
  <c r="H1870" i="2" l="1"/>
  <c r="I1870" i="2" s="1"/>
  <c r="J1870" i="2"/>
  <c r="M1870" i="2" s="1"/>
  <c r="N1870" i="2" s="1"/>
  <c r="C1871" i="2" l="1"/>
  <c r="B1871" i="2"/>
  <c r="G1871" i="2" l="1"/>
  <c r="F1871" i="2"/>
  <c r="K1871" i="2" s="1"/>
  <c r="L1871" i="2"/>
  <c r="J1871" i="2" l="1"/>
  <c r="M1871" i="2" s="1"/>
  <c r="N1871" i="2" s="1"/>
  <c r="H1871" i="2"/>
  <c r="I1871" i="2" s="1"/>
  <c r="C1872" i="2" l="1"/>
  <c r="B1872" i="2"/>
  <c r="L1872" i="2" l="1"/>
  <c r="G1872" i="2"/>
  <c r="F1872" i="2"/>
  <c r="K1872" i="2" s="1"/>
  <c r="J1872" i="2" l="1"/>
  <c r="M1872" i="2" s="1"/>
  <c r="N1872" i="2" s="1"/>
  <c r="H1872" i="2"/>
  <c r="I1872" i="2" s="1"/>
  <c r="B1873" i="2" l="1"/>
  <c r="C1873" i="2"/>
  <c r="G1873" i="2" l="1"/>
  <c r="L1873" i="2"/>
  <c r="F1873" i="2"/>
  <c r="K1873" i="2" s="1"/>
  <c r="H1873" i="2" l="1"/>
  <c r="I1873" i="2" s="1"/>
  <c r="J1873" i="2"/>
  <c r="M1873" i="2" s="1"/>
  <c r="N1873" i="2" s="1"/>
  <c r="B1874" i="2" l="1"/>
  <c r="C1874" i="2"/>
  <c r="F1874" i="2" l="1"/>
  <c r="K1874" i="2" s="1"/>
  <c r="G1874" i="2"/>
  <c r="L1874" i="2"/>
  <c r="H1874" i="2" l="1"/>
  <c r="I1874" i="2" s="1"/>
  <c r="J1874" i="2"/>
  <c r="M1874" i="2" s="1"/>
  <c r="N1874" i="2" s="1"/>
  <c r="B1875" i="2" l="1"/>
  <c r="C1875" i="2"/>
  <c r="L1875" i="2" l="1"/>
  <c r="G1875" i="2"/>
  <c r="F1875" i="2"/>
  <c r="K1875" i="2" s="1"/>
  <c r="H1875" i="2" l="1"/>
  <c r="I1875" i="2" s="1"/>
  <c r="J1875" i="2"/>
  <c r="M1875" i="2" s="1"/>
  <c r="N1875" i="2" s="1"/>
  <c r="C1876" i="2" l="1"/>
  <c r="B1876" i="2"/>
  <c r="L1876" i="2" l="1"/>
  <c r="G1876" i="2"/>
  <c r="F1876" i="2"/>
  <c r="K1876" i="2" s="1"/>
  <c r="H1876" i="2" l="1"/>
  <c r="I1876" i="2" s="1"/>
  <c r="J1876" i="2"/>
  <c r="M1876" i="2" s="1"/>
  <c r="N1876" i="2" s="1"/>
  <c r="C1877" i="2" l="1"/>
  <c r="B1877" i="2"/>
  <c r="G1877" i="2" l="1"/>
  <c r="L1877" i="2"/>
  <c r="F1877" i="2"/>
  <c r="K1877" i="2" s="1"/>
  <c r="J1877" i="2" l="1"/>
  <c r="M1877" i="2" s="1"/>
  <c r="N1877" i="2" s="1"/>
  <c r="H1877" i="2"/>
  <c r="I1877" i="2" s="1"/>
  <c r="B1878" i="2" l="1"/>
  <c r="C1878" i="2"/>
  <c r="L1878" i="2" l="1"/>
  <c r="G1878" i="2"/>
  <c r="F1878" i="2"/>
  <c r="K1878" i="2" s="1"/>
  <c r="J1878" i="2" l="1"/>
  <c r="M1878" i="2" s="1"/>
  <c r="N1878" i="2" s="1"/>
  <c r="H1878" i="2"/>
  <c r="I1878" i="2" s="1"/>
  <c r="C1879" i="2" l="1"/>
  <c r="B1879" i="2"/>
  <c r="L1879" i="2" l="1"/>
  <c r="F1879" i="2"/>
  <c r="K1879" i="2" s="1"/>
  <c r="G1879" i="2"/>
  <c r="J1879" i="2" l="1"/>
  <c r="M1879" i="2" s="1"/>
  <c r="N1879" i="2" s="1"/>
  <c r="H1879" i="2"/>
  <c r="I1879" i="2" s="1"/>
  <c r="B1880" i="2" l="1"/>
  <c r="C1880" i="2"/>
  <c r="G1880" i="2" l="1"/>
  <c r="L1880" i="2"/>
  <c r="F1880" i="2"/>
  <c r="K1880" i="2" s="1"/>
  <c r="J1880" i="2" l="1"/>
  <c r="M1880" i="2" s="1"/>
  <c r="N1880" i="2" s="1"/>
  <c r="H1880" i="2"/>
  <c r="I1880" i="2" s="1"/>
  <c r="B1881" i="2" l="1"/>
  <c r="C1881" i="2"/>
  <c r="L1881" i="2" l="1"/>
  <c r="G1881" i="2"/>
  <c r="F1881" i="2"/>
  <c r="K1881" i="2" s="1"/>
  <c r="H1881" i="2" l="1"/>
  <c r="I1881" i="2" s="1"/>
  <c r="J1881" i="2"/>
  <c r="M1881" i="2" s="1"/>
  <c r="N1881" i="2" s="1"/>
  <c r="B1882" i="2" l="1"/>
  <c r="C1882" i="2"/>
  <c r="L1882" i="2" l="1"/>
  <c r="F1882" i="2"/>
  <c r="K1882" i="2" s="1"/>
  <c r="G1882" i="2"/>
  <c r="J1882" i="2" l="1"/>
  <c r="M1882" i="2" s="1"/>
  <c r="N1882" i="2" s="1"/>
  <c r="H1882" i="2"/>
  <c r="I1882" i="2" s="1"/>
  <c r="C1883" i="2" l="1"/>
  <c r="B1883" i="2"/>
  <c r="G1883" i="2" l="1"/>
  <c r="L1883" i="2"/>
  <c r="F1883" i="2"/>
  <c r="K1883" i="2" s="1"/>
  <c r="J1883" i="2" l="1"/>
  <c r="M1883" i="2" s="1"/>
  <c r="N1883" i="2" s="1"/>
  <c r="H1883" i="2"/>
  <c r="I1883" i="2" s="1"/>
  <c r="C1884" i="2" l="1"/>
  <c r="B1884" i="2"/>
  <c r="G1884" i="2" l="1"/>
  <c r="L1884" i="2"/>
  <c r="F1884" i="2"/>
  <c r="K1884" i="2" s="1"/>
  <c r="J1884" i="2" l="1"/>
  <c r="M1884" i="2" s="1"/>
  <c r="N1884" i="2" s="1"/>
  <c r="H1884" i="2"/>
  <c r="I1884" i="2" s="1"/>
  <c r="B1885" i="2" l="1"/>
  <c r="C1885" i="2"/>
  <c r="F1885" i="2" l="1"/>
  <c r="K1885" i="2" s="1"/>
  <c r="L1885" i="2"/>
  <c r="G1885" i="2"/>
  <c r="H1885" i="2" l="1"/>
  <c r="I1885" i="2" s="1"/>
  <c r="J1885" i="2"/>
  <c r="M1885" i="2" s="1"/>
  <c r="N1885" i="2" s="1"/>
  <c r="B1886" i="2" l="1"/>
  <c r="C1886" i="2"/>
  <c r="G1886" i="2" l="1"/>
  <c r="L1886" i="2"/>
  <c r="F1886" i="2"/>
  <c r="K1886" i="2" s="1"/>
  <c r="H1886" i="2" l="1"/>
  <c r="I1886" i="2" s="1"/>
  <c r="J1886" i="2"/>
  <c r="M1886" i="2" s="1"/>
  <c r="N1886" i="2" s="1"/>
  <c r="C1887" i="2" l="1"/>
  <c r="B1887" i="2"/>
  <c r="L1887" i="2" l="1"/>
  <c r="G1887" i="2"/>
  <c r="F1887" i="2"/>
  <c r="K1887" i="2" s="1"/>
  <c r="H1887" i="2" l="1"/>
  <c r="I1887" i="2" s="1"/>
  <c r="J1887" i="2"/>
  <c r="M1887" i="2" s="1"/>
  <c r="N1887" i="2" s="1"/>
  <c r="B1888" i="2" l="1"/>
  <c r="C1888" i="2"/>
  <c r="L1888" i="2" l="1"/>
  <c r="F1888" i="2"/>
  <c r="K1888" i="2" s="1"/>
  <c r="G1888" i="2"/>
  <c r="H1888" i="2" l="1"/>
  <c r="I1888" i="2" s="1"/>
  <c r="J1888" i="2"/>
  <c r="M1888" i="2" s="1"/>
  <c r="N1888" i="2" s="1"/>
  <c r="B1889" i="2" l="1"/>
  <c r="C1889" i="2"/>
  <c r="L1889" i="2" l="1"/>
  <c r="F1889" i="2"/>
  <c r="K1889" i="2" s="1"/>
  <c r="G1889" i="2"/>
  <c r="J1889" i="2" l="1"/>
  <c r="M1889" i="2" s="1"/>
  <c r="N1889" i="2" s="1"/>
  <c r="H1889" i="2"/>
  <c r="I1889" i="2" s="1"/>
  <c r="C1890" i="2" l="1"/>
  <c r="B1890" i="2"/>
  <c r="F1890" i="2" l="1"/>
  <c r="K1890" i="2" s="1"/>
  <c r="L1890" i="2"/>
  <c r="G1890" i="2"/>
  <c r="H1890" i="2" l="1"/>
  <c r="I1890" i="2" s="1"/>
  <c r="J1890" i="2"/>
  <c r="M1890" i="2" s="1"/>
  <c r="N1890" i="2" s="1"/>
  <c r="C1891" i="2" l="1"/>
  <c r="B1891" i="2"/>
  <c r="F1891" i="2" l="1"/>
  <c r="K1891" i="2" s="1"/>
  <c r="L1891" i="2"/>
  <c r="G1891" i="2"/>
  <c r="H1891" i="2" l="1"/>
  <c r="I1891" i="2" s="1"/>
  <c r="J1891" i="2"/>
  <c r="M1891" i="2" s="1"/>
  <c r="N1891" i="2" s="1"/>
  <c r="B1892" i="2" l="1"/>
  <c r="C1892" i="2"/>
  <c r="F1892" i="2" l="1"/>
  <c r="K1892" i="2" s="1"/>
  <c r="G1892" i="2"/>
  <c r="L1892" i="2"/>
  <c r="H1892" i="2" l="1"/>
  <c r="I1892" i="2" s="1"/>
  <c r="J1892" i="2"/>
  <c r="M1892" i="2" s="1"/>
  <c r="N1892" i="2" s="1"/>
  <c r="B1893" i="2" l="1"/>
  <c r="C1893" i="2"/>
  <c r="G1893" i="2" l="1"/>
  <c r="L1893" i="2"/>
  <c r="F1893" i="2"/>
  <c r="K1893" i="2" s="1"/>
  <c r="J1893" i="2" l="1"/>
  <c r="M1893" i="2" s="1"/>
  <c r="N1893" i="2" s="1"/>
  <c r="H1893" i="2"/>
  <c r="I1893" i="2" s="1"/>
  <c r="B1894" i="2" l="1"/>
  <c r="C1894" i="2"/>
  <c r="L1894" i="2" l="1"/>
  <c r="F1894" i="2"/>
  <c r="K1894" i="2" s="1"/>
  <c r="G1894" i="2"/>
  <c r="H1894" i="2" l="1"/>
  <c r="I1894" i="2" s="1"/>
  <c r="J1894" i="2"/>
  <c r="M1894" i="2" s="1"/>
  <c r="N1894" i="2" s="1"/>
  <c r="C1895" i="2" l="1"/>
  <c r="B1895" i="2"/>
  <c r="G1895" i="2" l="1"/>
  <c r="L1895" i="2"/>
  <c r="F1895" i="2"/>
  <c r="K1895" i="2" s="1"/>
  <c r="H1895" i="2" l="1"/>
  <c r="I1895" i="2" s="1"/>
  <c r="J1895" i="2"/>
  <c r="M1895" i="2" s="1"/>
  <c r="N1895" i="2" s="1"/>
  <c r="B1896" i="2" l="1"/>
  <c r="C1896" i="2"/>
  <c r="G1896" i="2" l="1"/>
  <c r="F1896" i="2"/>
  <c r="K1896" i="2" s="1"/>
  <c r="L1896" i="2"/>
  <c r="J1896" i="2" l="1"/>
  <c r="M1896" i="2" s="1"/>
  <c r="N1896" i="2" s="1"/>
  <c r="H1896" i="2"/>
  <c r="I1896" i="2" s="1"/>
  <c r="C1897" i="2" l="1"/>
  <c r="B1897" i="2"/>
  <c r="G1897" i="2" l="1"/>
  <c r="L1897" i="2"/>
  <c r="F1897" i="2"/>
  <c r="K1897" i="2" s="1"/>
  <c r="J1897" i="2" l="1"/>
  <c r="M1897" i="2" s="1"/>
  <c r="N1897" i="2" s="1"/>
  <c r="H1897" i="2"/>
  <c r="I1897" i="2" s="1"/>
  <c r="C1898" i="2" l="1"/>
  <c r="B1898" i="2"/>
  <c r="F1898" i="2" l="1"/>
  <c r="K1898" i="2" s="1"/>
  <c r="G1898" i="2"/>
  <c r="L1898" i="2"/>
  <c r="J1898" i="2" l="1"/>
  <c r="M1898" i="2" s="1"/>
  <c r="N1898" i="2" s="1"/>
  <c r="H1898" i="2"/>
  <c r="I1898" i="2" s="1"/>
  <c r="B1899" i="2" l="1"/>
  <c r="C1899" i="2"/>
  <c r="F1899" i="2" l="1"/>
  <c r="K1899" i="2" s="1"/>
  <c r="G1899" i="2"/>
  <c r="L1899" i="2"/>
  <c r="J1899" i="2" l="1"/>
  <c r="M1899" i="2" s="1"/>
  <c r="N1899" i="2" s="1"/>
  <c r="H1899" i="2"/>
  <c r="I1899" i="2" s="1"/>
  <c r="B1900" i="2" l="1"/>
  <c r="C1900" i="2"/>
  <c r="L1900" i="2" l="1"/>
  <c r="G1900" i="2"/>
  <c r="F1900" i="2"/>
  <c r="K1900" i="2" s="1"/>
  <c r="J1900" i="2" l="1"/>
  <c r="M1900" i="2" s="1"/>
  <c r="N1900" i="2" s="1"/>
  <c r="H1900" i="2"/>
  <c r="I1900" i="2" s="1"/>
  <c r="B1901" i="2" l="1"/>
  <c r="C1901" i="2"/>
  <c r="L1901" i="2" l="1"/>
  <c r="F1901" i="2"/>
  <c r="K1901" i="2" s="1"/>
  <c r="G1901" i="2"/>
  <c r="J1901" i="2" l="1"/>
  <c r="M1901" i="2" s="1"/>
  <c r="N1901" i="2" s="1"/>
  <c r="H1901" i="2"/>
  <c r="I1901" i="2" s="1"/>
  <c r="B1902" i="2" l="1"/>
  <c r="C1902" i="2"/>
  <c r="L1902" i="2" l="1"/>
  <c r="F1902" i="2"/>
  <c r="K1902" i="2" s="1"/>
  <c r="G1902" i="2"/>
  <c r="H1902" i="2" l="1"/>
  <c r="I1902" i="2" s="1"/>
  <c r="J1902" i="2"/>
  <c r="M1902" i="2" s="1"/>
  <c r="N1902" i="2" s="1"/>
  <c r="C1903" i="2" l="1"/>
  <c r="B1903" i="2"/>
  <c r="G1903" i="2" l="1"/>
  <c r="F1903" i="2"/>
  <c r="K1903" i="2" s="1"/>
  <c r="L1903" i="2"/>
  <c r="J1903" i="2" l="1"/>
  <c r="M1903" i="2" s="1"/>
  <c r="N1903" i="2" s="1"/>
  <c r="H1903" i="2"/>
  <c r="I1903" i="2" s="1"/>
  <c r="B1904" i="2" l="1"/>
  <c r="C1904" i="2"/>
  <c r="G1904" i="2" l="1"/>
  <c r="F1904" i="2"/>
  <c r="K1904" i="2" s="1"/>
  <c r="L1904" i="2"/>
  <c r="J1904" i="2" l="1"/>
  <c r="M1904" i="2" s="1"/>
  <c r="N1904" i="2" s="1"/>
  <c r="H1904" i="2"/>
  <c r="I1904" i="2" s="1"/>
  <c r="C1905" i="2" l="1"/>
  <c r="B1905" i="2"/>
  <c r="F1905" i="2" l="1"/>
  <c r="K1905" i="2" s="1"/>
  <c r="L1905" i="2"/>
  <c r="G1905" i="2"/>
  <c r="H1905" i="2" l="1"/>
  <c r="I1905" i="2" s="1"/>
  <c r="J1905" i="2"/>
  <c r="M1905" i="2" s="1"/>
  <c r="N1905" i="2" s="1"/>
  <c r="C1906" i="2" l="1"/>
  <c r="B1906" i="2"/>
  <c r="L1906" i="2" l="1"/>
  <c r="F1906" i="2"/>
  <c r="K1906" i="2" s="1"/>
  <c r="G1906" i="2"/>
  <c r="H1906" i="2" l="1"/>
  <c r="I1906" i="2" s="1"/>
  <c r="J1906" i="2"/>
  <c r="M1906" i="2" s="1"/>
  <c r="N1906" i="2" s="1"/>
  <c r="C1907" i="2" l="1"/>
  <c r="B1907" i="2"/>
  <c r="G1907" i="2" l="1"/>
  <c r="L1907" i="2"/>
  <c r="F1907" i="2"/>
  <c r="K1907" i="2" s="1"/>
  <c r="H1907" i="2" l="1"/>
  <c r="I1907" i="2" s="1"/>
  <c r="J1907" i="2"/>
  <c r="M1907" i="2" s="1"/>
  <c r="N1907" i="2" s="1"/>
  <c r="B1908" i="2" l="1"/>
  <c r="C1908" i="2"/>
  <c r="G1908" i="2" l="1"/>
  <c r="L1908" i="2"/>
  <c r="F1908" i="2"/>
  <c r="K1908" i="2" s="1"/>
  <c r="H1908" i="2" l="1"/>
  <c r="I1908" i="2" s="1"/>
  <c r="J1908" i="2"/>
  <c r="M1908" i="2" s="1"/>
  <c r="N1908" i="2" s="1"/>
  <c r="B1909" i="2" l="1"/>
  <c r="C1909" i="2"/>
  <c r="L1909" i="2" l="1"/>
  <c r="F1909" i="2"/>
  <c r="K1909" i="2" s="1"/>
  <c r="G1909" i="2"/>
  <c r="J1909" i="2" l="1"/>
  <c r="M1909" i="2" s="1"/>
  <c r="N1909" i="2" s="1"/>
  <c r="H1909" i="2"/>
  <c r="I1909" i="2" s="1"/>
  <c r="C1910" i="2" l="1"/>
  <c r="B1910" i="2"/>
  <c r="G1910" i="2" l="1"/>
  <c r="L1910" i="2"/>
  <c r="F1910" i="2"/>
  <c r="K1910" i="2" s="1"/>
  <c r="J1910" i="2" l="1"/>
  <c r="M1910" i="2" s="1"/>
  <c r="N1910" i="2" s="1"/>
  <c r="H1910" i="2"/>
  <c r="I1910" i="2" s="1"/>
  <c r="B1911" i="2" l="1"/>
  <c r="C1911" i="2"/>
  <c r="G1911" i="2" l="1"/>
  <c r="F1911" i="2"/>
  <c r="K1911" i="2" s="1"/>
  <c r="L1911" i="2"/>
  <c r="J1911" i="2" l="1"/>
  <c r="M1911" i="2" s="1"/>
  <c r="N1911" i="2" s="1"/>
  <c r="H1911" i="2"/>
  <c r="I1911" i="2" s="1"/>
  <c r="B1912" i="2" l="1"/>
  <c r="C1912" i="2"/>
  <c r="F1912" i="2" l="1"/>
  <c r="K1912" i="2" s="1"/>
  <c r="G1912" i="2"/>
  <c r="L1912" i="2"/>
  <c r="H1912" i="2" l="1"/>
  <c r="J1912" i="2"/>
  <c r="M1912" i="2" s="1"/>
  <c r="N1912" i="2" s="1"/>
  <c r="I1912" i="2"/>
  <c r="B1913" i="2" l="1"/>
  <c r="C1913" i="2"/>
  <c r="F1913" i="2" l="1"/>
  <c r="K1913" i="2" s="1"/>
  <c r="G1913" i="2"/>
  <c r="L1913" i="2"/>
  <c r="J1913" i="2" l="1"/>
  <c r="M1913" i="2" s="1"/>
  <c r="N1913" i="2" s="1"/>
  <c r="H1913" i="2"/>
  <c r="I1913" i="2" s="1"/>
  <c r="C1914" i="2" l="1"/>
  <c r="B1914" i="2"/>
  <c r="L1914" i="2" l="1"/>
  <c r="F1914" i="2"/>
  <c r="K1914" i="2" s="1"/>
  <c r="G1914" i="2"/>
  <c r="J1914" i="2" l="1"/>
  <c r="M1914" i="2" s="1"/>
  <c r="N1914" i="2" s="1"/>
  <c r="H1914" i="2"/>
  <c r="I1914" i="2" s="1"/>
  <c r="C1915" i="2" l="1"/>
  <c r="B1915" i="2"/>
  <c r="F1915" i="2" l="1"/>
  <c r="K1915" i="2" s="1"/>
  <c r="G1915" i="2"/>
  <c r="L1915" i="2"/>
  <c r="H1915" i="2" l="1"/>
  <c r="I1915" i="2" s="1"/>
  <c r="J1915" i="2"/>
  <c r="M1915" i="2" s="1"/>
  <c r="N1915" i="2" s="1"/>
  <c r="C1916" i="2" l="1"/>
  <c r="B1916" i="2"/>
  <c r="G1916" i="2" l="1"/>
  <c r="L1916" i="2"/>
  <c r="F1916" i="2"/>
  <c r="K1916" i="2" s="1"/>
  <c r="J1916" i="2" l="1"/>
  <c r="M1916" i="2" s="1"/>
  <c r="N1916" i="2" s="1"/>
  <c r="H1916" i="2"/>
  <c r="I1916" i="2" s="1"/>
  <c r="B1917" i="2" l="1"/>
  <c r="C1917" i="2"/>
  <c r="F1917" i="2" l="1"/>
  <c r="K1917" i="2" s="1"/>
  <c r="L1917" i="2"/>
  <c r="G1917" i="2"/>
  <c r="H1917" i="2" l="1"/>
  <c r="I1917" i="2" s="1"/>
  <c r="J1917" i="2"/>
  <c r="M1917" i="2" s="1"/>
  <c r="N1917" i="2" s="1"/>
  <c r="B1918" i="2" l="1"/>
  <c r="C1918" i="2"/>
  <c r="F1918" i="2" l="1"/>
  <c r="K1918" i="2" s="1"/>
  <c r="G1918" i="2"/>
  <c r="L1918" i="2"/>
  <c r="J1918" i="2" l="1"/>
  <c r="M1918" i="2" s="1"/>
  <c r="N1918" i="2" s="1"/>
  <c r="H1918" i="2"/>
  <c r="I1918" i="2" s="1"/>
  <c r="B1919" i="2" l="1"/>
  <c r="C1919" i="2"/>
  <c r="G1919" i="2" l="1"/>
  <c r="F1919" i="2"/>
  <c r="K1919" i="2" s="1"/>
  <c r="L1919" i="2"/>
  <c r="H1919" i="2" l="1"/>
  <c r="I1919" i="2" s="1"/>
  <c r="J1919" i="2"/>
  <c r="M1919" i="2" s="1"/>
  <c r="N1919" i="2" s="1"/>
  <c r="C1920" i="2" l="1"/>
  <c r="B1920" i="2"/>
  <c r="G1920" i="2" l="1"/>
  <c r="F1920" i="2"/>
  <c r="K1920" i="2" s="1"/>
  <c r="L1920" i="2"/>
  <c r="J1920" i="2" l="1"/>
  <c r="M1920" i="2" s="1"/>
  <c r="N1920" i="2" s="1"/>
  <c r="H1920" i="2"/>
  <c r="I1920" i="2" s="1"/>
  <c r="B1921" i="2" l="1"/>
  <c r="C1921" i="2"/>
  <c r="F1921" i="2" l="1"/>
  <c r="K1921" i="2" s="1"/>
  <c r="L1921" i="2"/>
  <c r="G1921" i="2"/>
  <c r="J1921" i="2" l="1"/>
  <c r="M1921" i="2" s="1"/>
  <c r="N1921" i="2" s="1"/>
  <c r="H1921" i="2"/>
  <c r="I1921" i="2" s="1"/>
  <c r="B1922" i="2" l="1"/>
  <c r="C1922" i="2"/>
  <c r="L1922" i="2" l="1"/>
  <c r="F1922" i="2"/>
  <c r="K1922" i="2" s="1"/>
  <c r="G1922" i="2"/>
  <c r="H1922" i="2" l="1"/>
  <c r="I1922" i="2" s="1"/>
  <c r="J1922" i="2"/>
  <c r="M1922" i="2" s="1"/>
  <c r="N1922" i="2" s="1"/>
  <c r="C1923" i="2" l="1"/>
  <c r="B1923" i="2"/>
  <c r="G1923" i="2" l="1"/>
  <c r="F1923" i="2"/>
  <c r="K1923" i="2" s="1"/>
  <c r="L1923" i="2"/>
  <c r="H1923" i="2" l="1"/>
  <c r="I1923" i="2" s="1"/>
  <c r="J1923" i="2"/>
  <c r="M1923" i="2" s="1"/>
  <c r="N1923" i="2" s="1"/>
  <c r="B1924" i="2" l="1"/>
  <c r="C1924" i="2"/>
  <c r="G1924" i="2" l="1"/>
  <c r="L1924" i="2"/>
  <c r="F1924" i="2"/>
  <c r="K1924" i="2" s="1"/>
  <c r="J1924" i="2" l="1"/>
  <c r="M1924" i="2" s="1"/>
  <c r="N1924" i="2" s="1"/>
  <c r="H1924" i="2"/>
  <c r="I1924" i="2" s="1"/>
  <c r="C1925" i="2" l="1"/>
  <c r="B1925" i="2"/>
  <c r="G1925" i="2" l="1"/>
  <c r="L1925" i="2"/>
  <c r="F1925" i="2"/>
  <c r="K1925" i="2" s="1"/>
  <c r="J1925" i="2" l="1"/>
  <c r="M1925" i="2" s="1"/>
  <c r="N1925" i="2" s="1"/>
  <c r="H1925" i="2"/>
  <c r="I1925" i="2" s="1"/>
  <c r="C1926" i="2" l="1"/>
  <c r="B1926" i="2"/>
  <c r="G1926" i="2" l="1"/>
  <c r="F1926" i="2"/>
  <c r="K1926" i="2" s="1"/>
  <c r="L1926" i="2"/>
  <c r="J1926" i="2" l="1"/>
  <c r="M1926" i="2" s="1"/>
  <c r="N1926" i="2" s="1"/>
  <c r="H1926" i="2"/>
  <c r="I1926" i="2" s="1"/>
  <c r="B1927" i="2" l="1"/>
  <c r="C1927" i="2"/>
  <c r="L1927" i="2" l="1"/>
  <c r="F1927" i="2"/>
  <c r="K1927" i="2" s="1"/>
  <c r="G1927" i="2"/>
  <c r="J1927" i="2" l="1"/>
  <c r="M1927" i="2" s="1"/>
  <c r="N1927" i="2" s="1"/>
  <c r="H1927" i="2"/>
  <c r="I1927" i="2" s="1"/>
  <c r="B1928" i="2" l="1"/>
  <c r="C1928" i="2"/>
  <c r="L1928" i="2" l="1"/>
  <c r="F1928" i="2"/>
  <c r="K1928" i="2" s="1"/>
  <c r="G1928" i="2"/>
  <c r="H1928" i="2" l="1"/>
  <c r="I1928" i="2" s="1"/>
  <c r="J1928" i="2"/>
  <c r="M1928" i="2" s="1"/>
  <c r="N1928" i="2" s="1"/>
  <c r="B1929" i="2" l="1"/>
  <c r="C1929" i="2"/>
  <c r="G1929" i="2" l="1"/>
  <c r="F1929" i="2"/>
  <c r="K1929" i="2" s="1"/>
  <c r="L1929" i="2"/>
  <c r="J1929" i="2" l="1"/>
  <c r="M1929" i="2" s="1"/>
  <c r="N1929" i="2" s="1"/>
  <c r="H1929" i="2"/>
  <c r="I1929" i="2" s="1"/>
  <c r="C1930" i="2" l="1"/>
  <c r="B1930" i="2"/>
  <c r="F1930" i="2" l="1"/>
  <c r="K1930" i="2" s="1"/>
  <c r="L1930" i="2"/>
  <c r="G1930" i="2"/>
  <c r="H1930" i="2" l="1"/>
  <c r="I1930" i="2" s="1"/>
  <c r="J1930" i="2"/>
  <c r="M1930" i="2" s="1"/>
  <c r="N1930" i="2" s="1"/>
  <c r="B1931" i="2" l="1"/>
  <c r="C1931" i="2"/>
  <c r="F1931" i="2" l="1"/>
  <c r="K1931" i="2" s="1"/>
  <c r="L1931" i="2"/>
  <c r="G1931" i="2"/>
  <c r="J1931" i="2" l="1"/>
  <c r="M1931" i="2" s="1"/>
  <c r="N1931" i="2" s="1"/>
  <c r="H1931" i="2"/>
  <c r="I1931" i="2" s="1"/>
  <c r="C1932" i="2" l="1"/>
  <c r="B1932" i="2"/>
  <c r="L1932" i="2" l="1"/>
  <c r="G1932" i="2"/>
  <c r="F1932" i="2"/>
  <c r="K1932" i="2" s="1"/>
  <c r="H1932" i="2" l="1"/>
  <c r="I1932" i="2" s="1"/>
  <c r="J1932" i="2"/>
  <c r="M1932" i="2" s="1"/>
  <c r="N1932" i="2" s="1"/>
  <c r="B1933" i="2" l="1"/>
  <c r="C1933" i="2"/>
  <c r="F1933" i="2" l="1"/>
  <c r="K1933" i="2" s="1"/>
  <c r="L1933" i="2"/>
  <c r="G1933" i="2"/>
  <c r="H1933" i="2" l="1"/>
  <c r="I1933" i="2" s="1"/>
  <c r="J1933" i="2"/>
  <c r="M1933" i="2" s="1"/>
  <c r="N1933" i="2" s="1"/>
  <c r="C1934" i="2" l="1"/>
  <c r="B1934" i="2"/>
  <c r="G1934" i="2" l="1"/>
  <c r="F1934" i="2"/>
  <c r="K1934" i="2" s="1"/>
  <c r="L1934" i="2"/>
  <c r="H1934" i="2" l="1"/>
  <c r="I1934" i="2" s="1"/>
  <c r="J1934" i="2"/>
  <c r="M1934" i="2" s="1"/>
  <c r="N1934" i="2" s="1"/>
  <c r="C1935" i="2" l="1"/>
  <c r="B1935" i="2"/>
  <c r="L1935" i="2" l="1"/>
  <c r="G1935" i="2"/>
  <c r="F1935" i="2"/>
  <c r="K1935" i="2" s="1"/>
  <c r="J1935" i="2" l="1"/>
  <c r="M1935" i="2" s="1"/>
  <c r="N1935" i="2" s="1"/>
  <c r="H1935" i="2"/>
  <c r="I1935" i="2" s="1"/>
  <c r="C1936" i="2" l="1"/>
  <c r="B1936" i="2"/>
  <c r="F1936" i="2" l="1"/>
  <c r="K1936" i="2" s="1"/>
  <c r="L1936" i="2"/>
  <c r="G1936" i="2"/>
  <c r="J1936" i="2" l="1"/>
  <c r="M1936" i="2" s="1"/>
  <c r="N1936" i="2" s="1"/>
  <c r="H1936" i="2"/>
  <c r="I1936" i="2" s="1"/>
  <c r="B1937" i="2" l="1"/>
  <c r="C1937" i="2"/>
  <c r="L1937" i="2" l="1"/>
  <c r="G1937" i="2"/>
  <c r="F1937" i="2"/>
  <c r="K1937" i="2" s="1"/>
  <c r="H1937" i="2" l="1"/>
  <c r="I1937" i="2" s="1"/>
  <c r="J1937" i="2"/>
  <c r="M1937" i="2" s="1"/>
  <c r="N1937" i="2" s="1"/>
  <c r="C1938" i="2" l="1"/>
  <c r="B1938" i="2"/>
  <c r="L1938" i="2" l="1"/>
  <c r="G1938" i="2"/>
  <c r="F1938" i="2"/>
  <c r="K1938" i="2" s="1"/>
  <c r="J1938" i="2" l="1"/>
  <c r="M1938" i="2" s="1"/>
  <c r="N1938" i="2" s="1"/>
  <c r="H1938" i="2"/>
  <c r="I1938" i="2" s="1"/>
  <c r="B1939" i="2" l="1"/>
  <c r="C1939" i="2"/>
  <c r="L1939" i="2" l="1"/>
  <c r="G1939" i="2"/>
  <c r="F1939" i="2"/>
  <c r="K1939" i="2" s="1"/>
  <c r="J1939" i="2" l="1"/>
  <c r="M1939" i="2" s="1"/>
  <c r="N1939" i="2" s="1"/>
  <c r="H1939" i="2"/>
  <c r="I1939" i="2" s="1"/>
  <c r="B1940" i="2" l="1"/>
  <c r="C1940" i="2"/>
  <c r="L1940" i="2" l="1"/>
  <c r="F1940" i="2"/>
  <c r="K1940" i="2" s="1"/>
  <c r="G1940" i="2"/>
  <c r="H1940" i="2" l="1"/>
  <c r="I1940" i="2" s="1"/>
  <c r="J1940" i="2"/>
  <c r="M1940" i="2" s="1"/>
  <c r="N1940" i="2" s="1"/>
  <c r="C1941" i="2" l="1"/>
  <c r="B1941" i="2"/>
  <c r="L1941" i="2" l="1"/>
  <c r="G1941" i="2"/>
  <c r="F1941" i="2"/>
  <c r="K1941" i="2" s="1"/>
  <c r="H1941" i="2" l="1"/>
  <c r="I1941" i="2" s="1"/>
  <c r="J1941" i="2"/>
  <c r="M1941" i="2" s="1"/>
  <c r="N1941" i="2" s="1"/>
  <c r="C1942" i="2" l="1"/>
  <c r="B1942" i="2"/>
  <c r="L1942" i="2" l="1"/>
  <c r="F1942" i="2"/>
  <c r="K1942" i="2" s="1"/>
  <c r="G1942" i="2"/>
  <c r="H1942" i="2" l="1"/>
  <c r="J1942" i="2"/>
  <c r="M1942" i="2" s="1"/>
  <c r="N1942" i="2" s="1"/>
  <c r="I1942" i="2"/>
  <c r="C1943" i="2" l="1"/>
  <c r="B1943" i="2"/>
  <c r="L1943" i="2" l="1"/>
  <c r="F1943" i="2"/>
  <c r="K1943" i="2" s="1"/>
  <c r="G1943" i="2"/>
  <c r="H1943" i="2" l="1"/>
  <c r="I1943" i="2" s="1"/>
  <c r="J1943" i="2"/>
  <c r="M1943" i="2" s="1"/>
  <c r="N1943" i="2" s="1"/>
  <c r="C1944" i="2" l="1"/>
  <c r="B1944" i="2"/>
  <c r="G1944" i="2" l="1"/>
  <c r="F1944" i="2"/>
  <c r="K1944" i="2" s="1"/>
  <c r="L1944" i="2"/>
  <c r="H1944" i="2" l="1"/>
  <c r="I1944" i="2" s="1"/>
  <c r="J1944" i="2"/>
  <c r="M1944" i="2" s="1"/>
  <c r="N1944" i="2" s="1"/>
  <c r="B1945" i="2" l="1"/>
  <c r="C1945" i="2"/>
  <c r="F1945" i="2" l="1"/>
  <c r="K1945" i="2" s="1"/>
  <c r="G1945" i="2"/>
  <c r="L1945" i="2"/>
  <c r="J1945" i="2" l="1"/>
  <c r="M1945" i="2" s="1"/>
  <c r="N1945" i="2" s="1"/>
  <c r="H1945" i="2"/>
  <c r="I1945" i="2" s="1"/>
  <c r="B1946" i="2" l="1"/>
  <c r="C1946" i="2"/>
  <c r="L1946" i="2" l="1"/>
  <c r="G1946" i="2"/>
  <c r="F1946" i="2"/>
  <c r="K1946" i="2" s="1"/>
  <c r="J1946" i="2" l="1"/>
  <c r="M1946" i="2" s="1"/>
  <c r="N1946" i="2" s="1"/>
  <c r="H1946" i="2"/>
  <c r="I1946" i="2" s="1"/>
  <c r="B1947" i="2" l="1"/>
  <c r="C1947" i="2"/>
  <c r="F1947" i="2" l="1"/>
  <c r="K1947" i="2" s="1"/>
  <c r="L1947" i="2"/>
  <c r="G1947" i="2"/>
  <c r="J1947" i="2" l="1"/>
  <c r="M1947" i="2" s="1"/>
  <c r="N1947" i="2" s="1"/>
  <c r="H1947" i="2"/>
  <c r="I1947" i="2" s="1"/>
  <c r="C1948" i="2" l="1"/>
  <c r="B1948" i="2"/>
  <c r="G1948" i="2" l="1"/>
  <c r="L1948" i="2"/>
  <c r="F1948" i="2"/>
  <c r="K1948" i="2" s="1"/>
  <c r="H1948" i="2" l="1"/>
  <c r="I1948" i="2" s="1"/>
  <c r="J1948" i="2"/>
  <c r="M1948" i="2" s="1"/>
  <c r="N1948" i="2" s="1"/>
  <c r="B1949" i="2" l="1"/>
  <c r="C1949" i="2"/>
  <c r="L1949" i="2" l="1"/>
  <c r="F1949" i="2"/>
  <c r="K1949" i="2" s="1"/>
  <c r="G1949" i="2"/>
  <c r="H1949" i="2" l="1"/>
  <c r="I1949" i="2" s="1"/>
  <c r="J1949" i="2"/>
  <c r="M1949" i="2" s="1"/>
  <c r="N1949" i="2" s="1"/>
  <c r="B1950" i="2" l="1"/>
  <c r="C1950" i="2"/>
  <c r="F1950" i="2" l="1"/>
  <c r="K1950" i="2" s="1"/>
  <c r="G1950" i="2"/>
  <c r="L1950" i="2"/>
  <c r="H1950" i="2" l="1"/>
  <c r="I1950" i="2" s="1"/>
  <c r="J1950" i="2"/>
  <c r="M1950" i="2" s="1"/>
  <c r="N1950" i="2" s="1"/>
  <c r="C1951" i="2" l="1"/>
  <c r="B1951" i="2"/>
  <c r="L1951" i="2" l="1"/>
  <c r="F1951" i="2"/>
  <c r="K1951" i="2" s="1"/>
  <c r="G1951" i="2"/>
  <c r="J1951" i="2" l="1"/>
  <c r="M1951" i="2" s="1"/>
  <c r="N1951" i="2" s="1"/>
  <c r="H1951" i="2"/>
  <c r="I1951" i="2" s="1"/>
  <c r="B1952" i="2" l="1"/>
  <c r="C1952" i="2"/>
  <c r="F1952" i="2" l="1"/>
  <c r="K1952" i="2" s="1"/>
  <c r="G1952" i="2"/>
  <c r="L1952" i="2"/>
  <c r="H1952" i="2" l="1"/>
  <c r="I1952" i="2" s="1"/>
  <c r="J1952" i="2"/>
  <c r="M1952" i="2" s="1"/>
  <c r="N1952" i="2" s="1"/>
  <c r="C1953" i="2" l="1"/>
  <c r="B1953" i="2"/>
  <c r="F1953" i="2" l="1"/>
  <c r="K1953" i="2" s="1"/>
  <c r="G1953" i="2"/>
  <c r="L1953" i="2"/>
  <c r="H1953" i="2" l="1"/>
  <c r="I1953" i="2" s="1"/>
  <c r="J1953" i="2"/>
  <c r="M1953" i="2" s="1"/>
  <c r="N1953" i="2" s="1"/>
  <c r="C1954" i="2" l="1"/>
  <c r="B1954" i="2"/>
  <c r="F1954" i="2" l="1"/>
  <c r="K1954" i="2" s="1"/>
  <c r="L1954" i="2"/>
  <c r="G1954" i="2"/>
  <c r="H1954" i="2" l="1"/>
  <c r="I1954" i="2" s="1"/>
  <c r="J1954" i="2"/>
  <c r="M1954" i="2" s="1"/>
  <c r="N1954" i="2" s="1"/>
  <c r="C1955" i="2" l="1"/>
  <c r="B1955" i="2"/>
  <c r="G1955" i="2" l="1"/>
  <c r="F1955" i="2"/>
  <c r="K1955" i="2" s="1"/>
  <c r="L1955" i="2"/>
  <c r="J1955" i="2" l="1"/>
  <c r="M1955" i="2" s="1"/>
  <c r="N1955" i="2" s="1"/>
  <c r="H1955" i="2"/>
  <c r="I1955" i="2" s="1"/>
  <c r="C1956" i="2" l="1"/>
  <c r="B1956" i="2"/>
  <c r="L1956" i="2" l="1"/>
  <c r="F1956" i="2"/>
  <c r="K1956" i="2" s="1"/>
  <c r="G1956" i="2"/>
  <c r="H1956" i="2" l="1"/>
  <c r="I1956" i="2" s="1"/>
  <c r="J1956" i="2"/>
  <c r="M1956" i="2" s="1"/>
  <c r="N1956" i="2" s="1"/>
  <c r="C1957" i="2" l="1"/>
  <c r="B1957" i="2"/>
  <c r="G1957" i="2" l="1"/>
  <c r="L1957" i="2"/>
  <c r="F1957" i="2"/>
  <c r="K1957" i="2" s="1"/>
  <c r="J1957" i="2" l="1"/>
  <c r="M1957" i="2" s="1"/>
  <c r="N1957" i="2" s="1"/>
  <c r="H1957" i="2"/>
  <c r="I1957" i="2" s="1"/>
  <c r="C1958" i="2" l="1"/>
  <c r="B1958" i="2"/>
  <c r="G1958" i="2" l="1"/>
  <c r="L1958" i="2"/>
  <c r="F1958" i="2"/>
  <c r="K1958" i="2" s="1"/>
  <c r="J1958" i="2" l="1"/>
  <c r="M1958" i="2" s="1"/>
  <c r="N1958" i="2" s="1"/>
  <c r="H1958" i="2"/>
  <c r="I1958" i="2" s="1"/>
  <c r="B1959" i="2" l="1"/>
  <c r="C1959" i="2"/>
  <c r="F1959" i="2" l="1"/>
  <c r="K1959" i="2" s="1"/>
  <c r="L1959" i="2"/>
  <c r="G1959" i="2"/>
  <c r="H1959" i="2" l="1"/>
  <c r="I1959" i="2" s="1"/>
  <c r="J1959" i="2"/>
  <c r="M1959" i="2" s="1"/>
  <c r="N1959" i="2" s="1"/>
  <c r="C1960" i="2" l="1"/>
  <c r="B1960" i="2"/>
  <c r="L1960" i="2" l="1"/>
  <c r="G1960" i="2"/>
  <c r="F1960" i="2"/>
  <c r="K1960" i="2" s="1"/>
  <c r="H1960" i="2" l="1"/>
  <c r="I1960" i="2" s="1"/>
  <c r="J1960" i="2"/>
  <c r="M1960" i="2" s="1"/>
  <c r="N1960" i="2" s="1"/>
  <c r="B1961" i="2" l="1"/>
  <c r="C1961" i="2"/>
  <c r="F1961" i="2" l="1"/>
  <c r="K1961" i="2" s="1"/>
  <c r="G1961" i="2"/>
  <c r="L1961" i="2"/>
  <c r="J1961" i="2" l="1"/>
  <c r="M1961" i="2" s="1"/>
  <c r="N1961" i="2" s="1"/>
  <c r="H1961" i="2"/>
  <c r="I1961" i="2" s="1"/>
  <c r="B1962" i="2" l="1"/>
  <c r="C1962" i="2"/>
  <c r="F1962" i="2" l="1"/>
  <c r="K1962" i="2" s="1"/>
  <c r="L1962" i="2"/>
  <c r="G1962" i="2"/>
  <c r="J1962" i="2" l="1"/>
  <c r="M1962" i="2" s="1"/>
  <c r="N1962" i="2" s="1"/>
  <c r="H1962" i="2"/>
  <c r="I1962" i="2" s="1"/>
  <c r="B1963" i="2" l="1"/>
  <c r="C1963" i="2"/>
  <c r="L1963" i="2" l="1"/>
  <c r="G1963" i="2"/>
  <c r="F1963" i="2"/>
  <c r="K1963" i="2" s="1"/>
  <c r="H1963" i="2" l="1"/>
  <c r="I1963" i="2" s="1"/>
  <c r="J1963" i="2"/>
  <c r="M1963" i="2" s="1"/>
  <c r="N1963" i="2" s="1"/>
  <c r="B1964" i="2" l="1"/>
  <c r="C1964" i="2"/>
  <c r="G1964" i="2" l="1"/>
  <c r="F1964" i="2"/>
  <c r="K1964" i="2" s="1"/>
  <c r="L1964" i="2"/>
  <c r="J1964" i="2" l="1"/>
  <c r="M1964" i="2" s="1"/>
  <c r="N1964" i="2" s="1"/>
  <c r="H1964" i="2"/>
  <c r="I1964" i="2" s="1"/>
  <c r="B1965" i="2" l="1"/>
  <c r="C1965" i="2"/>
  <c r="G1965" i="2" l="1"/>
  <c r="L1965" i="2"/>
  <c r="F1965" i="2"/>
  <c r="K1965" i="2" s="1"/>
  <c r="H1965" i="2" l="1"/>
  <c r="I1965" i="2" s="1"/>
  <c r="J1965" i="2"/>
  <c r="M1965" i="2" s="1"/>
  <c r="N1965" i="2" s="1"/>
  <c r="C1966" i="2" l="1"/>
  <c r="B1966" i="2"/>
  <c r="G1966" i="2" l="1"/>
  <c r="F1966" i="2"/>
  <c r="K1966" i="2" s="1"/>
  <c r="L1966" i="2"/>
  <c r="J1966" i="2" l="1"/>
  <c r="M1966" i="2" s="1"/>
  <c r="N1966" i="2" s="1"/>
  <c r="H1966" i="2"/>
  <c r="I1966" i="2" s="1"/>
  <c r="B1967" i="2" l="1"/>
  <c r="C1967" i="2"/>
  <c r="F1967" i="2" l="1"/>
  <c r="K1967" i="2" s="1"/>
  <c r="G1967" i="2"/>
  <c r="L1967" i="2"/>
  <c r="J1967" i="2" l="1"/>
  <c r="M1967" i="2" s="1"/>
  <c r="N1967" i="2" s="1"/>
  <c r="H1967" i="2"/>
  <c r="I1967" i="2" s="1"/>
  <c r="B1968" i="2" l="1"/>
  <c r="C1968" i="2"/>
  <c r="G1968" i="2" l="1"/>
  <c r="F1968" i="2"/>
  <c r="K1968" i="2" s="1"/>
  <c r="L1968" i="2"/>
  <c r="J1968" i="2" l="1"/>
  <c r="M1968" i="2" s="1"/>
  <c r="N1968" i="2" s="1"/>
  <c r="H1968" i="2"/>
  <c r="I1968" i="2" s="1"/>
  <c r="B1969" i="2" l="1"/>
  <c r="C1969" i="2"/>
  <c r="L1969" i="2" l="1"/>
  <c r="G1969" i="2"/>
  <c r="F1969" i="2"/>
  <c r="K1969" i="2" s="1"/>
  <c r="J1969" i="2" l="1"/>
  <c r="M1969" i="2" s="1"/>
  <c r="N1969" i="2" s="1"/>
  <c r="H1969" i="2"/>
  <c r="I1969" i="2" s="1"/>
  <c r="C1970" i="2" l="1"/>
  <c r="B1970" i="2"/>
  <c r="F1970" i="2" l="1"/>
  <c r="K1970" i="2" s="1"/>
  <c r="L1970" i="2"/>
  <c r="G1970" i="2"/>
  <c r="J1970" i="2" l="1"/>
  <c r="M1970" i="2" s="1"/>
  <c r="N1970" i="2" s="1"/>
  <c r="H1970" i="2"/>
  <c r="I1970" i="2" s="1"/>
  <c r="C1971" i="2" l="1"/>
  <c r="B1971" i="2"/>
  <c r="L1971" i="2" l="1"/>
  <c r="G1971" i="2"/>
  <c r="F1971" i="2"/>
  <c r="K1971" i="2" s="1"/>
  <c r="H1971" i="2" l="1"/>
  <c r="I1971" i="2" s="1"/>
  <c r="J1971" i="2"/>
  <c r="M1971" i="2" s="1"/>
  <c r="N1971" i="2" s="1"/>
  <c r="B1972" i="2" l="1"/>
  <c r="C1972" i="2"/>
  <c r="L1972" i="2" l="1"/>
  <c r="G1972" i="2"/>
  <c r="F1972" i="2"/>
  <c r="K1972" i="2" s="1"/>
  <c r="H1972" i="2" l="1"/>
  <c r="I1972" i="2" s="1"/>
  <c r="J1972" i="2"/>
  <c r="M1972" i="2" s="1"/>
  <c r="N1972" i="2" s="1"/>
  <c r="C1973" i="2" l="1"/>
  <c r="B1973" i="2"/>
  <c r="G1973" i="2" l="1"/>
  <c r="F1973" i="2"/>
  <c r="K1973" i="2" s="1"/>
  <c r="L1973" i="2"/>
  <c r="H1973" i="2" l="1"/>
  <c r="I1973" i="2" s="1"/>
  <c r="J1973" i="2"/>
  <c r="M1973" i="2" s="1"/>
  <c r="N1973" i="2" s="1"/>
  <c r="C1974" i="2" l="1"/>
  <c r="B1974" i="2"/>
  <c r="G1974" i="2" l="1"/>
  <c r="L1974" i="2"/>
  <c r="F1974" i="2"/>
  <c r="K1974" i="2" s="1"/>
  <c r="J1974" i="2" l="1"/>
  <c r="M1974" i="2" s="1"/>
  <c r="N1974" i="2" s="1"/>
  <c r="H1974" i="2"/>
  <c r="I1974" i="2" s="1"/>
  <c r="C1975" i="2" l="1"/>
  <c r="B1975" i="2"/>
  <c r="G1975" i="2" l="1"/>
  <c r="L1975" i="2"/>
  <c r="F1975" i="2"/>
  <c r="K1975" i="2" s="1"/>
  <c r="H1975" i="2" l="1"/>
  <c r="I1975" i="2" s="1"/>
  <c r="J1975" i="2"/>
  <c r="M1975" i="2" s="1"/>
  <c r="N1975" i="2" s="1"/>
  <c r="C1976" i="2" l="1"/>
  <c r="B1976" i="2"/>
  <c r="G1976" i="2" l="1"/>
  <c r="F1976" i="2"/>
  <c r="K1976" i="2" s="1"/>
  <c r="L1976" i="2"/>
  <c r="J1976" i="2" l="1"/>
  <c r="M1976" i="2" s="1"/>
  <c r="N1976" i="2" s="1"/>
  <c r="H1976" i="2"/>
  <c r="I1976" i="2" s="1"/>
  <c r="C1977" i="2" l="1"/>
  <c r="B1977" i="2"/>
  <c r="G1977" i="2" l="1"/>
  <c r="L1977" i="2"/>
  <c r="F1977" i="2"/>
  <c r="K1977" i="2" s="1"/>
  <c r="J1977" i="2" l="1"/>
  <c r="M1977" i="2" s="1"/>
  <c r="N1977" i="2" s="1"/>
  <c r="H1977" i="2"/>
  <c r="I1977" i="2" s="1"/>
  <c r="C1978" i="2" l="1"/>
  <c r="B1978" i="2"/>
  <c r="L1978" i="2" l="1"/>
  <c r="F1978" i="2"/>
  <c r="K1978" i="2" s="1"/>
  <c r="G1978" i="2"/>
  <c r="J1978" i="2" l="1"/>
  <c r="M1978" i="2" s="1"/>
  <c r="N1978" i="2" s="1"/>
  <c r="H1978" i="2"/>
  <c r="I1978" i="2" s="1"/>
  <c r="B1979" i="2" l="1"/>
  <c r="C1979" i="2"/>
  <c r="L1979" i="2" l="1"/>
  <c r="F1979" i="2"/>
  <c r="K1979" i="2" s="1"/>
  <c r="G1979" i="2"/>
  <c r="J1979" i="2" l="1"/>
  <c r="M1979" i="2" s="1"/>
  <c r="N1979" i="2" s="1"/>
  <c r="H1979" i="2"/>
  <c r="I1979" i="2" s="1"/>
  <c r="C1980" i="2" l="1"/>
  <c r="B1980" i="2"/>
  <c r="G1980" i="2" l="1"/>
  <c r="F1980" i="2"/>
  <c r="K1980" i="2" s="1"/>
  <c r="L1980" i="2"/>
  <c r="J1980" i="2" l="1"/>
  <c r="M1980" i="2" s="1"/>
  <c r="N1980" i="2" s="1"/>
  <c r="H1980" i="2"/>
  <c r="I1980" i="2" s="1"/>
  <c r="B1981" i="2" l="1"/>
  <c r="C1981" i="2"/>
  <c r="L1981" i="2" l="1"/>
  <c r="G1981" i="2"/>
  <c r="F1981" i="2"/>
  <c r="K1981" i="2" s="1"/>
  <c r="H1981" i="2" l="1"/>
  <c r="I1981" i="2" s="1"/>
  <c r="J1981" i="2"/>
  <c r="M1981" i="2" s="1"/>
  <c r="N1981" i="2" s="1"/>
  <c r="C1982" i="2" l="1"/>
  <c r="B1982" i="2"/>
  <c r="G1982" i="2" l="1"/>
  <c r="F1982" i="2"/>
  <c r="K1982" i="2" s="1"/>
  <c r="L1982" i="2"/>
  <c r="J1982" i="2" l="1"/>
  <c r="M1982" i="2" s="1"/>
  <c r="N1982" i="2" s="1"/>
  <c r="H1982" i="2"/>
  <c r="I1982" i="2" s="1"/>
  <c r="C1983" i="2" l="1"/>
  <c r="B1983" i="2"/>
  <c r="L1983" i="2" l="1"/>
  <c r="G1983" i="2"/>
  <c r="F1983" i="2"/>
  <c r="K1983" i="2" s="1"/>
  <c r="H1983" i="2" l="1"/>
  <c r="I1983" i="2" s="1"/>
  <c r="J1983" i="2"/>
  <c r="M1983" i="2" s="1"/>
  <c r="N1983" i="2" s="1"/>
  <c r="B1984" i="2" l="1"/>
  <c r="C1984" i="2"/>
  <c r="F1984" i="2" l="1"/>
  <c r="K1984" i="2" s="1"/>
  <c r="G1984" i="2"/>
  <c r="L1984" i="2"/>
  <c r="J1984" i="2" l="1"/>
  <c r="M1984" i="2" s="1"/>
  <c r="N1984" i="2" s="1"/>
  <c r="H1984" i="2"/>
  <c r="I1984" i="2" s="1"/>
  <c r="C1985" i="2" l="1"/>
  <c r="B1985" i="2"/>
  <c r="F1985" i="2" l="1"/>
  <c r="K1985" i="2" s="1"/>
  <c r="L1985" i="2"/>
  <c r="G1985" i="2"/>
  <c r="J1985" i="2" l="1"/>
  <c r="M1985" i="2" s="1"/>
  <c r="N1985" i="2" s="1"/>
  <c r="H1985" i="2"/>
  <c r="I1985" i="2" s="1"/>
  <c r="C1986" i="2" l="1"/>
  <c r="B1986" i="2"/>
  <c r="L1986" i="2" l="1"/>
  <c r="G1986" i="2"/>
  <c r="F1986" i="2"/>
  <c r="K1986" i="2" s="1"/>
  <c r="H1986" i="2" l="1"/>
  <c r="I1986" i="2" s="1"/>
  <c r="J1986" i="2"/>
  <c r="M1986" i="2" s="1"/>
  <c r="N1986" i="2" s="1"/>
  <c r="B1987" i="2" l="1"/>
  <c r="C1987" i="2"/>
  <c r="L1987" i="2" l="1"/>
  <c r="G1987" i="2"/>
  <c r="F1987" i="2"/>
  <c r="K1987" i="2" s="1"/>
  <c r="H1987" i="2" l="1"/>
  <c r="I1987" i="2" s="1"/>
  <c r="J1987" i="2"/>
  <c r="M1987" i="2" s="1"/>
  <c r="N1987" i="2" s="1"/>
  <c r="B1988" i="2" l="1"/>
  <c r="C1988" i="2"/>
  <c r="F1988" i="2" l="1"/>
  <c r="K1988" i="2" s="1"/>
  <c r="L1988" i="2"/>
  <c r="G1988" i="2"/>
  <c r="J1988" i="2" l="1"/>
  <c r="M1988" i="2" s="1"/>
  <c r="N1988" i="2" s="1"/>
  <c r="H1988" i="2"/>
  <c r="I1988" i="2" s="1"/>
  <c r="B1989" i="2" l="1"/>
  <c r="C1989" i="2"/>
  <c r="G1989" i="2" l="1"/>
  <c r="F1989" i="2"/>
  <c r="K1989" i="2" s="1"/>
  <c r="L1989" i="2"/>
  <c r="J1989" i="2" l="1"/>
  <c r="M1989" i="2" s="1"/>
  <c r="N1989" i="2" s="1"/>
  <c r="H1989" i="2"/>
  <c r="I1989" i="2" s="1"/>
  <c r="C1990" i="2" l="1"/>
  <c r="B1990" i="2"/>
  <c r="G1990" i="2" l="1"/>
  <c r="F1990" i="2"/>
  <c r="K1990" i="2" s="1"/>
  <c r="L1990" i="2"/>
  <c r="J1990" i="2" l="1"/>
  <c r="M1990" i="2" s="1"/>
  <c r="N1990" i="2" s="1"/>
  <c r="H1990" i="2"/>
  <c r="I1990" i="2" s="1"/>
  <c r="B1991" i="2" l="1"/>
  <c r="C1991" i="2"/>
  <c r="L1991" i="2" l="1"/>
  <c r="G1991" i="2"/>
  <c r="F1991" i="2"/>
  <c r="K1991" i="2" s="1"/>
  <c r="J1991" i="2" l="1"/>
  <c r="M1991" i="2" s="1"/>
  <c r="N1991" i="2" s="1"/>
  <c r="H1991" i="2"/>
  <c r="I1991" i="2" s="1"/>
  <c r="B1992" i="2" l="1"/>
  <c r="C1992" i="2"/>
  <c r="G1992" i="2" l="1"/>
  <c r="F1992" i="2"/>
  <c r="K1992" i="2" s="1"/>
  <c r="L1992" i="2"/>
  <c r="J1992" i="2" l="1"/>
  <c r="M1992" i="2" s="1"/>
  <c r="N1992" i="2" s="1"/>
  <c r="H1992" i="2"/>
  <c r="I1992" i="2" s="1"/>
  <c r="B1993" i="2" l="1"/>
  <c r="C1993" i="2"/>
  <c r="L1993" i="2" l="1"/>
  <c r="G1993" i="2"/>
  <c r="F1993" i="2"/>
  <c r="K1993" i="2" s="1"/>
  <c r="J1993" i="2" l="1"/>
  <c r="M1993" i="2" s="1"/>
  <c r="N1993" i="2" s="1"/>
  <c r="H1993" i="2"/>
  <c r="I1993" i="2" s="1"/>
  <c r="C1994" i="2" l="1"/>
  <c r="B1994" i="2"/>
  <c r="L1994" i="2" l="1"/>
  <c r="F1994" i="2"/>
  <c r="K1994" i="2" s="1"/>
  <c r="G1994" i="2"/>
  <c r="J1994" i="2" l="1"/>
  <c r="M1994" i="2" s="1"/>
  <c r="N1994" i="2" s="1"/>
  <c r="H1994" i="2"/>
  <c r="I1994" i="2" s="1"/>
  <c r="B1995" i="2" l="1"/>
  <c r="C1995" i="2"/>
  <c r="L1995" i="2" l="1"/>
  <c r="G1995" i="2"/>
  <c r="F1995" i="2"/>
  <c r="K1995" i="2" s="1"/>
  <c r="H1995" i="2" l="1"/>
  <c r="I1995" i="2" s="1"/>
  <c r="J1995" i="2"/>
  <c r="M1995" i="2" s="1"/>
  <c r="N1995" i="2" s="1"/>
  <c r="B1996" i="2" l="1"/>
  <c r="C1996" i="2"/>
  <c r="F1996" i="2" l="1"/>
  <c r="K1996" i="2" s="1"/>
  <c r="G1996" i="2"/>
  <c r="L1996" i="2"/>
  <c r="J1996" i="2" l="1"/>
  <c r="M1996" i="2" s="1"/>
  <c r="N1996" i="2" s="1"/>
  <c r="H1996" i="2"/>
  <c r="I1996" i="2" s="1"/>
  <c r="B1997" i="2" l="1"/>
  <c r="C1997" i="2"/>
  <c r="G1997" i="2" l="1"/>
  <c r="L1997" i="2"/>
  <c r="F1997" i="2"/>
  <c r="K1997" i="2" s="1"/>
  <c r="H1997" i="2" l="1"/>
  <c r="I1997" i="2" s="1"/>
  <c r="J1997" i="2"/>
  <c r="M1997" i="2" s="1"/>
  <c r="N1997" i="2" s="1"/>
  <c r="C1998" i="2" l="1"/>
  <c r="B1998" i="2"/>
  <c r="L1998" i="2" l="1"/>
  <c r="F1998" i="2"/>
  <c r="K1998" i="2" s="1"/>
  <c r="G1998" i="2"/>
  <c r="J1998" i="2" l="1"/>
  <c r="M1998" i="2" s="1"/>
  <c r="N1998" i="2" s="1"/>
  <c r="H1998" i="2"/>
  <c r="I1998" i="2" s="1"/>
  <c r="C1999" i="2" l="1"/>
  <c r="B1999" i="2"/>
  <c r="G1999" i="2" l="1"/>
  <c r="L1999" i="2"/>
  <c r="F1999" i="2"/>
  <c r="K1999" i="2" s="1"/>
  <c r="J1999" i="2" l="1"/>
  <c r="M1999" i="2" s="1"/>
  <c r="N1999" i="2" s="1"/>
  <c r="H1999" i="2"/>
  <c r="I1999" i="2" s="1"/>
  <c r="B2000" i="2" l="1"/>
  <c r="C2000" i="2"/>
  <c r="G2000" i="2" l="1"/>
  <c r="L2000" i="2"/>
  <c r="F2000" i="2"/>
  <c r="K2000" i="2" s="1"/>
  <c r="H2000" i="2" l="1"/>
  <c r="I2000" i="2" s="1"/>
  <c r="J2000" i="2"/>
  <c r="M2000" i="2" s="1"/>
  <c r="N2000" i="2" s="1"/>
  <c r="C2001" i="2" l="1"/>
  <c r="B2001" i="2"/>
  <c r="L2001" i="2" l="1"/>
  <c r="F2001" i="2"/>
  <c r="K2001" i="2" s="1"/>
  <c r="G2001" i="2"/>
  <c r="J2001" i="2" l="1"/>
  <c r="M2001" i="2" s="1"/>
  <c r="N2001" i="2" s="1"/>
  <c r="H2001" i="2"/>
  <c r="I2001" i="2" s="1"/>
  <c r="C2002" i="2" l="1"/>
  <c r="B2002" i="2"/>
  <c r="F2002" i="2" l="1"/>
  <c r="K2002" i="2" s="1"/>
  <c r="G2002" i="2"/>
  <c r="H2002" i="2" s="1"/>
  <c r="I2002" i="2" s="1"/>
  <c r="L2002" i="2"/>
  <c r="J2002" i="2" l="1"/>
  <c r="M2002" i="2" s="1"/>
  <c r="N2002" i="2" s="1"/>
  <c r="C2003" i="2"/>
  <c r="B2003" i="2"/>
  <c r="G2003" i="2" l="1"/>
  <c r="L2003" i="2"/>
  <c r="F2003" i="2"/>
  <c r="K2003" i="2" s="1"/>
  <c r="H2003" i="2" l="1"/>
  <c r="I2003" i="2" s="1"/>
  <c r="J2003" i="2"/>
  <c r="M2003" i="2" s="1"/>
  <c r="N2003" i="2" s="1"/>
  <c r="C2004" i="2" l="1"/>
  <c r="B2004" i="2"/>
  <c r="F2004" i="2" l="1"/>
  <c r="K2004" i="2" s="1"/>
  <c r="L2004" i="2"/>
  <c r="G2004" i="2"/>
  <c r="J2004" i="2" l="1"/>
  <c r="M2004" i="2" s="1"/>
  <c r="N2004" i="2" s="1"/>
  <c r="H2004" i="2"/>
  <c r="I2004" i="2" s="1"/>
  <c r="B2005" i="2" l="1"/>
  <c r="C2005" i="2"/>
  <c r="L2005" i="2" l="1"/>
  <c r="F2005" i="2"/>
  <c r="K2005" i="2" s="1"/>
  <c r="G2005" i="2"/>
  <c r="J2005" i="2" l="1"/>
  <c r="M2005" i="2" s="1"/>
  <c r="N2005" i="2" s="1"/>
  <c r="H2005" i="2"/>
  <c r="I2005" i="2" s="1"/>
  <c r="B2006" i="2" l="1"/>
  <c r="C2006" i="2"/>
  <c r="F2006" i="2" l="1"/>
  <c r="K2006" i="2" s="1"/>
  <c r="L2006" i="2"/>
  <c r="G2006" i="2"/>
  <c r="J2006" i="2" l="1"/>
  <c r="M2006" i="2" s="1"/>
  <c r="N2006" i="2" s="1"/>
  <c r="H2006" i="2"/>
  <c r="I2006" i="2" s="1"/>
  <c r="C2007" i="2" l="1"/>
  <c r="B2007" i="2"/>
  <c r="G2007" i="2" l="1"/>
  <c r="L2007" i="2"/>
  <c r="F2007" i="2"/>
  <c r="K2007" i="2" s="1"/>
  <c r="J2007" i="2" l="1"/>
  <c r="M2007" i="2" s="1"/>
  <c r="N2007" i="2" s="1"/>
  <c r="H2007" i="2"/>
  <c r="I2007" i="2" s="1"/>
  <c r="B2008" i="2" l="1"/>
  <c r="C2008" i="2"/>
  <c r="G2008" i="2" l="1"/>
  <c r="L2008" i="2"/>
  <c r="F2008" i="2"/>
  <c r="K2008" i="2" s="1"/>
  <c r="H2008" i="2" l="1"/>
  <c r="I2008" i="2" s="1"/>
  <c r="J2008" i="2"/>
  <c r="M2008" i="2" s="1"/>
  <c r="N2008" i="2" s="1"/>
  <c r="N4" i="2" s="1"/>
</calcChain>
</file>

<file path=xl/sharedStrings.xml><?xml version="1.0" encoding="utf-8"?>
<sst xmlns="http://schemas.openxmlformats.org/spreadsheetml/2006/main" count="48" uniqueCount="44">
  <si>
    <t>Demand Per Period:</t>
  </si>
  <si>
    <t xml:space="preserve"> Normally Distributed with:</t>
  </si>
  <si>
    <t xml:space="preserve">   Mean</t>
  </si>
  <si>
    <t xml:space="preserve">   Standard Deviation</t>
  </si>
  <si>
    <t>Costs:</t>
  </si>
  <si>
    <t>Beginning Inventory:</t>
  </si>
  <si>
    <t>Lead Time Distribution</t>
  </si>
  <si>
    <t>Beginning</t>
  </si>
  <si>
    <t>Inventory</t>
  </si>
  <si>
    <t>Random</t>
  </si>
  <si>
    <t>Demand</t>
  </si>
  <si>
    <t>Ending</t>
  </si>
  <si>
    <t>Lead Time</t>
  </si>
  <si>
    <t>Order</t>
  </si>
  <si>
    <t>Holding</t>
  </si>
  <si>
    <t>Shortage</t>
  </si>
  <si>
    <t xml:space="preserve">   Order Cost (per order)</t>
  </si>
  <si>
    <t xml:space="preserve">   Shortage Cost (per unit)</t>
  </si>
  <si>
    <t>Lower Probabilities</t>
  </si>
  <si>
    <t>Upper Probabilities</t>
  </si>
  <si>
    <t>Probabilities</t>
  </si>
  <si>
    <t>Periods</t>
  </si>
  <si>
    <t>Reorder Point</t>
  </si>
  <si>
    <t>Order Quantity</t>
  </si>
  <si>
    <t>Costs</t>
  </si>
  <si>
    <t>Receipts</t>
  </si>
  <si>
    <t>Total</t>
  </si>
  <si>
    <t>Average</t>
  </si>
  <si>
    <t>Order?</t>
  </si>
  <si>
    <t xml:space="preserve">       Order Quantity</t>
  </si>
  <si>
    <t>Expected Value</t>
  </si>
  <si>
    <t>Reorder</t>
  </si>
  <si>
    <t>Point</t>
  </si>
  <si>
    <t>Multiperiod Inventory Simulation - Input Parameters</t>
  </si>
  <si>
    <t xml:space="preserve">             Expected Value</t>
  </si>
  <si>
    <t>Table Average</t>
  </si>
  <si>
    <t>Week</t>
  </si>
  <si>
    <t xml:space="preserve">   Holding Cost (per unit per week)</t>
  </si>
  <si>
    <t>Precision Auto Clone</t>
  </si>
  <si>
    <t>Precision Auto Clone Simulation</t>
  </si>
  <si>
    <t xml:space="preserve">Precision Auto Clone </t>
  </si>
  <si>
    <t>Multiperiod Inventory - Strategy</t>
  </si>
  <si>
    <t>Enter .2L where L is the next to the last digit of your Student ID in cell D12</t>
  </si>
  <si>
    <t>Enter 2.M0 where M is the last digit of your Student ID in call D14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</si>
</sst>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"/>
    <numFmt numFmtId="165" formatCode="_(* #,##0.00_);_(* \(#,##0.00\);_(* &quot;-&quot;?_);_(@_)"/>
    <numFmt numFmtId="166" formatCode="&quot;$&quot;#,##0.00"/>
    <numFmt numFmtId="167" formatCode=";;;"/>
  </numFmts>
  <fonts count="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color indexed="43"/>
      <name val="Arial"/>
      <family val="2"/>
    </font>
    <font>
      <sz val="10"/>
      <color indexed="10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25">
    <xf numFmtId="0" fontId="0" fillId="0" borderId="0" xfId="0"/>
    <xf numFmtId="0" fontId="0" fillId="2" borderId="0" xfId="0" applyFill="1"/>
    <xf numFmtId="41" fontId="0" fillId="2" borderId="0" xfId="0" applyNumberFormat="1" applyFill="1"/>
    <xf numFmtId="0" fontId="0" fillId="2" borderId="0" xfId="0" applyFill="1" applyAlignment="1"/>
    <xf numFmtId="0" fontId="0" fillId="2" borderId="0" xfId="0" applyFill="1" applyBorder="1" applyAlignment="1"/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0" fontId="2" fillId="3" borderId="1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41" fontId="0" fillId="2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43" fontId="0" fillId="2" borderId="0" xfId="1" applyNumberFormat="1" applyFont="1" applyFill="1" applyBorder="1" applyAlignment="1">
      <alignment horizontal="center"/>
    </xf>
    <xf numFmtId="43" fontId="0" fillId="2" borderId="0" xfId="0" applyNumberFormat="1" applyFill="1" applyBorder="1" applyAlignment="1">
      <alignment horizontal="center"/>
    </xf>
    <xf numFmtId="44" fontId="0" fillId="2" borderId="0" xfId="1" applyFont="1" applyFill="1" applyBorder="1"/>
    <xf numFmtId="44" fontId="0" fillId="2" borderId="3" xfId="0" applyNumberFormat="1" applyFill="1" applyBorder="1"/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41" fontId="2" fillId="3" borderId="6" xfId="0" applyNumberFormat="1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41" fontId="2" fillId="3" borderId="4" xfId="0" applyNumberFormat="1" applyFont="1" applyFill="1" applyBorder="1" applyAlignment="1">
      <alignment horizontal="center"/>
    </xf>
    <xf numFmtId="0" fontId="6" fillId="4" borderId="8" xfId="0" applyFont="1" applyFill="1" applyBorder="1"/>
    <xf numFmtId="0" fontId="6" fillId="4" borderId="9" xfId="0" applyFont="1" applyFill="1" applyBorder="1"/>
    <xf numFmtId="41" fontId="6" fillId="4" borderId="9" xfId="0" applyNumberFormat="1" applyFont="1" applyFill="1" applyBorder="1"/>
    <xf numFmtId="0" fontId="6" fillId="4" borderId="9" xfId="0" applyFont="1" applyFill="1" applyBorder="1" applyAlignment="1">
      <alignment horizontal="center"/>
    </xf>
    <xf numFmtId="0" fontId="6" fillId="4" borderId="4" xfId="0" applyFont="1" applyFill="1" applyBorder="1"/>
    <xf numFmtId="0" fontId="4" fillId="3" borderId="10" xfId="0" applyFont="1" applyFill="1" applyBorder="1"/>
    <xf numFmtId="0" fontId="5" fillId="3" borderId="11" xfId="0" applyFont="1" applyFill="1" applyBorder="1"/>
    <xf numFmtId="0" fontId="4" fillId="2" borderId="11" xfId="0" applyFont="1" applyFill="1" applyBorder="1"/>
    <xf numFmtId="0" fontId="4" fillId="3" borderId="11" xfId="0" quotePrefix="1" applyFont="1" applyFill="1" applyBorder="1"/>
    <xf numFmtId="41" fontId="4" fillId="2" borderId="11" xfId="0" applyNumberFormat="1" applyFont="1" applyFill="1" applyBorder="1"/>
    <xf numFmtId="41" fontId="4" fillId="3" borderId="11" xfId="0" quotePrefix="1" applyNumberFormat="1" applyFont="1" applyFill="1" applyBorder="1"/>
    <xf numFmtId="0" fontId="3" fillId="3" borderId="11" xfId="0" applyFont="1" applyFill="1" applyBorder="1"/>
    <xf numFmtId="44" fontId="4" fillId="2" borderId="12" xfId="0" applyNumberFormat="1" applyFont="1" applyFill="1" applyBorder="1"/>
    <xf numFmtId="0" fontId="7" fillId="2" borderId="0" xfId="0" applyFont="1" applyFill="1"/>
    <xf numFmtId="0" fontId="0" fillId="2" borderId="13" xfId="0" applyFill="1" applyBorder="1" applyAlignment="1">
      <alignment horizontal="center"/>
    </xf>
    <xf numFmtId="1" fontId="0" fillId="2" borderId="14" xfId="0" applyNumberFormat="1" applyFill="1" applyBorder="1" applyAlignment="1">
      <alignment horizontal="center"/>
    </xf>
    <xf numFmtId="41" fontId="0" fillId="2" borderId="14" xfId="0" applyNumberFormat="1" applyFill="1" applyBorder="1" applyAlignment="1">
      <alignment horizontal="center"/>
    </xf>
    <xf numFmtId="164" fontId="0" fillId="2" borderId="14" xfId="0" applyNumberFormat="1" applyFill="1" applyBorder="1" applyAlignment="1">
      <alignment horizontal="center"/>
    </xf>
    <xf numFmtId="165" fontId="0" fillId="2" borderId="14" xfId="0" applyNumberFormat="1" applyFill="1" applyBorder="1" applyAlignment="1">
      <alignment horizontal="center"/>
    </xf>
    <xf numFmtId="43" fontId="0" fillId="2" borderId="14" xfId="1" applyNumberFormat="1" applyFont="1" applyFill="1" applyBorder="1" applyAlignment="1">
      <alignment horizontal="center"/>
    </xf>
    <xf numFmtId="43" fontId="0" fillId="2" borderId="14" xfId="0" applyNumberFormat="1" applyFill="1" applyBorder="1" applyAlignment="1">
      <alignment horizontal="center"/>
    </xf>
    <xf numFmtId="44" fontId="0" fillId="2" borderId="14" xfId="1" applyFont="1" applyFill="1" applyBorder="1"/>
    <xf numFmtId="44" fontId="0" fillId="2" borderId="6" xfId="0" applyNumberFormat="1" applyFill="1" applyBorder="1"/>
    <xf numFmtId="0" fontId="0" fillId="4" borderId="2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41" fontId="0" fillId="4" borderId="0" xfId="0" applyNumberFormat="1" applyFill="1" applyBorder="1" applyAlignment="1">
      <alignment horizontal="center"/>
    </xf>
    <xf numFmtId="0" fontId="0" fillId="4" borderId="0" xfId="0" applyFill="1" applyBorder="1"/>
    <xf numFmtId="0" fontId="0" fillId="4" borderId="3" xfId="0" applyFill="1" applyBorder="1"/>
    <xf numFmtId="0" fontId="4" fillId="3" borderId="14" xfId="0" applyFont="1" applyFill="1" applyBorder="1" applyAlignment="1">
      <alignment horizontal="center"/>
    </xf>
    <xf numFmtId="0" fontId="5" fillId="2" borderId="15" xfId="0" quotePrefix="1" applyFont="1" applyFill="1" applyBorder="1" applyAlignment="1">
      <alignment horizontal="left"/>
    </xf>
    <xf numFmtId="41" fontId="0" fillId="2" borderId="0" xfId="0" applyNumberFormat="1" applyFill="1" applyBorder="1"/>
    <xf numFmtId="0" fontId="5" fillId="2" borderId="0" xfId="0" applyFont="1" applyFill="1"/>
    <xf numFmtId="0" fontId="4" fillId="3" borderId="9" xfId="0" applyFont="1" applyFill="1" applyBorder="1" applyAlignment="1">
      <alignment horizontal="center"/>
    </xf>
    <xf numFmtId="0" fontId="5" fillId="2" borderId="0" xfId="0" applyFont="1" applyFill="1" applyAlignment="1"/>
    <xf numFmtId="0" fontId="4" fillId="2" borderId="10" xfId="0" applyFont="1" applyFill="1" applyBorder="1" applyAlignment="1">
      <alignment horizontal="left"/>
    </xf>
    <xf numFmtId="0" fontId="5" fillId="2" borderId="12" xfId="0" applyFont="1" applyFill="1" applyBorder="1" applyAlignment="1"/>
    <xf numFmtId="0" fontId="5" fillId="2" borderId="0" xfId="0" applyFont="1" applyFill="1" applyBorder="1" applyAlignment="1"/>
    <xf numFmtId="0" fontId="5" fillId="2" borderId="16" xfId="0" applyFont="1" applyFill="1" applyBorder="1"/>
    <xf numFmtId="0" fontId="5" fillId="2" borderId="17" xfId="0" applyFont="1" applyFill="1" applyBorder="1" applyAlignment="1"/>
    <xf numFmtId="0" fontId="5" fillId="2" borderId="0" xfId="0" applyFont="1" applyFill="1" applyBorder="1" applyAlignment="1">
      <alignment horizontal="center"/>
    </xf>
    <xf numFmtId="0" fontId="5" fillId="3" borderId="2" xfId="0" quotePrefix="1" applyFont="1" applyFill="1" applyBorder="1" applyAlignment="1">
      <alignment horizontal="left"/>
    </xf>
    <xf numFmtId="0" fontId="5" fillId="3" borderId="0" xfId="0" applyFont="1" applyFill="1"/>
    <xf numFmtId="0" fontId="5" fillId="2" borderId="0" xfId="0" applyFont="1" applyFill="1" applyBorder="1"/>
    <xf numFmtId="0" fontId="5" fillId="3" borderId="8" xfId="0" quotePrefix="1" applyFont="1" applyFill="1" applyBorder="1" applyAlignment="1">
      <alignment horizontal="left"/>
    </xf>
    <xf numFmtId="0" fontId="5" fillId="2" borderId="11" xfId="0" applyFont="1" applyFill="1" applyBorder="1" applyAlignment="1">
      <alignment horizontal="center"/>
    </xf>
    <xf numFmtId="0" fontId="5" fillId="3" borderId="13" xfId="0" quotePrefix="1" applyFont="1" applyFill="1" applyBorder="1" applyAlignment="1">
      <alignment horizontal="left"/>
    </xf>
    <xf numFmtId="8" fontId="4" fillId="4" borderId="20" xfId="0" applyNumberFormat="1" applyFont="1" applyFill="1" applyBorder="1" applyAlignment="1">
      <alignment horizontal="center"/>
    </xf>
    <xf numFmtId="8" fontId="4" fillId="4" borderId="19" xfId="0" applyNumberFormat="1" applyFont="1" applyFill="1" applyBorder="1" applyAlignment="1">
      <alignment horizontal="center"/>
    </xf>
    <xf numFmtId="0" fontId="5" fillId="2" borderId="11" xfId="0" applyFont="1" applyFill="1" applyBorder="1"/>
    <xf numFmtId="0" fontId="4" fillId="2" borderId="22" xfId="0" applyFont="1" applyFill="1" applyBorder="1" applyAlignment="1">
      <alignment horizontal="left"/>
    </xf>
    <xf numFmtId="0" fontId="5" fillId="2" borderId="21" xfId="0" applyFont="1" applyFill="1" applyBorder="1" applyAlignment="1"/>
    <xf numFmtId="0" fontId="5" fillId="2" borderId="8" xfId="0" applyFont="1" applyFill="1" applyBorder="1" applyAlignment="1">
      <alignment horizontal="center"/>
    </xf>
    <xf numFmtId="0" fontId="5" fillId="2" borderId="23" xfId="0" applyFont="1" applyFill="1" applyBorder="1" applyAlignment="1">
      <alignment horizontal="center"/>
    </xf>
    <xf numFmtId="0" fontId="5" fillId="2" borderId="22" xfId="0" applyFont="1" applyFill="1" applyBorder="1" applyAlignment="1">
      <alignment horizontal="center"/>
    </xf>
    <xf numFmtId="0" fontId="5" fillId="2" borderId="21" xfId="0" applyFont="1" applyFill="1" applyBorder="1" applyAlignment="1">
      <alignment horizontal="center"/>
    </xf>
    <xf numFmtId="2" fontId="5" fillId="3" borderId="13" xfId="0" applyNumberFormat="1" applyFont="1" applyFill="1" applyBorder="1" applyAlignment="1">
      <alignment horizontal="center"/>
    </xf>
    <xf numFmtId="2" fontId="5" fillId="3" borderId="24" xfId="0" applyNumberFormat="1" applyFont="1" applyFill="1" applyBorder="1" applyAlignment="1">
      <alignment horizontal="center"/>
    </xf>
    <xf numFmtId="2" fontId="5" fillId="3" borderId="2" xfId="0" applyNumberFormat="1" applyFont="1" applyFill="1" applyBorder="1" applyAlignment="1">
      <alignment horizontal="center"/>
    </xf>
    <xf numFmtId="2" fontId="5" fillId="3" borderId="26" xfId="0" applyNumberFormat="1" applyFont="1" applyFill="1" applyBorder="1" applyAlignment="1">
      <alignment horizontal="center"/>
    </xf>
    <xf numFmtId="2" fontId="5" fillId="3" borderId="8" xfId="0" applyNumberFormat="1" applyFont="1" applyFill="1" applyBorder="1" applyAlignment="1">
      <alignment horizontal="center"/>
    </xf>
    <xf numFmtId="2" fontId="5" fillId="3" borderId="23" xfId="0" applyNumberFormat="1" applyFont="1" applyFill="1" applyBorder="1" applyAlignment="1">
      <alignment horizontal="center"/>
    </xf>
    <xf numFmtId="0" fontId="5" fillId="0" borderId="0" xfId="0" applyFont="1"/>
    <xf numFmtId="0" fontId="4" fillId="0" borderId="0" xfId="0" applyFont="1"/>
    <xf numFmtId="0" fontId="4" fillId="3" borderId="13" xfId="0" applyFont="1" applyFill="1" applyBorder="1"/>
    <xf numFmtId="0" fontId="4" fillId="3" borderId="1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2" xfId="0" applyFont="1" applyFill="1" applyBorder="1"/>
    <xf numFmtId="0" fontId="4" fillId="3" borderId="8" xfId="0" applyFont="1" applyFill="1" applyBorder="1"/>
    <xf numFmtId="0" fontId="4" fillId="3" borderId="12" xfId="0" applyFont="1" applyFill="1" applyBorder="1"/>
    <xf numFmtId="7" fontId="4" fillId="2" borderId="28" xfId="0" applyNumberFormat="1" applyFont="1" applyFill="1" applyBorder="1" applyAlignment="1">
      <alignment horizontal="center"/>
    </xf>
    <xf numFmtId="166" fontId="4" fillId="0" borderId="1" xfId="0" applyNumberFormat="1" applyFont="1" applyBorder="1"/>
    <xf numFmtId="0" fontId="5" fillId="0" borderId="0" xfId="0" applyFont="1" applyBorder="1"/>
    <xf numFmtId="167" fontId="4" fillId="0" borderId="0" xfId="0" applyNumberFormat="1" applyFont="1" applyBorder="1"/>
    <xf numFmtId="0" fontId="0" fillId="0" borderId="0" xfId="0" applyBorder="1"/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/>
    <xf numFmtId="0" fontId="4" fillId="2" borderId="0" xfId="0" applyFont="1" applyFill="1" applyBorder="1" applyAlignment="1">
      <alignment horizontal="left"/>
    </xf>
    <xf numFmtId="0" fontId="4" fillId="5" borderId="18" xfId="0" applyFont="1" applyFill="1" applyBorder="1" applyAlignment="1">
      <alignment horizontal="center"/>
    </xf>
    <xf numFmtId="0" fontId="4" fillId="5" borderId="19" xfId="0" applyFont="1" applyFill="1" applyBorder="1" applyAlignment="1">
      <alignment horizontal="center"/>
    </xf>
    <xf numFmtId="8" fontId="4" fillId="5" borderId="18" xfId="0" applyNumberFormat="1" applyFont="1" applyFill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25" xfId="0" applyFont="1" applyFill="1" applyBorder="1" applyAlignment="1">
      <alignment horizontal="center"/>
    </xf>
    <xf numFmtId="2" fontId="4" fillId="5" borderId="3" xfId="0" applyNumberFormat="1" applyFont="1" applyFill="1" applyBorder="1" applyAlignment="1">
      <alignment horizontal="center"/>
    </xf>
    <xf numFmtId="0" fontId="4" fillId="5" borderId="27" xfId="0" applyFont="1" applyFill="1" applyBorder="1" applyAlignment="1">
      <alignment horizontal="center"/>
    </xf>
    <xf numFmtId="2" fontId="4" fillId="5" borderId="4" xfId="0" applyNumberFormat="1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13" xfId="0" applyFont="1" applyFill="1" applyBorder="1" applyAlignment="1">
      <alignment horizontal="center"/>
    </xf>
    <xf numFmtId="0" fontId="4" fillId="3" borderId="14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Inventory Simulation Graph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yVal>
            <c:numRef>
              <c:f>Simulation!$N$9:$N$508</c:f>
              <c:numCache>
                <c:formatCode>_("$"* #,##0.00_);_("$"* \(#,##0.00\);_("$"* "-"??_);_(@_)</c:formatCode>
                <c:ptCount val="500"/>
                <c:pt idx="0">
                  <c:v>395.4</c:v>
                </c:pt>
                <c:pt idx="1">
                  <c:v>377.7</c:v>
                </c:pt>
                <c:pt idx="2">
                  <c:v>352.33333333333331</c:v>
                </c:pt>
                <c:pt idx="3">
                  <c:v>320</c:v>
                </c:pt>
                <c:pt idx="4">
                  <c:v>345.04</c:v>
                </c:pt>
                <c:pt idx="5">
                  <c:v>357.73333333333335</c:v>
                </c:pt>
                <c:pt idx="6">
                  <c:v>354.85714285714283</c:v>
                </c:pt>
                <c:pt idx="7">
                  <c:v>342.125</c:v>
                </c:pt>
                <c:pt idx="8">
                  <c:v>359.13333333333333</c:v>
                </c:pt>
                <c:pt idx="9">
                  <c:v>336.1</c:v>
                </c:pt>
                <c:pt idx="10">
                  <c:v>341.69090909090909</c:v>
                </c:pt>
                <c:pt idx="11">
                  <c:v>340</c:v>
                </c:pt>
                <c:pt idx="12">
                  <c:v>333.6</c:v>
                </c:pt>
                <c:pt idx="13">
                  <c:v>343.18571428571431</c:v>
                </c:pt>
                <c:pt idx="14">
                  <c:v>349.98666666666668</c:v>
                </c:pt>
                <c:pt idx="15">
                  <c:v>350.38749999999999</c:v>
                </c:pt>
                <c:pt idx="16">
                  <c:v>346.11764705882354</c:v>
                </c:pt>
                <c:pt idx="17">
                  <c:v>355.04444444444448</c:v>
                </c:pt>
                <c:pt idx="18">
                  <c:v>361.56842105263161</c:v>
                </c:pt>
                <c:pt idx="19">
                  <c:v>363.7</c:v>
                </c:pt>
                <c:pt idx="20">
                  <c:v>361.76190476190476</c:v>
                </c:pt>
                <c:pt idx="21">
                  <c:v>355.89090909090913</c:v>
                </c:pt>
                <c:pt idx="22">
                  <c:v>359.98260869565217</c:v>
                </c:pt>
                <c:pt idx="23">
                  <c:v>362.60833333333335</c:v>
                </c:pt>
                <c:pt idx="24">
                  <c:v>361.37599999999998</c:v>
                </c:pt>
                <c:pt idx="25">
                  <c:v>356.76153846153841</c:v>
                </c:pt>
                <c:pt idx="26">
                  <c:v>361.39259259259256</c:v>
                </c:pt>
                <c:pt idx="27">
                  <c:v>364.83571428571423</c:v>
                </c:pt>
                <c:pt idx="28">
                  <c:v>364.52413793103437</c:v>
                </c:pt>
                <c:pt idx="29">
                  <c:v>361.2999999999999</c:v>
                </c:pt>
                <c:pt idx="30">
                  <c:v>365.26451612903219</c:v>
                </c:pt>
                <c:pt idx="31">
                  <c:v>368.33749999999992</c:v>
                </c:pt>
                <c:pt idx="32">
                  <c:v>368.36969696969686</c:v>
                </c:pt>
                <c:pt idx="33">
                  <c:v>365.75294117647047</c:v>
                </c:pt>
                <c:pt idx="34">
                  <c:v>369.23428571428565</c:v>
                </c:pt>
                <c:pt idx="35">
                  <c:v>362.01111111111106</c:v>
                </c:pt>
                <c:pt idx="36">
                  <c:v>363.11891891891884</c:v>
                </c:pt>
                <c:pt idx="37">
                  <c:v>361.98947368421051</c:v>
                </c:pt>
                <c:pt idx="38">
                  <c:v>358.31282051282051</c:v>
                </c:pt>
                <c:pt idx="39">
                  <c:v>360.22499999999997</c:v>
                </c:pt>
                <c:pt idx="40">
                  <c:v>352.64878048780486</c:v>
                </c:pt>
                <c:pt idx="41">
                  <c:v>351.93333333333328</c:v>
                </c:pt>
                <c:pt idx="42">
                  <c:v>349.21860465116276</c:v>
                </c:pt>
                <c:pt idx="43">
                  <c:v>351.7409090909091</c:v>
                </c:pt>
                <c:pt idx="44">
                  <c:v>353.84000000000003</c:v>
                </c:pt>
                <c:pt idx="45">
                  <c:v>354.16521739130434</c:v>
                </c:pt>
                <c:pt idx="46">
                  <c:v>352.94042553191491</c:v>
                </c:pt>
                <c:pt idx="47">
                  <c:v>350.08333333333331</c:v>
                </c:pt>
                <c:pt idx="48">
                  <c:v>351.82857142857142</c:v>
                </c:pt>
                <c:pt idx="49">
                  <c:v>345.72399999999993</c:v>
                </c:pt>
                <c:pt idx="50">
                  <c:v>345.29019607843128</c:v>
                </c:pt>
                <c:pt idx="51">
                  <c:v>343.2230769230768</c:v>
                </c:pt>
                <c:pt idx="52">
                  <c:v>345.24905660377345</c:v>
                </c:pt>
                <c:pt idx="53">
                  <c:v>346.75185185185177</c:v>
                </c:pt>
                <c:pt idx="54">
                  <c:v>346.75636363636352</c:v>
                </c:pt>
                <c:pt idx="55">
                  <c:v>345.23571428571415</c:v>
                </c:pt>
                <c:pt idx="56">
                  <c:v>348.23508771929812</c:v>
                </c:pt>
                <c:pt idx="57">
                  <c:v>350.48620689655161</c:v>
                </c:pt>
                <c:pt idx="58">
                  <c:v>351.50508474576259</c:v>
                </c:pt>
                <c:pt idx="59">
                  <c:v>351.11333333333317</c:v>
                </c:pt>
                <c:pt idx="60">
                  <c:v>349.23934426229494</c:v>
                </c:pt>
                <c:pt idx="61">
                  <c:v>350.80322580645151</c:v>
                </c:pt>
                <c:pt idx="62">
                  <c:v>346.20317460317449</c:v>
                </c:pt>
                <c:pt idx="63">
                  <c:v>346.14999999999986</c:v>
                </c:pt>
                <c:pt idx="64">
                  <c:v>344.74461538461526</c:v>
                </c:pt>
                <c:pt idx="65">
                  <c:v>346.67878787878777</c:v>
                </c:pt>
                <c:pt idx="66">
                  <c:v>342.80298507462675</c:v>
                </c:pt>
                <c:pt idx="67">
                  <c:v>337.76176470588223</c:v>
                </c:pt>
                <c:pt idx="68">
                  <c:v>336.79130434782599</c:v>
                </c:pt>
                <c:pt idx="69">
                  <c:v>339.11142857142846</c:v>
                </c:pt>
                <c:pt idx="70">
                  <c:v>341.30704225352099</c:v>
                </c:pt>
                <c:pt idx="71">
                  <c:v>342.21388888888873</c:v>
                </c:pt>
                <c:pt idx="72">
                  <c:v>342.22465753424643</c:v>
                </c:pt>
                <c:pt idx="73">
                  <c:v>341.26756756756748</c:v>
                </c:pt>
                <c:pt idx="74">
                  <c:v>343.26933333333324</c:v>
                </c:pt>
                <c:pt idx="75">
                  <c:v>344.87894736842094</c:v>
                </c:pt>
                <c:pt idx="76">
                  <c:v>345.33246753246743</c:v>
                </c:pt>
                <c:pt idx="77">
                  <c:v>344.67435897435888</c:v>
                </c:pt>
                <c:pt idx="78">
                  <c:v>343.00506329113909</c:v>
                </c:pt>
                <c:pt idx="79">
                  <c:v>343.93749999999989</c:v>
                </c:pt>
                <c:pt idx="80">
                  <c:v>344.60987654320974</c:v>
                </c:pt>
                <c:pt idx="81">
                  <c:v>344.43170731707306</c:v>
                </c:pt>
                <c:pt idx="82">
                  <c:v>343.30602409638544</c:v>
                </c:pt>
                <c:pt idx="83">
                  <c:v>344.892857142857</c:v>
                </c:pt>
                <c:pt idx="84">
                  <c:v>341.99294117647048</c:v>
                </c:pt>
                <c:pt idx="85">
                  <c:v>338.37441860465105</c:v>
                </c:pt>
                <c:pt idx="86">
                  <c:v>338.1632183908045</c:v>
                </c:pt>
                <c:pt idx="87">
                  <c:v>337.23181818181808</c:v>
                </c:pt>
                <c:pt idx="88">
                  <c:v>338.72584269662912</c:v>
                </c:pt>
                <c:pt idx="89">
                  <c:v>336.11333333333323</c:v>
                </c:pt>
                <c:pt idx="90">
                  <c:v>336.72967032967023</c:v>
                </c:pt>
                <c:pt idx="91">
                  <c:v>336.38260869565204</c:v>
                </c:pt>
                <c:pt idx="92">
                  <c:v>335.16344086021496</c:v>
                </c:pt>
                <c:pt idx="93">
                  <c:v>336.35106382978711</c:v>
                </c:pt>
                <c:pt idx="94">
                  <c:v>337.35789473684201</c:v>
                </c:pt>
                <c:pt idx="95">
                  <c:v>337.39166666666654</c:v>
                </c:pt>
                <c:pt idx="96">
                  <c:v>336.49896907216481</c:v>
                </c:pt>
                <c:pt idx="97">
                  <c:v>337.82448979591823</c:v>
                </c:pt>
                <c:pt idx="98">
                  <c:v>335.39595959595948</c:v>
                </c:pt>
                <c:pt idx="99">
                  <c:v>332.26199999999989</c:v>
                </c:pt>
                <c:pt idx="100">
                  <c:v>331.75841584158405</c:v>
                </c:pt>
                <c:pt idx="101">
                  <c:v>330.43137254901956</c:v>
                </c:pt>
                <c:pt idx="102">
                  <c:v>331.31067961165041</c:v>
                </c:pt>
                <c:pt idx="103">
                  <c:v>331.97692307692301</c:v>
                </c:pt>
                <c:pt idx="104">
                  <c:v>331.75428571428563</c:v>
                </c:pt>
                <c:pt idx="105">
                  <c:v>330.72452830188666</c:v>
                </c:pt>
                <c:pt idx="106">
                  <c:v>331.78130841121487</c:v>
                </c:pt>
                <c:pt idx="107">
                  <c:v>332.62407407407403</c:v>
                </c:pt>
                <c:pt idx="108">
                  <c:v>332.64770642201825</c:v>
                </c:pt>
                <c:pt idx="109">
                  <c:v>331.93272727272722</c:v>
                </c:pt>
                <c:pt idx="110">
                  <c:v>333.26486486486482</c:v>
                </c:pt>
                <c:pt idx="111">
                  <c:v>334.42321428571421</c:v>
                </c:pt>
                <c:pt idx="112">
                  <c:v>334.80530973451323</c:v>
                </c:pt>
                <c:pt idx="113">
                  <c:v>334.51754385964904</c:v>
                </c:pt>
                <c:pt idx="114">
                  <c:v>333.45391304347817</c:v>
                </c:pt>
                <c:pt idx="115">
                  <c:v>334.36206896551715</c:v>
                </c:pt>
                <c:pt idx="116">
                  <c:v>331.98803418803413</c:v>
                </c:pt>
                <c:pt idx="117">
                  <c:v>332.02033898305081</c:v>
                </c:pt>
                <c:pt idx="118">
                  <c:v>331.4470588235294</c:v>
                </c:pt>
                <c:pt idx="119">
                  <c:v>332.83166666666665</c:v>
                </c:pt>
                <c:pt idx="120">
                  <c:v>333.89917355371898</c:v>
                </c:pt>
                <c:pt idx="121">
                  <c:v>334.52131147540985</c:v>
                </c:pt>
                <c:pt idx="122">
                  <c:v>334.34796747967476</c:v>
                </c:pt>
                <c:pt idx="123">
                  <c:v>333.52419354838702</c:v>
                </c:pt>
                <c:pt idx="124">
                  <c:v>334.53439999999995</c:v>
                </c:pt>
                <c:pt idx="125">
                  <c:v>335.32063492063486</c:v>
                </c:pt>
                <c:pt idx="126">
                  <c:v>335.41889763779523</c:v>
                </c:pt>
                <c:pt idx="127">
                  <c:v>334.73593749999998</c:v>
                </c:pt>
                <c:pt idx="128">
                  <c:v>335.66821705426355</c:v>
                </c:pt>
                <c:pt idx="129">
                  <c:v>336.38769230769225</c:v>
                </c:pt>
                <c:pt idx="130">
                  <c:v>336.4458015267175</c:v>
                </c:pt>
                <c:pt idx="131">
                  <c:v>335.95909090909083</c:v>
                </c:pt>
                <c:pt idx="132">
                  <c:v>337.12781954887214</c:v>
                </c:pt>
                <c:pt idx="133">
                  <c:v>335.39552238805965</c:v>
                </c:pt>
                <c:pt idx="134">
                  <c:v>335.76740740740735</c:v>
                </c:pt>
                <c:pt idx="135">
                  <c:v>335.49999999999994</c:v>
                </c:pt>
                <c:pt idx="136">
                  <c:v>334.77080291970799</c:v>
                </c:pt>
                <c:pt idx="137">
                  <c:v>335.52028985507241</c:v>
                </c:pt>
                <c:pt idx="138">
                  <c:v>333.5424460431654</c:v>
                </c:pt>
                <c:pt idx="139">
                  <c:v>332.14571428571418</c:v>
                </c:pt>
                <c:pt idx="140">
                  <c:v>331.7063829787233</c:v>
                </c:pt>
                <c:pt idx="141">
                  <c:v>332.9169014084506</c:v>
                </c:pt>
                <c:pt idx="142">
                  <c:v>333.93286713286699</c:v>
                </c:pt>
                <c:pt idx="143">
                  <c:v>334.28888888888872</c:v>
                </c:pt>
                <c:pt idx="144">
                  <c:v>333.9972413793102</c:v>
                </c:pt>
                <c:pt idx="145">
                  <c:v>333.25342465753408</c:v>
                </c:pt>
                <c:pt idx="146">
                  <c:v>333.99999999999983</c:v>
                </c:pt>
                <c:pt idx="147">
                  <c:v>334.70135135135121</c:v>
                </c:pt>
                <c:pt idx="148">
                  <c:v>334.85234899328844</c:v>
                </c:pt>
                <c:pt idx="149">
                  <c:v>334.40133333333318</c:v>
                </c:pt>
                <c:pt idx="150">
                  <c:v>335.4582781456952</c:v>
                </c:pt>
                <c:pt idx="151">
                  <c:v>336.436842105263</c:v>
                </c:pt>
                <c:pt idx="152">
                  <c:v>336.91111111111093</c:v>
                </c:pt>
                <c:pt idx="153">
                  <c:v>336.8987012987011</c:v>
                </c:pt>
                <c:pt idx="154">
                  <c:v>336.48774193548365</c:v>
                </c:pt>
                <c:pt idx="155">
                  <c:v>337.44871794871779</c:v>
                </c:pt>
                <c:pt idx="156">
                  <c:v>338.24203821656033</c:v>
                </c:pt>
                <c:pt idx="157">
                  <c:v>338.58860759493655</c:v>
                </c:pt>
                <c:pt idx="158">
                  <c:v>338.52201257861617</c:v>
                </c:pt>
                <c:pt idx="159">
                  <c:v>337.90624999999983</c:v>
                </c:pt>
                <c:pt idx="160">
                  <c:v>338.68322981366441</c:v>
                </c:pt>
                <c:pt idx="161">
                  <c:v>339.38641975308622</c:v>
                </c:pt>
                <c:pt idx="162">
                  <c:v>339.68834355828199</c:v>
                </c:pt>
                <c:pt idx="163">
                  <c:v>339.47317073170711</c:v>
                </c:pt>
                <c:pt idx="164">
                  <c:v>338.79151515151494</c:v>
                </c:pt>
                <c:pt idx="165">
                  <c:v>339.34819277108414</c:v>
                </c:pt>
                <c:pt idx="166">
                  <c:v>339.74850299401174</c:v>
                </c:pt>
                <c:pt idx="167">
                  <c:v>339.6988095238093</c:v>
                </c:pt>
                <c:pt idx="168">
                  <c:v>339.20236686390513</c:v>
                </c:pt>
                <c:pt idx="169">
                  <c:v>340.01294117647041</c:v>
                </c:pt>
                <c:pt idx="170">
                  <c:v>340.69356725146179</c:v>
                </c:pt>
                <c:pt idx="171">
                  <c:v>340.8418604651161</c:v>
                </c:pt>
                <c:pt idx="172">
                  <c:v>340.52601156069341</c:v>
                </c:pt>
                <c:pt idx="173">
                  <c:v>339.86666666666645</c:v>
                </c:pt>
                <c:pt idx="174">
                  <c:v>340.56685714285697</c:v>
                </c:pt>
                <c:pt idx="175">
                  <c:v>338.99545454545438</c:v>
                </c:pt>
                <c:pt idx="176">
                  <c:v>339.00112994350263</c:v>
                </c:pt>
                <c:pt idx="177">
                  <c:v>338.57303370786502</c:v>
                </c:pt>
                <c:pt idx="178">
                  <c:v>339.43575418994396</c:v>
                </c:pt>
                <c:pt idx="179">
                  <c:v>338.26888888888874</c:v>
                </c:pt>
                <c:pt idx="180">
                  <c:v>338.61436464088382</c:v>
                </c:pt>
                <c:pt idx="181">
                  <c:v>338.53186813186801</c:v>
                </c:pt>
                <c:pt idx="182">
                  <c:v>337.94426229508184</c:v>
                </c:pt>
                <c:pt idx="183">
                  <c:v>338.57391304347811</c:v>
                </c:pt>
                <c:pt idx="184">
                  <c:v>337.19243243243233</c:v>
                </c:pt>
                <c:pt idx="185">
                  <c:v>337.37741935483859</c:v>
                </c:pt>
                <c:pt idx="186">
                  <c:v>337.10267379679129</c:v>
                </c:pt>
                <c:pt idx="187">
                  <c:v>336.39255319148924</c:v>
                </c:pt>
                <c:pt idx="188">
                  <c:v>336.8973544973544</c:v>
                </c:pt>
                <c:pt idx="189">
                  <c:v>337.2736842105262</c:v>
                </c:pt>
                <c:pt idx="190">
                  <c:v>337.25026178010461</c:v>
                </c:pt>
                <c:pt idx="191">
                  <c:v>336.8312499999999</c:v>
                </c:pt>
                <c:pt idx="192">
                  <c:v>337.59999999999991</c:v>
                </c:pt>
                <c:pt idx="193">
                  <c:v>336.48969072164937</c:v>
                </c:pt>
                <c:pt idx="194">
                  <c:v>336.81128205128198</c:v>
                </c:pt>
                <c:pt idx="195">
                  <c:v>336.7785714285713</c:v>
                </c:pt>
                <c:pt idx="196">
                  <c:v>336.40812182741104</c:v>
                </c:pt>
                <c:pt idx="197">
                  <c:v>337.02626262626256</c:v>
                </c:pt>
                <c:pt idx="198">
                  <c:v>337.50251256281399</c:v>
                </c:pt>
                <c:pt idx="199">
                  <c:v>337.61199999999991</c:v>
                </c:pt>
                <c:pt idx="200">
                  <c:v>337.34825870646756</c:v>
                </c:pt>
                <c:pt idx="201">
                  <c:v>336.68712871287124</c:v>
                </c:pt>
                <c:pt idx="202">
                  <c:v>337.15172413793096</c:v>
                </c:pt>
                <c:pt idx="203">
                  <c:v>335.69901960784307</c:v>
                </c:pt>
                <c:pt idx="204">
                  <c:v>335.33951219512193</c:v>
                </c:pt>
                <c:pt idx="205">
                  <c:v>334.98543689320383</c:v>
                </c:pt>
                <c:pt idx="206">
                  <c:v>335.71014492753613</c:v>
                </c:pt>
                <c:pt idx="207">
                  <c:v>336.37019230769226</c:v>
                </c:pt>
                <c:pt idx="208">
                  <c:v>336.57320574162674</c:v>
                </c:pt>
                <c:pt idx="209">
                  <c:v>336.3590476190476</c:v>
                </c:pt>
                <c:pt idx="210">
                  <c:v>335.74786729857817</c:v>
                </c:pt>
                <c:pt idx="211">
                  <c:v>336.20660377358485</c:v>
                </c:pt>
                <c:pt idx="212">
                  <c:v>336.61596244131448</c:v>
                </c:pt>
                <c:pt idx="213">
                  <c:v>336.65420560747657</c:v>
                </c:pt>
                <c:pt idx="214">
                  <c:v>336.29953488372081</c:v>
                </c:pt>
                <c:pt idx="215">
                  <c:v>336.92037037037022</c:v>
                </c:pt>
                <c:pt idx="216">
                  <c:v>335.82304147465425</c:v>
                </c:pt>
                <c:pt idx="217">
                  <c:v>336.06788990825675</c:v>
                </c:pt>
                <c:pt idx="218">
                  <c:v>335.88036529680352</c:v>
                </c:pt>
                <c:pt idx="219">
                  <c:v>335.37090909090898</c:v>
                </c:pt>
                <c:pt idx="220">
                  <c:v>335.828959276018</c:v>
                </c:pt>
                <c:pt idx="221">
                  <c:v>336.25855855855849</c:v>
                </c:pt>
                <c:pt idx="222">
                  <c:v>336.34618834080709</c:v>
                </c:pt>
                <c:pt idx="223">
                  <c:v>336.15982142857138</c:v>
                </c:pt>
                <c:pt idx="224">
                  <c:v>335.61066666666665</c:v>
                </c:pt>
                <c:pt idx="225">
                  <c:v>336.06106194690261</c:v>
                </c:pt>
                <c:pt idx="226">
                  <c:v>336.36740088105722</c:v>
                </c:pt>
                <c:pt idx="227">
                  <c:v>336.34999999999997</c:v>
                </c:pt>
                <c:pt idx="228">
                  <c:v>335.98602620087331</c:v>
                </c:pt>
                <c:pt idx="229">
                  <c:v>336.58782608695645</c:v>
                </c:pt>
                <c:pt idx="230">
                  <c:v>337.19220779220768</c:v>
                </c:pt>
                <c:pt idx="231">
                  <c:v>337.41810344827582</c:v>
                </c:pt>
                <c:pt idx="232">
                  <c:v>337.26437768240339</c:v>
                </c:pt>
                <c:pt idx="233">
                  <c:v>336.81623931623926</c:v>
                </c:pt>
                <c:pt idx="234">
                  <c:v>337.32765957446804</c:v>
                </c:pt>
                <c:pt idx="235">
                  <c:v>337.74322033898295</c:v>
                </c:pt>
                <c:pt idx="236">
                  <c:v>337.75527426160329</c:v>
                </c:pt>
                <c:pt idx="237">
                  <c:v>337.40588235294115</c:v>
                </c:pt>
                <c:pt idx="238">
                  <c:v>337.90460251046022</c:v>
                </c:pt>
                <c:pt idx="239">
                  <c:v>338.29249999999996</c:v>
                </c:pt>
                <c:pt idx="240">
                  <c:v>338.31286307053938</c:v>
                </c:pt>
                <c:pt idx="241">
                  <c:v>338.01157024793383</c:v>
                </c:pt>
                <c:pt idx="242">
                  <c:v>338.6041152263374</c:v>
                </c:pt>
                <c:pt idx="243">
                  <c:v>337.61475409836061</c:v>
                </c:pt>
                <c:pt idx="244">
                  <c:v>336.34367346938768</c:v>
                </c:pt>
                <c:pt idx="245">
                  <c:v>336.17398373983735</c:v>
                </c:pt>
                <c:pt idx="246">
                  <c:v>335.68259109311737</c:v>
                </c:pt>
                <c:pt idx="247">
                  <c:v>335.99919354838704</c:v>
                </c:pt>
                <c:pt idx="248">
                  <c:v>334.79919678714856</c:v>
                </c:pt>
                <c:pt idx="249">
                  <c:v>334.74079999999992</c:v>
                </c:pt>
                <c:pt idx="250">
                  <c:v>334.38804780876484</c:v>
                </c:pt>
                <c:pt idx="251">
                  <c:v>334.95476190476182</c:v>
                </c:pt>
                <c:pt idx="252">
                  <c:v>335.42766798418967</c:v>
                </c:pt>
                <c:pt idx="253">
                  <c:v>335.54881889763772</c:v>
                </c:pt>
                <c:pt idx="254">
                  <c:v>335.35921568627441</c:v>
                </c:pt>
                <c:pt idx="255">
                  <c:v>334.85234374999993</c:v>
                </c:pt>
                <c:pt idx="256">
                  <c:v>335.19066147859917</c:v>
                </c:pt>
                <c:pt idx="257">
                  <c:v>335.4883720930232</c:v>
                </c:pt>
                <c:pt idx="258">
                  <c:v>335.45019305019304</c:v>
                </c:pt>
                <c:pt idx="259">
                  <c:v>335.07153846153841</c:v>
                </c:pt>
                <c:pt idx="260">
                  <c:v>335.56628352490418</c:v>
                </c:pt>
                <c:pt idx="261">
                  <c:v>335.99160305343509</c:v>
                </c:pt>
                <c:pt idx="262">
                  <c:v>336.14372623574138</c:v>
                </c:pt>
                <c:pt idx="263">
                  <c:v>336.01893939393932</c:v>
                </c:pt>
                <c:pt idx="264">
                  <c:v>335.59924528301883</c:v>
                </c:pt>
                <c:pt idx="265">
                  <c:v>336.0225563909774</c:v>
                </c:pt>
                <c:pt idx="266">
                  <c:v>336.26741573033701</c:v>
                </c:pt>
                <c:pt idx="267">
                  <c:v>336.29253731343277</c:v>
                </c:pt>
                <c:pt idx="268">
                  <c:v>336.00669144981401</c:v>
                </c:pt>
                <c:pt idx="269">
                  <c:v>336.55925925925914</c:v>
                </c:pt>
                <c:pt idx="270">
                  <c:v>337.02435424354235</c:v>
                </c:pt>
                <c:pt idx="271">
                  <c:v>337.12352941176459</c:v>
                </c:pt>
                <c:pt idx="272">
                  <c:v>336.93186813186804</c:v>
                </c:pt>
                <c:pt idx="273">
                  <c:v>336.4204379562043</c:v>
                </c:pt>
                <c:pt idx="274">
                  <c:v>336.72072727272723</c:v>
                </c:pt>
                <c:pt idx="275">
                  <c:v>336.92173913043473</c:v>
                </c:pt>
                <c:pt idx="276">
                  <c:v>336.84693140794218</c:v>
                </c:pt>
                <c:pt idx="277">
                  <c:v>336.51079136690635</c:v>
                </c:pt>
                <c:pt idx="278">
                  <c:v>336.99641577060919</c:v>
                </c:pt>
                <c:pt idx="279">
                  <c:v>336.14499999999992</c:v>
                </c:pt>
                <c:pt idx="280">
                  <c:v>336.3110320284697</c:v>
                </c:pt>
                <c:pt idx="281">
                  <c:v>336.16524822695027</c:v>
                </c:pt>
                <c:pt idx="282">
                  <c:v>335.79081272084795</c:v>
                </c:pt>
                <c:pt idx="283">
                  <c:v>336.16690140845066</c:v>
                </c:pt>
                <c:pt idx="284">
                  <c:v>335.17964912280695</c:v>
                </c:pt>
                <c:pt idx="285">
                  <c:v>335.22377622377616</c:v>
                </c:pt>
                <c:pt idx="286">
                  <c:v>335.05156794425085</c:v>
                </c:pt>
                <c:pt idx="287">
                  <c:v>334.64722222222218</c:v>
                </c:pt>
                <c:pt idx="288">
                  <c:v>335.00138408304497</c:v>
                </c:pt>
                <c:pt idx="289">
                  <c:v>335.26965517241376</c:v>
                </c:pt>
                <c:pt idx="290">
                  <c:v>335.26666666666665</c:v>
                </c:pt>
                <c:pt idx="291">
                  <c:v>335.01164383561644</c:v>
                </c:pt>
                <c:pt idx="292">
                  <c:v>335.56860068259385</c:v>
                </c:pt>
                <c:pt idx="293">
                  <c:v>336.08979591836732</c:v>
                </c:pt>
                <c:pt idx="294">
                  <c:v>336.35593220338984</c:v>
                </c:pt>
                <c:pt idx="295">
                  <c:v>336.32229729729727</c:v>
                </c:pt>
                <c:pt idx="296">
                  <c:v>336</c:v>
                </c:pt>
                <c:pt idx="297">
                  <c:v>336.3993288590604</c:v>
                </c:pt>
                <c:pt idx="298">
                  <c:v>335.5036789297659</c:v>
                </c:pt>
                <c:pt idx="299">
                  <c:v>335.58066666666673</c:v>
                </c:pt>
                <c:pt idx="300">
                  <c:v>335.39401993355483</c:v>
                </c:pt>
                <c:pt idx="301">
                  <c:v>335.90529801324504</c:v>
                </c:pt>
                <c:pt idx="302">
                  <c:v>336.3062706270627</c:v>
                </c:pt>
                <c:pt idx="303">
                  <c:v>336.45921052631581</c:v>
                </c:pt>
                <c:pt idx="304">
                  <c:v>336.31344262295084</c:v>
                </c:pt>
                <c:pt idx="305">
                  <c:v>335.9137254901961</c:v>
                </c:pt>
                <c:pt idx="306">
                  <c:v>336.24104234527687</c:v>
                </c:pt>
                <c:pt idx="307">
                  <c:v>335.42857142857144</c:v>
                </c:pt>
                <c:pt idx="308">
                  <c:v>334.35145631067962</c:v>
                </c:pt>
                <c:pt idx="309">
                  <c:v>334.1503225806452</c:v>
                </c:pt>
                <c:pt idx="310">
                  <c:v>334.62315112540193</c:v>
                </c:pt>
                <c:pt idx="311">
                  <c:v>335.03012820512822</c:v>
                </c:pt>
                <c:pt idx="312">
                  <c:v>335.20575079872208</c:v>
                </c:pt>
                <c:pt idx="313">
                  <c:v>335.16242038216564</c:v>
                </c:pt>
                <c:pt idx="314">
                  <c:v>334.84825396825403</c:v>
                </c:pt>
                <c:pt idx="315">
                  <c:v>335.22658227848103</c:v>
                </c:pt>
                <c:pt idx="316">
                  <c:v>335.53880126182969</c:v>
                </c:pt>
                <c:pt idx="317">
                  <c:v>335.588679245283</c:v>
                </c:pt>
                <c:pt idx="318">
                  <c:v>335.35736677115989</c:v>
                </c:pt>
                <c:pt idx="319">
                  <c:v>335.83749999999998</c:v>
                </c:pt>
                <c:pt idx="320">
                  <c:v>335.10841121495326</c:v>
                </c:pt>
                <c:pt idx="321">
                  <c:v>334.15155279503108</c:v>
                </c:pt>
                <c:pt idx="322">
                  <c:v>334.07430340557278</c:v>
                </c:pt>
                <c:pt idx="323">
                  <c:v>333.69629629629634</c:v>
                </c:pt>
                <c:pt idx="324">
                  <c:v>334.02276923076926</c:v>
                </c:pt>
                <c:pt idx="325">
                  <c:v>334.27546012269937</c:v>
                </c:pt>
                <c:pt idx="326">
                  <c:v>334.28379204892968</c:v>
                </c:pt>
                <c:pt idx="327">
                  <c:v>334.07987804878047</c:v>
                </c:pt>
                <c:pt idx="328">
                  <c:v>334.50030395136775</c:v>
                </c:pt>
                <c:pt idx="329">
                  <c:v>334.84666666666664</c:v>
                </c:pt>
                <c:pt idx="330">
                  <c:v>334.92809667673714</c:v>
                </c:pt>
                <c:pt idx="331">
                  <c:v>334.72590361445782</c:v>
                </c:pt>
                <c:pt idx="332">
                  <c:v>335.15375375375373</c:v>
                </c:pt>
                <c:pt idx="333">
                  <c:v>335.56886227544908</c:v>
                </c:pt>
                <c:pt idx="334">
                  <c:v>335.7737313432836</c:v>
                </c:pt>
                <c:pt idx="335">
                  <c:v>335.75119047619046</c:v>
                </c:pt>
                <c:pt idx="336">
                  <c:v>335.51988130563797</c:v>
                </c:pt>
                <c:pt idx="337">
                  <c:v>335.92485207100589</c:v>
                </c:pt>
                <c:pt idx="338">
                  <c:v>336.21179941002947</c:v>
                </c:pt>
                <c:pt idx="339">
                  <c:v>336.29764705882349</c:v>
                </c:pt>
                <c:pt idx="340">
                  <c:v>336.16656891495597</c:v>
                </c:pt>
                <c:pt idx="341">
                  <c:v>335.84795321637421</c:v>
                </c:pt>
                <c:pt idx="342">
                  <c:v>336.20524781341101</c:v>
                </c:pt>
                <c:pt idx="343">
                  <c:v>336.51337209302318</c:v>
                </c:pt>
                <c:pt idx="344">
                  <c:v>336.61333333333329</c:v>
                </c:pt>
                <c:pt idx="345">
                  <c:v>336.51907514450858</c:v>
                </c:pt>
                <c:pt idx="346">
                  <c:v>336.13429394812675</c:v>
                </c:pt>
                <c:pt idx="347">
                  <c:v>336.37068965517233</c:v>
                </c:pt>
                <c:pt idx="348">
                  <c:v>336.52091690544404</c:v>
                </c:pt>
                <c:pt idx="349">
                  <c:v>336.46971428571425</c:v>
                </c:pt>
                <c:pt idx="350">
                  <c:v>336.21025641025636</c:v>
                </c:pt>
                <c:pt idx="351">
                  <c:v>336.55681818181807</c:v>
                </c:pt>
                <c:pt idx="352">
                  <c:v>335.8487252124645</c:v>
                </c:pt>
                <c:pt idx="353">
                  <c:v>334.96723163841801</c:v>
                </c:pt>
                <c:pt idx="354">
                  <c:v>334.84225352112674</c:v>
                </c:pt>
                <c:pt idx="355">
                  <c:v>334.42303370786516</c:v>
                </c:pt>
                <c:pt idx="356">
                  <c:v>334.58039215686273</c:v>
                </c:pt>
                <c:pt idx="357">
                  <c:v>334.66089385474856</c:v>
                </c:pt>
                <c:pt idx="358">
                  <c:v>334.50417827298048</c:v>
                </c:pt>
                <c:pt idx="359">
                  <c:v>334.89944444444438</c:v>
                </c:pt>
                <c:pt idx="360">
                  <c:v>335.18725761772851</c:v>
                </c:pt>
                <c:pt idx="361">
                  <c:v>335.25138121546956</c:v>
                </c:pt>
                <c:pt idx="362">
                  <c:v>335.06942148760328</c:v>
                </c:pt>
                <c:pt idx="363">
                  <c:v>335.52637362637358</c:v>
                </c:pt>
                <c:pt idx="364">
                  <c:v>335.93041095890402</c:v>
                </c:pt>
                <c:pt idx="365">
                  <c:v>336.07868852459012</c:v>
                </c:pt>
                <c:pt idx="366">
                  <c:v>335.93841961852854</c:v>
                </c:pt>
                <c:pt idx="367">
                  <c:v>335.63532608695647</c:v>
                </c:pt>
                <c:pt idx="368">
                  <c:v>335.94417344173434</c:v>
                </c:pt>
                <c:pt idx="369">
                  <c:v>336.19621621621616</c:v>
                </c:pt>
                <c:pt idx="370">
                  <c:v>336.24905660377351</c:v>
                </c:pt>
                <c:pt idx="371">
                  <c:v>336.09086021505368</c:v>
                </c:pt>
                <c:pt idx="372">
                  <c:v>336.57050938337795</c:v>
                </c:pt>
                <c:pt idx="373">
                  <c:v>337.0203208556149</c:v>
                </c:pt>
                <c:pt idx="374">
                  <c:v>337.27679999999992</c:v>
                </c:pt>
                <c:pt idx="375">
                  <c:v>337.30957446808503</c:v>
                </c:pt>
                <c:pt idx="376">
                  <c:v>337.18885941644555</c:v>
                </c:pt>
                <c:pt idx="377">
                  <c:v>336.85820105820102</c:v>
                </c:pt>
                <c:pt idx="378">
                  <c:v>337.08548812664901</c:v>
                </c:pt>
                <c:pt idx="379">
                  <c:v>337.31684210526311</c:v>
                </c:pt>
                <c:pt idx="380">
                  <c:v>337.34540682414695</c:v>
                </c:pt>
                <c:pt idx="381">
                  <c:v>337.14502617801043</c:v>
                </c:pt>
                <c:pt idx="382">
                  <c:v>337.55665796344641</c:v>
                </c:pt>
                <c:pt idx="383">
                  <c:v>337.88072916666664</c:v>
                </c:pt>
                <c:pt idx="384">
                  <c:v>337.98285714285709</c:v>
                </c:pt>
                <c:pt idx="385">
                  <c:v>337.90984455958545</c:v>
                </c:pt>
                <c:pt idx="386">
                  <c:v>337.60051679586559</c:v>
                </c:pt>
                <c:pt idx="387">
                  <c:v>337.84123711340197</c:v>
                </c:pt>
                <c:pt idx="388">
                  <c:v>338.07043701799478</c:v>
                </c:pt>
                <c:pt idx="389">
                  <c:v>338.09333333333325</c:v>
                </c:pt>
                <c:pt idx="390">
                  <c:v>337.92634271099735</c:v>
                </c:pt>
                <c:pt idx="391">
                  <c:v>338.2892857142856</c:v>
                </c:pt>
                <c:pt idx="392">
                  <c:v>338.55877862595412</c:v>
                </c:pt>
                <c:pt idx="393">
                  <c:v>338.6015228426395</c:v>
                </c:pt>
                <c:pt idx="394">
                  <c:v>338.43645569620242</c:v>
                </c:pt>
                <c:pt idx="395">
                  <c:v>338.81363636363625</c:v>
                </c:pt>
                <c:pt idx="396">
                  <c:v>339.12846347607041</c:v>
                </c:pt>
                <c:pt idx="397">
                  <c:v>339.26984924623099</c:v>
                </c:pt>
                <c:pt idx="398">
                  <c:v>339.1498746867166</c:v>
                </c:pt>
                <c:pt idx="399">
                  <c:v>338.81799999999981</c:v>
                </c:pt>
                <c:pt idx="400">
                  <c:v>339.05236907730654</c:v>
                </c:pt>
                <c:pt idx="401">
                  <c:v>339.18358208955198</c:v>
                </c:pt>
                <c:pt idx="402">
                  <c:v>339.09081885856051</c:v>
                </c:pt>
                <c:pt idx="403">
                  <c:v>338.77326732673237</c:v>
                </c:pt>
                <c:pt idx="404">
                  <c:v>339.03061728395033</c:v>
                </c:pt>
                <c:pt idx="405">
                  <c:v>339.23201970443318</c:v>
                </c:pt>
                <c:pt idx="406">
                  <c:v>339.19115479115447</c:v>
                </c:pt>
                <c:pt idx="407">
                  <c:v>338.95686274509774</c:v>
                </c:pt>
                <c:pt idx="408">
                  <c:v>339.3188264058677</c:v>
                </c:pt>
                <c:pt idx="409">
                  <c:v>338.70536585365824</c:v>
                </c:pt>
                <c:pt idx="410">
                  <c:v>338.77226277372233</c:v>
                </c:pt>
                <c:pt idx="411">
                  <c:v>338.63737864077643</c:v>
                </c:pt>
                <c:pt idx="412">
                  <c:v>338.33510895883745</c:v>
                </c:pt>
                <c:pt idx="413">
                  <c:v>338.56521739130409</c:v>
                </c:pt>
                <c:pt idx="414">
                  <c:v>337.8939759036142</c:v>
                </c:pt>
                <c:pt idx="415">
                  <c:v>337.71153846153817</c:v>
                </c:pt>
                <c:pt idx="416">
                  <c:v>337.55875299760163</c:v>
                </c:pt>
                <c:pt idx="417">
                  <c:v>337.93349282296623</c:v>
                </c:pt>
                <c:pt idx="418">
                  <c:v>338.29021479713577</c:v>
                </c:pt>
                <c:pt idx="419">
                  <c:v>338.46999999999969</c:v>
                </c:pt>
                <c:pt idx="420">
                  <c:v>338.44275534441778</c:v>
                </c:pt>
                <c:pt idx="421">
                  <c:v>338.2303317535542</c:v>
                </c:pt>
                <c:pt idx="422">
                  <c:v>338.55791962174908</c:v>
                </c:pt>
                <c:pt idx="423">
                  <c:v>337.98773584905621</c:v>
                </c:pt>
                <c:pt idx="424">
                  <c:v>338.09599999999961</c:v>
                </c:pt>
                <c:pt idx="425">
                  <c:v>338.00563380281653</c:v>
                </c:pt>
                <c:pt idx="426">
                  <c:v>337.73114754098322</c:v>
                </c:pt>
                <c:pt idx="427">
                  <c:v>337.99018691588748</c:v>
                </c:pt>
                <c:pt idx="428">
                  <c:v>338.20792540792502</c:v>
                </c:pt>
                <c:pt idx="429">
                  <c:v>338.20790697674386</c:v>
                </c:pt>
                <c:pt idx="430">
                  <c:v>338.0310904872386</c:v>
                </c:pt>
                <c:pt idx="431">
                  <c:v>338.33240740740706</c:v>
                </c:pt>
                <c:pt idx="432">
                  <c:v>338.58983833718207</c:v>
                </c:pt>
                <c:pt idx="433">
                  <c:v>338.63317972350194</c:v>
                </c:pt>
                <c:pt idx="434">
                  <c:v>338.47494252873526</c:v>
                </c:pt>
                <c:pt idx="435">
                  <c:v>338.80183486238491</c:v>
                </c:pt>
                <c:pt idx="436">
                  <c:v>338.28695652173872</c:v>
                </c:pt>
                <c:pt idx="437">
                  <c:v>338.42054794520504</c:v>
                </c:pt>
                <c:pt idx="438">
                  <c:v>338.3412300683367</c:v>
                </c:pt>
                <c:pt idx="439">
                  <c:v>338.09318181818145</c:v>
                </c:pt>
                <c:pt idx="440">
                  <c:v>338.34739229024905</c:v>
                </c:pt>
                <c:pt idx="441">
                  <c:v>338.56244343891365</c:v>
                </c:pt>
                <c:pt idx="442">
                  <c:v>338.58871331828408</c:v>
                </c:pt>
                <c:pt idx="443">
                  <c:v>338.43873873873838</c:v>
                </c:pt>
                <c:pt idx="444">
                  <c:v>338.77797752808954</c:v>
                </c:pt>
                <c:pt idx="445">
                  <c:v>339.08968609865434</c:v>
                </c:pt>
                <c:pt idx="446">
                  <c:v>339.23758389261707</c:v>
                </c:pt>
                <c:pt idx="447">
                  <c:v>339.22812499999964</c:v>
                </c:pt>
                <c:pt idx="448">
                  <c:v>339.04365256124686</c:v>
                </c:pt>
                <c:pt idx="449">
                  <c:v>339.37199999999962</c:v>
                </c:pt>
                <c:pt idx="450">
                  <c:v>339.63946784922354</c:v>
                </c:pt>
                <c:pt idx="451">
                  <c:v>339.73451327433588</c:v>
                </c:pt>
                <c:pt idx="452">
                  <c:v>339.65077262693114</c:v>
                </c:pt>
                <c:pt idx="453">
                  <c:v>339.39867841409654</c:v>
                </c:pt>
                <c:pt idx="454">
                  <c:v>339.6224175824172</c:v>
                </c:pt>
                <c:pt idx="455">
                  <c:v>339.81710526315754</c:v>
                </c:pt>
                <c:pt idx="456">
                  <c:v>339.83457330415717</c:v>
                </c:pt>
                <c:pt idx="457">
                  <c:v>339.69475982532708</c:v>
                </c:pt>
                <c:pt idx="458">
                  <c:v>340.02527233115427</c:v>
                </c:pt>
                <c:pt idx="459">
                  <c:v>340.30304347826041</c:v>
                </c:pt>
                <c:pt idx="460">
                  <c:v>340.40997830802559</c:v>
                </c:pt>
                <c:pt idx="461">
                  <c:v>340.31428571428529</c:v>
                </c:pt>
                <c:pt idx="462">
                  <c:v>340.04665226781816</c:v>
                </c:pt>
                <c:pt idx="463">
                  <c:v>340.272413793103</c:v>
                </c:pt>
                <c:pt idx="464">
                  <c:v>339.69935483870921</c:v>
                </c:pt>
                <c:pt idx="465">
                  <c:v>339.02618025751025</c:v>
                </c:pt>
                <c:pt idx="466">
                  <c:v>338.88822269807235</c:v>
                </c:pt>
                <c:pt idx="467">
                  <c:v>339.20897435897388</c:v>
                </c:pt>
                <c:pt idx="468">
                  <c:v>339.47164179104431</c:v>
                </c:pt>
                <c:pt idx="469">
                  <c:v>339.57148936170165</c:v>
                </c:pt>
                <c:pt idx="470">
                  <c:v>339.48110403396981</c:v>
                </c:pt>
                <c:pt idx="471">
                  <c:v>339.24533898305037</c:v>
                </c:pt>
                <c:pt idx="472">
                  <c:v>339.4883720930228</c:v>
                </c:pt>
                <c:pt idx="473">
                  <c:v>338.88945147679283</c:v>
                </c:pt>
                <c:pt idx="474">
                  <c:v>338.89389473684167</c:v>
                </c:pt>
                <c:pt idx="475">
                  <c:v>338.74789915966346</c:v>
                </c:pt>
                <c:pt idx="476">
                  <c:v>339.0477987421379</c:v>
                </c:pt>
                <c:pt idx="477">
                  <c:v>339.30502092050165</c:v>
                </c:pt>
                <c:pt idx="478">
                  <c:v>339.40501043841294</c:v>
                </c:pt>
                <c:pt idx="479">
                  <c:v>339.37124999999958</c:v>
                </c:pt>
                <c:pt idx="480">
                  <c:v>339.18794178794144</c:v>
                </c:pt>
                <c:pt idx="481">
                  <c:v>339.47012448132745</c:v>
                </c:pt>
                <c:pt idx="482">
                  <c:v>338.94658385093135</c:v>
                </c:pt>
                <c:pt idx="483">
                  <c:v>338.97438016528889</c:v>
                </c:pt>
                <c:pt idx="484">
                  <c:v>338.87505154639138</c:v>
                </c:pt>
                <c:pt idx="485">
                  <c:v>338.62510288065806</c:v>
                </c:pt>
                <c:pt idx="486">
                  <c:v>338.81683778234049</c:v>
                </c:pt>
                <c:pt idx="487">
                  <c:v>338.25081967213077</c:v>
                </c:pt>
                <c:pt idx="488">
                  <c:v>338.25071574642089</c:v>
                </c:pt>
                <c:pt idx="489">
                  <c:v>338.0926530612241</c:v>
                </c:pt>
                <c:pt idx="490">
                  <c:v>338.39837067209743</c:v>
                </c:pt>
                <c:pt idx="491">
                  <c:v>337.91097560975578</c:v>
                </c:pt>
                <c:pt idx="492">
                  <c:v>337.26247464503012</c:v>
                </c:pt>
                <c:pt idx="493">
                  <c:v>337.19028340080945</c:v>
                </c:pt>
                <c:pt idx="494">
                  <c:v>336.92686868686837</c:v>
                </c:pt>
                <c:pt idx="495">
                  <c:v>337.11693548387069</c:v>
                </c:pt>
                <c:pt idx="496">
                  <c:v>337.24668008048263</c:v>
                </c:pt>
                <c:pt idx="497">
                  <c:v>337.20401606425673</c:v>
                </c:pt>
                <c:pt idx="498">
                  <c:v>336.9991983967933</c:v>
                </c:pt>
                <c:pt idx="499">
                  <c:v>337.27079999999972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C3-4DAF-BD88-5B55C7D93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610232"/>
        <c:axId val="462612584"/>
      </c:scatterChart>
      <c:valAx>
        <c:axId val="462610232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Number of Weeks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62612584"/>
        <c:crosses val="autoZero"/>
        <c:crossBetween val="midCat"/>
      </c:valAx>
      <c:valAx>
        <c:axId val="462612584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 algn="ctr">
                  <a:defRPr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Average Cost/Week</a:t>
                </a:r>
              </a:p>
            </c:rich>
          </c:tx>
          <c:overlay val="0"/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626102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3</xdr:row>
      <xdr:rowOff>95250</xdr:rowOff>
    </xdr:from>
    <xdr:to>
      <xdr:col>2</xdr:col>
      <xdr:colOff>590550</xdr:colOff>
      <xdr:row>3</xdr:row>
      <xdr:rowOff>95250</xdr:rowOff>
    </xdr:to>
    <xdr:sp macro="" textlink="">
      <xdr:nvSpPr>
        <xdr:cNvPr id="1103" name="Line 2">
          <a:extLst>
            <a:ext uri="{FF2B5EF4-FFF2-40B4-BE49-F238E27FC236}">
              <a16:creationId xmlns:a16="http://schemas.microsoft.com/office/drawing/2014/main" id="{00000000-0008-0000-0100-00004F040000}"/>
            </a:ext>
          </a:extLst>
        </xdr:cNvPr>
        <xdr:cNvSpPr>
          <a:spLocks noChangeShapeType="1"/>
        </xdr:cNvSpPr>
      </xdr:nvSpPr>
      <xdr:spPr bwMode="auto">
        <a:xfrm flipV="1">
          <a:off x="1238250" y="600075"/>
          <a:ext cx="514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161925</xdr:colOff>
      <xdr:row>3</xdr:row>
      <xdr:rowOff>104775</xdr:rowOff>
    </xdr:from>
    <xdr:to>
      <xdr:col>7</xdr:col>
      <xdr:colOff>666750</xdr:colOff>
      <xdr:row>3</xdr:row>
      <xdr:rowOff>104775</xdr:rowOff>
    </xdr:to>
    <xdr:sp macro="" textlink="">
      <xdr:nvSpPr>
        <xdr:cNvPr id="1104" name="Line 3">
          <a:extLst>
            <a:ext uri="{FF2B5EF4-FFF2-40B4-BE49-F238E27FC236}">
              <a16:creationId xmlns:a16="http://schemas.microsoft.com/office/drawing/2014/main" id="{00000000-0008-0000-0100-000050040000}"/>
            </a:ext>
          </a:extLst>
        </xdr:cNvPr>
        <xdr:cNvSpPr>
          <a:spLocks noChangeShapeType="1"/>
        </xdr:cNvSpPr>
      </xdr:nvSpPr>
      <xdr:spPr bwMode="auto">
        <a:xfrm>
          <a:off x="4619625" y="609600"/>
          <a:ext cx="504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171450</xdr:colOff>
      <xdr:row>3</xdr:row>
      <xdr:rowOff>104775</xdr:rowOff>
    </xdr:from>
    <xdr:to>
      <xdr:col>12</xdr:col>
      <xdr:colOff>609600</xdr:colOff>
      <xdr:row>3</xdr:row>
      <xdr:rowOff>104775</xdr:rowOff>
    </xdr:to>
    <xdr:sp macro="" textlink="">
      <xdr:nvSpPr>
        <xdr:cNvPr id="1105" name="Line 4">
          <a:extLst>
            <a:ext uri="{FF2B5EF4-FFF2-40B4-BE49-F238E27FC236}">
              <a16:creationId xmlns:a16="http://schemas.microsoft.com/office/drawing/2014/main" id="{00000000-0008-0000-0100-000051040000}"/>
            </a:ext>
          </a:extLst>
        </xdr:cNvPr>
        <xdr:cNvSpPr>
          <a:spLocks noChangeShapeType="1"/>
        </xdr:cNvSpPr>
      </xdr:nvSpPr>
      <xdr:spPr bwMode="auto">
        <a:xfrm>
          <a:off x="8105775" y="609600"/>
          <a:ext cx="438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2</xdr:row>
      <xdr:rowOff>171450</xdr:rowOff>
    </xdr:from>
    <xdr:to>
      <xdr:col>25</xdr:col>
      <xdr:colOff>476250</xdr:colOff>
      <xdr:row>30</xdr:row>
      <xdr:rowOff>114300</xdr:rowOff>
    </xdr:to>
    <xdr:graphicFrame macro="">
      <xdr:nvGraphicFramePr>
        <xdr:cNvPr id="1106" name="Chart 5">
          <a:extLst>
            <a:ext uri="{FF2B5EF4-FFF2-40B4-BE49-F238E27FC236}">
              <a16:creationId xmlns:a16="http://schemas.microsoft.com/office/drawing/2014/main" id="{00000000-0008-0000-0100-000052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464820</xdr:colOff>
          <xdr:row>3</xdr:row>
          <xdr:rowOff>83820</xdr:rowOff>
        </xdr:from>
        <xdr:to>
          <xdr:col>10</xdr:col>
          <xdr:colOff>220980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25"/>
  <sheetViews>
    <sheetView topLeftCell="A10" workbookViewId="0">
      <selection activeCell="I18" sqref="I18"/>
    </sheetView>
  </sheetViews>
  <sheetFormatPr defaultColWidth="9.109375" defaultRowHeight="13.2" x14ac:dyDescent="0.25"/>
  <cols>
    <col min="1" max="1" width="3" style="1" customWidth="1"/>
    <col min="2" max="2" width="22" style="1" customWidth="1"/>
    <col min="3" max="3" width="21" style="1" customWidth="1"/>
    <col min="4" max="4" width="10.88671875" style="1" customWidth="1"/>
    <col min="5" max="5" width="15.33203125" style="1" customWidth="1"/>
    <col min="6" max="16384" width="9.109375" style="1"/>
  </cols>
  <sheetData>
    <row r="1" spans="2:9" ht="6" customHeight="1" thickBot="1" x14ac:dyDescent="0.3"/>
    <row r="2" spans="2:9" ht="17.25" customHeight="1" x14ac:dyDescent="0.3">
      <c r="C2" s="116" t="s">
        <v>38</v>
      </c>
      <c r="D2" s="117"/>
      <c r="E2" s="117"/>
      <c r="F2" s="118"/>
    </row>
    <row r="3" spans="2:9" ht="15" customHeight="1" thickBot="1" x14ac:dyDescent="0.35">
      <c r="B3" s="54"/>
      <c r="C3" s="113" t="s">
        <v>33</v>
      </c>
      <c r="D3" s="114"/>
      <c r="E3" s="114"/>
      <c r="F3" s="115"/>
    </row>
    <row r="4" spans="2:9" ht="15" customHeight="1" x14ac:dyDescent="0.3">
      <c r="B4" s="54"/>
      <c r="C4" s="112"/>
      <c r="D4" s="112"/>
      <c r="E4" s="112"/>
      <c r="F4" s="112"/>
    </row>
    <row r="5" spans="2:9" ht="15.6" thickBot="1" x14ac:dyDescent="0.3">
      <c r="B5" s="56"/>
      <c r="C5" s="56"/>
      <c r="D5" s="56"/>
      <c r="E5" s="56"/>
      <c r="F5" s="56"/>
      <c r="G5" s="3"/>
      <c r="H5" s="3"/>
      <c r="I5" s="3"/>
    </row>
    <row r="6" spans="2:9" ht="16.2" thickBot="1" x14ac:dyDescent="0.35">
      <c r="B6" s="57" t="s">
        <v>0</v>
      </c>
      <c r="C6" s="58"/>
      <c r="D6" s="59"/>
      <c r="E6" s="59"/>
      <c r="F6" s="59"/>
      <c r="G6" s="4"/>
      <c r="H6" s="3"/>
      <c r="I6" s="3"/>
    </row>
    <row r="7" spans="2:9" ht="15" x14ac:dyDescent="0.25">
      <c r="B7" s="52" t="s">
        <v>1</v>
      </c>
      <c r="C7" s="60"/>
      <c r="D7" s="61"/>
      <c r="E7" s="59"/>
      <c r="F7" s="62"/>
      <c r="G7" s="4"/>
      <c r="H7" s="3"/>
      <c r="I7" s="3"/>
    </row>
    <row r="8" spans="2:9" ht="15.6" x14ac:dyDescent="0.3">
      <c r="B8" s="63" t="s">
        <v>2</v>
      </c>
      <c r="C8" s="64"/>
      <c r="D8" s="104">
        <v>400</v>
      </c>
      <c r="E8" s="59"/>
      <c r="F8" s="65"/>
      <c r="G8" s="4"/>
      <c r="H8" s="3"/>
      <c r="I8" s="3"/>
    </row>
    <row r="9" spans="2:9" ht="16.2" thickBot="1" x14ac:dyDescent="0.35">
      <c r="B9" s="66" t="s">
        <v>3</v>
      </c>
      <c r="C9" s="64"/>
      <c r="D9" s="105">
        <v>50</v>
      </c>
      <c r="E9" s="59"/>
      <c r="F9" s="65"/>
      <c r="G9" s="4"/>
      <c r="H9" s="3"/>
      <c r="I9" s="3"/>
    </row>
    <row r="10" spans="2:9" ht="15.6" thickBot="1" x14ac:dyDescent="0.3">
      <c r="B10" s="67"/>
      <c r="C10" s="67"/>
      <c r="D10" s="62"/>
      <c r="E10" s="62"/>
      <c r="F10" s="62"/>
      <c r="G10" s="5"/>
      <c r="H10" s="3"/>
      <c r="I10" s="3"/>
    </row>
    <row r="11" spans="2:9" ht="16.2" thickBot="1" x14ac:dyDescent="0.35">
      <c r="B11" s="57" t="s">
        <v>4</v>
      </c>
      <c r="C11" s="58"/>
      <c r="D11" s="59"/>
      <c r="F11" s="59"/>
      <c r="G11" s="4"/>
      <c r="H11" s="3"/>
      <c r="I11" s="3"/>
    </row>
    <row r="12" spans="2:9" ht="15.6" x14ac:dyDescent="0.3">
      <c r="B12" s="68" t="s">
        <v>37</v>
      </c>
      <c r="C12" s="64"/>
      <c r="D12" s="69">
        <v>0.2</v>
      </c>
      <c r="E12" s="103" t="s">
        <v>42</v>
      </c>
      <c r="F12" s="102"/>
      <c r="G12" s="4"/>
      <c r="H12" s="3"/>
      <c r="I12" s="3"/>
    </row>
    <row r="13" spans="2:9" ht="15.6" x14ac:dyDescent="0.3">
      <c r="B13" s="63" t="s">
        <v>16</v>
      </c>
      <c r="C13" s="64"/>
      <c r="D13" s="106">
        <v>300</v>
      </c>
      <c r="E13" s="101"/>
      <c r="F13" s="65"/>
      <c r="G13" s="4"/>
      <c r="H13" s="3"/>
      <c r="I13" s="3"/>
    </row>
    <row r="14" spans="2:9" ht="16.2" thickBot="1" x14ac:dyDescent="0.35">
      <c r="B14" s="66" t="s">
        <v>17</v>
      </c>
      <c r="C14" s="64"/>
      <c r="D14" s="70">
        <v>2</v>
      </c>
      <c r="E14" s="103" t="s">
        <v>43</v>
      </c>
      <c r="F14" s="65"/>
      <c r="G14" s="4"/>
      <c r="H14" s="3"/>
      <c r="I14" s="3"/>
    </row>
    <row r="15" spans="2:9" ht="15.6" thickBot="1" x14ac:dyDescent="0.3">
      <c r="B15" s="67"/>
      <c r="C15" s="67"/>
      <c r="D15" s="62"/>
      <c r="E15" s="62"/>
      <c r="F15" s="62"/>
      <c r="G15" s="5"/>
      <c r="H15" s="3"/>
      <c r="I15" s="3"/>
    </row>
    <row r="16" spans="2:9" ht="16.2" thickBot="1" x14ac:dyDescent="0.35">
      <c r="B16" s="57" t="s">
        <v>5</v>
      </c>
      <c r="C16" s="71"/>
      <c r="D16" s="107">
        <v>800</v>
      </c>
      <c r="E16" s="59"/>
      <c r="F16" s="65"/>
      <c r="G16" s="4"/>
      <c r="H16" s="3"/>
      <c r="I16" s="3"/>
    </row>
    <row r="17" spans="2:9" ht="15.6" thickBot="1" x14ac:dyDescent="0.3">
      <c r="B17" s="56"/>
      <c r="C17" s="56"/>
      <c r="D17" s="56"/>
      <c r="E17" s="56"/>
      <c r="F17" s="59"/>
      <c r="G17" s="4"/>
      <c r="H17" s="3"/>
      <c r="I17" s="3"/>
    </row>
    <row r="18" spans="2:9" ht="16.2" thickBot="1" x14ac:dyDescent="0.35">
      <c r="B18" s="72" t="s">
        <v>6</v>
      </c>
      <c r="C18" s="73"/>
      <c r="D18" s="59"/>
      <c r="E18" s="59"/>
      <c r="F18" s="65"/>
      <c r="G18" s="4"/>
      <c r="H18" s="3"/>
      <c r="I18" s="3"/>
    </row>
    <row r="19" spans="2:9" ht="15.6" thickBot="1" x14ac:dyDescent="0.3">
      <c r="B19" s="74" t="s">
        <v>18</v>
      </c>
      <c r="C19" s="75" t="s">
        <v>19</v>
      </c>
      <c r="D19" s="76" t="s">
        <v>21</v>
      </c>
      <c r="E19" s="77" t="s">
        <v>20</v>
      </c>
      <c r="F19" s="65"/>
      <c r="G19" s="4"/>
      <c r="H19" s="3"/>
      <c r="I19" s="3"/>
    </row>
    <row r="20" spans="2:9" ht="15.6" x14ac:dyDescent="0.3">
      <c r="B20" s="78">
        <v>0</v>
      </c>
      <c r="C20" s="79">
        <f>E20</f>
        <v>0.7</v>
      </c>
      <c r="D20" s="108">
        <v>1</v>
      </c>
      <c r="E20" s="109">
        <v>0.7</v>
      </c>
      <c r="F20" s="56"/>
      <c r="G20" s="3"/>
      <c r="H20" s="3"/>
      <c r="I20" s="3"/>
    </row>
    <row r="21" spans="2:9" ht="15.6" x14ac:dyDescent="0.3">
      <c r="B21" s="80">
        <f>C20</f>
        <v>0.7</v>
      </c>
      <c r="C21" s="81">
        <f>SUM(E20:E21)</f>
        <v>0.89999999999999991</v>
      </c>
      <c r="D21" s="108">
        <v>2</v>
      </c>
      <c r="E21" s="109">
        <v>0.2</v>
      </c>
      <c r="F21" s="56"/>
      <c r="G21" s="3"/>
      <c r="H21" s="3"/>
      <c r="I21" s="3"/>
    </row>
    <row r="22" spans="2:9" ht="16.2" thickBot="1" x14ac:dyDescent="0.35">
      <c r="B22" s="82">
        <f>C21</f>
        <v>0.89999999999999991</v>
      </c>
      <c r="C22" s="83">
        <f>SUM(E20:E22)</f>
        <v>0.99999999999999989</v>
      </c>
      <c r="D22" s="110">
        <v>3</v>
      </c>
      <c r="E22" s="111">
        <v>0.1</v>
      </c>
      <c r="F22" s="54"/>
      <c r="G22" s="4"/>
      <c r="H22" s="6"/>
      <c r="I22" s="4"/>
    </row>
    <row r="23" spans="2:9" x14ac:dyDescent="0.25">
      <c r="B23" s="5"/>
      <c r="C23" s="5"/>
      <c r="D23" s="5"/>
      <c r="E23" s="5"/>
      <c r="G23" s="4"/>
      <c r="H23" s="6"/>
      <c r="I23" s="4"/>
    </row>
    <row r="24" spans="2:9" x14ac:dyDescent="0.25">
      <c r="G24" s="4"/>
      <c r="H24" s="6"/>
      <c r="I24" s="4"/>
    </row>
    <row r="25" spans="2:9" x14ac:dyDescent="0.25">
      <c r="G25" s="4"/>
      <c r="H25" s="6"/>
      <c r="I25" s="4"/>
    </row>
  </sheetData>
  <mergeCells count="2">
    <mergeCell ref="C3:F3"/>
    <mergeCell ref="C2:F2"/>
  </mergeCells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2379"/>
  <sheetViews>
    <sheetView topLeftCell="K1" workbookViewId="0">
      <selection activeCell="AC5" sqref="AC5"/>
    </sheetView>
  </sheetViews>
  <sheetFormatPr defaultColWidth="9.109375" defaultRowHeight="13.2" x14ac:dyDescent="0.25"/>
  <cols>
    <col min="1" max="1" width="6.109375" style="1" customWidth="1"/>
    <col min="2" max="2" width="11.33203125" style="1" customWidth="1"/>
    <col min="3" max="3" width="9.88671875" style="1" customWidth="1"/>
    <col min="4" max="4" width="10.44140625" style="1" customWidth="1"/>
    <col min="5" max="5" width="9.88671875" style="1" customWidth="1"/>
    <col min="6" max="6" width="10.44140625" style="1" customWidth="1"/>
    <col min="7" max="7" width="8.88671875" style="1" customWidth="1"/>
    <col min="8" max="8" width="11.109375" style="1" customWidth="1"/>
    <col min="9" max="9" width="11" style="2" customWidth="1"/>
    <col min="10" max="12" width="10" style="1" customWidth="1"/>
    <col min="13" max="13" width="10.33203125" style="1" customWidth="1"/>
    <col min="14" max="14" width="11.33203125" style="1" customWidth="1"/>
    <col min="15" max="16384" width="9.109375" style="1"/>
  </cols>
  <sheetData>
    <row r="1" spans="1:14" ht="5.25" customHeight="1" thickBot="1" x14ac:dyDescent="0.3"/>
    <row r="2" spans="1:14" ht="18" customHeight="1" thickBot="1" x14ac:dyDescent="0.35">
      <c r="A2" s="122" t="s">
        <v>39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4"/>
    </row>
    <row r="3" spans="1:14" ht="16.5" customHeight="1" thickBot="1" x14ac:dyDescent="0.3"/>
    <row r="4" spans="1:14" ht="16.2" thickBot="1" x14ac:dyDescent="0.35">
      <c r="A4" s="28" t="s">
        <v>22</v>
      </c>
      <c r="B4" s="29"/>
      <c r="C4" s="29"/>
      <c r="D4" s="30">
        <v>1400</v>
      </c>
      <c r="E4" s="29"/>
      <c r="F4" s="31" t="s">
        <v>29</v>
      </c>
      <c r="G4" s="29"/>
      <c r="H4" s="29"/>
      <c r="I4" s="32">
        <v>1800</v>
      </c>
      <c r="J4" s="33" t="s">
        <v>34</v>
      </c>
      <c r="K4" s="34"/>
      <c r="L4" s="29"/>
      <c r="M4" s="29"/>
      <c r="N4" s="35">
        <f ca="1">N2008</f>
        <v>335.74659999999989</v>
      </c>
    </row>
    <row r="5" spans="1:14" ht="13.8" thickBot="1" x14ac:dyDescent="0.3">
      <c r="A5" s="23"/>
      <c r="B5" s="24"/>
      <c r="C5" s="24"/>
      <c r="D5" s="24"/>
      <c r="E5" s="24"/>
      <c r="F5" s="24"/>
      <c r="G5" s="24"/>
      <c r="H5" s="24"/>
      <c r="I5" s="25">
        <v>1</v>
      </c>
      <c r="J5" s="24"/>
      <c r="K5" s="26"/>
      <c r="L5" s="26"/>
      <c r="M5" s="24"/>
      <c r="N5" s="27"/>
    </row>
    <row r="6" spans="1:14" ht="13.8" thickBot="1" x14ac:dyDescent="0.3">
      <c r="A6" s="18"/>
      <c r="B6" s="18" t="s">
        <v>7</v>
      </c>
      <c r="C6" s="18"/>
      <c r="D6" s="18" t="s">
        <v>9</v>
      </c>
      <c r="E6" s="19"/>
      <c r="F6" s="18" t="s">
        <v>11</v>
      </c>
      <c r="G6" s="18"/>
      <c r="H6" s="18" t="s">
        <v>12</v>
      </c>
      <c r="I6" s="20"/>
      <c r="J6" s="119" t="s">
        <v>24</v>
      </c>
      <c r="K6" s="120"/>
      <c r="L6" s="120"/>
      <c r="M6" s="120"/>
      <c r="N6" s="121"/>
    </row>
    <row r="7" spans="1:14" ht="13.8" thickBot="1" x14ac:dyDescent="0.3">
      <c r="A7" s="21" t="s">
        <v>36</v>
      </c>
      <c r="B7" s="21" t="s">
        <v>8</v>
      </c>
      <c r="C7" s="21" t="s">
        <v>25</v>
      </c>
      <c r="D7" s="21" t="s">
        <v>10</v>
      </c>
      <c r="E7" s="17" t="s">
        <v>10</v>
      </c>
      <c r="F7" s="21" t="s">
        <v>8</v>
      </c>
      <c r="G7" s="21" t="s">
        <v>28</v>
      </c>
      <c r="H7" s="21" t="s">
        <v>9</v>
      </c>
      <c r="I7" s="22" t="s">
        <v>12</v>
      </c>
      <c r="J7" s="7" t="s">
        <v>13</v>
      </c>
      <c r="K7" s="7" t="s">
        <v>14</v>
      </c>
      <c r="L7" s="7" t="s">
        <v>15</v>
      </c>
      <c r="M7" s="7" t="s">
        <v>26</v>
      </c>
      <c r="N7" s="7" t="s">
        <v>27</v>
      </c>
    </row>
    <row r="8" spans="1:14" ht="13.8" thickBot="1" x14ac:dyDescent="0.3">
      <c r="A8" s="46"/>
      <c r="B8" s="47"/>
      <c r="C8" s="47"/>
      <c r="D8" s="47"/>
      <c r="E8" s="47"/>
      <c r="F8" s="47"/>
      <c r="G8" s="47"/>
      <c r="H8" s="47"/>
      <c r="I8" s="48"/>
      <c r="J8" s="47"/>
      <c r="K8" s="47"/>
      <c r="L8" s="47"/>
      <c r="M8" s="49"/>
      <c r="N8" s="50"/>
    </row>
    <row r="9" spans="1:14" x14ac:dyDescent="0.25">
      <c r="A9" s="37">
        <v>1</v>
      </c>
      <c r="B9" s="38">
        <f>Beg_Inv</f>
        <v>800</v>
      </c>
      <c r="C9" s="39">
        <v>0</v>
      </c>
      <c r="D9" s="40">
        <f ca="1">RAND()</f>
        <v>6.3552458985116966E-2</v>
      </c>
      <c r="E9" s="38">
        <f ca="1">INT(NORMINV(D9,D_Mean,D_StdDev))</f>
        <v>323</v>
      </c>
      <c r="F9" s="38">
        <f ca="1">IF(B9+C9-E9&lt;0,0,B9-E9)</f>
        <v>477</v>
      </c>
      <c r="G9" s="41" t="str">
        <f>IF(B9&lt;Point,"Yes","No")</f>
        <v>Yes</v>
      </c>
      <c r="H9" s="41">
        <f ca="1">IF(G9="Yes",RAND(),0)</f>
        <v>0.46151814423755644</v>
      </c>
      <c r="I9" s="39">
        <f ca="1">IF(G9="Yes",(VLOOKUP(H9,LTD,3)),0)</f>
        <v>1</v>
      </c>
      <c r="J9" s="42">
        <f>IF(G9="Yes",Order_Cost,0)</f>
        <v>300</v>
      </c>
      <c r="K9" s="43">
        <f ca="1">F9*Holding_Cost</f>
        <v>95.4</v>
      </c>
      <c r="L9" s="43">
        <f ca="1">IF(B9+C9&lt;E9,Shortage_Cost*(E9-B9-C9),0)</f>
        <v>0</v>
      </c>
      <c r="M9" s="44">
        <f ca="1">SUM(J9:L9)</f>
        <v>395.4</v>
      </c>
      <c r="N9" s="45">
        <f ca="1">M9/A9</f>
        <v>395.4</v>
      </c>
    </row>
    <row r="10" spans="1:14" x14ac:dyDescent="0.25">
      <c r="A10" s="8">
        <v>2</v>
      </c>
      <c r="B10" s="9">
        <f ca="1">IF(I9=1,F9+Quantity,F9)</f>
        <v>2277</v>
      </c>
      <c r="C10" s="10">
        <f ca="1">IF(I9=1,Quantity,0)</f>
        <v>1800</v>
      </c>
      <c r="D10" s="11">
        <f t="shared" ref="D10:D73" ca="1" si="0">RAND()</f>
        <v>0.94016142906050248</v>
      </c>
      <c r="E10" s="9">
        <f t="shared" ref="E10:E73" ca="1" si="1">INT(NORMINV(D10,D_Mean,D_StdDev))</f>
        <v>477</v>
      </c>
      <c r="F10" s="9">
        <f ca="1">IF(B10+C10-E10&lt;0,0,B10-E10)</f>
        <v>1800</v>
      </c>
      <c r="G10" s="12" t="str">
        <f ca="1">IF(B10&lt;Point,IF(I9=0,"Yes","No"),"No")</f>
        <v>No</v>
      </c>
      <c r="H10" s="12">
        <f t="shared" ref="H10:H73" ca="1" si="2">IF(G10="Yes",RAND(),0)</f>
        <v>0</v>
      </c>
      <c r="I10" s="10">
        <f ca="1">IF(I9&gt;0,I9-1,(IF(G10="Yes",(VLOOKUP(H10,LTD,3)),0)))</f>
        <v>0</v>
      </c>
      <c r="J10" s="13">
        <f ca="1">IF(G10="Yes",Order_Cost,0)</f>
        <v>0</v>
      </c>
      <c r="K10" s="14">
        <f t="shared" ref="K10:K18" ca="1" si="3">F10*Holding_Cost</f>
        <v>360</v>
      </c>
      <c r="L10" s="14">
        <f t="shared" ref="L10:L18" ca="1" si="4">IF(B10+C10&lt;E10,Shortage_Cost*(E10-B10-C10),0)</f>
        <v>0</v>
      </c>
      <c r="M10" s="15">
        <f t="shared" ref="M10:M18" ca="1" si="5">SUM(J10:L10)</f>
        <v>360</v>
      </c>
      <c r="N10" s="16">
        <f ca="1">SUM($M$9:M10)/A10</f>
        <v>377.7</v>
      </c>
    </row>
    <row r="11" spans="1:14" x14ac:dyDescent="0.25">
      <c r="A11" s="8">
        <v>3</v>
      </c>
      <c r="B11" s="9">
        <f t="shared" ref="B11:B74" ca="1" si="6">IF(I10=1,F10+Quantity,F10)</f>
        <v>1800</v>
      </c>
      <c r="C11" s="10">
        <f t="shared" ref="C11:C74" ca="1" si="7">IF(I10=1,Quantity,0)</f>
        <v>0</v>
      </c>
      <c r="D11" s="11">
        <f t="shared" ca="1" si="0"/>
        <v>1.6023409064348848E-2</v>
      </c>
      <c r="E11" s="9">
        <f t="shared" ca="1" si="1"/>
        <v>292</v>
      </c>
      <c r="F11" s="9">
        <f t="shared" ref="F11:F74" ca="1" si="8">IF(B11+C11-E11&lt;0,0,B11-E11)</f>
        <v>1508</v>
      </c>
      <c r="G11" s="12" t="str">
        <f ca="1">IF(B11&lt;Point,IF(I10=0,"Yes","No"),"No")</f>
        <v>No</v>
      </c>
      <c r="H11" s="12">
        <f t="shared" ca="1" si="2"/>
        <v>0</v>
      </c>
      <c r="I11" s="10">
        <f t="shared" ref="I11:I21" ca="1" si="9">IF(I10&gt;0,I10-1,(IF(G11="Yes",(VLOOKUP(H11,LTD,3)),0)))</f>
        <v>0</v>
      </c>
      <c r="J11" s="13">
        <f t="shared" ref="J11:J21" ca="1" si="10">IF(G11="Yes",Order_Cost,0)</f>
        <v>0</v>
      </c>
      <c r="K11" s="14">
        <f t="shared" ca="1" si="3"/>
        <v>301.60000000000002</v>
      </c>
      <c r="L11" s="14">
        <f t="shared" ca="1" si="4"/>
        <v>0</v>
      </c>
      <c r="M11" s="15">
        <f t="shared" ca="1" si="5"/>
        <v>301.60000000000002</v>
      </c>
      <c r="N11" s="16">
        <f ca="1">SUM($M$9:M11)/A11</f>
        <v>352.33333333333331</v>
      </c>
    </row>
    <row r="12" spans="1:14" x14ac:dyDescent="0.25">
      <c r="A12" s="8">
        <v>4</v>
      </c>
      <c r="B12" s="9">
        <f t="shared" ca="1" si="6"/>
        <v>1508</v>
      </c>
      <c r="C12" s="10">
        <f t="shared" ca="1" si="7"/>
        <v>0</v>
      </c>
      <c r="D12" s="11">
        <f t="shared" ca="1" si="0"/>
        <v>0.44661345628670734</v>
      </c>
      <c r="E12" s="9">
        <f t="shared" ca="1" si="1"/>
        <v>393</v>
      </c>
      <c r="F12" s="9">
        <f t="shared" ca="1" si="8"/>
        <v>1115</v>
      </c>
      <c r="G12" s="12" t="str">
        <f t="shared" ref="G12:G75" ca="1" si="11">IF(B12&lt;Point,IF(I11=0,"Yes","No"),"No")</f>
        <v>No</v>
      </c>
      <c r="H12" s="12">
        <f t="shared" ca="1" si="2"/>
        <v>0</v>
      </c>
      <c r="I12" s="10">
        <f t="shared" ca="1" si="9"/>
        <v>0</v>
      </c>
      <c r="J12" s="13">
        <f t="shared" ca="1" si="10"/>
        <v>0</v>
      </c>
      <c r="K12" s="14">
        <f t="shared" ca="1" si="3"/>
        <v>223</v>
      </c>
      <c r="L12" s="14">
        <f t="shared" ca="1" si="4"/>
        <v>0</v>
      </c>
      <c r="M12" s="15">
        <f t="shared" ca="1" si="5"/>
        <v>223</v>
      </c>
      <c r="N12" s="16">
        <f ca="1">SUM($M$9:M12)/A12</f>
        <v>320</v>
      </c>
    </row>
    <row r="13" spans="1:14" x14ac:dyDescent="0.25">
      <c r="A13" s="8">
        <v>5</v>
      </c>
      <c r="B13" s="9">
        <f t="shared" ca="1" si="6"/>
        <v>1115</v>
      </c>
      <c r="C13" s="10">
        <f t="shared" ca="1" si="7"/>
        <v>0</v>
      </c>
      <c r="D13" s="11">
        <f t="shared" ca="1" si="0"/>
        <v>0.416184418638742</v>
      </c>
      <c r="E13" s="9">
        <f t="shared" ca="1" si="1"/>
        <v>389</v>
      </c>
      <c r="F13" s="9">
        <f t="shared" ca="1" si="8"/>
        <v>726</v>
      </c>
      <c r="G13" s="12" t="str">
        <f t="shared" ca="1" si="11"/>
        <v>Yes</v>
      </c>
      <c r="H13" s="12">
        <f t="shared" ca="1" si="2"/>
        <v>8.3271520151205203E-2</v>
      </c>
      <c r="I13" s="10">
        <f t="shared" ca="1" si="9"/>
        <v>1</v>
      </c>
      <c r="J13" s="13">
        <f t="shared" ca="1" si="10"/>
        <v>300</v>
      </c>
      <c r="K13" s="14">
        <f t="shared" ca="1" si="3"/>
        <v>145.20000000000002</v>
      </c>
      <c r="L13" s="14">
        <f t="shared" ca="1" si="4"/>
        <v>0</v>
      </c>
      <c r="M13" s="15">
        <f t="shared" ca="1" si="5"/>
        <v>445.20000000000005</v>
      </c>
      <c r="N13" s="16">
        <f ca="1">SUM($M$9:M13)/A13</f>
        <v>345.04</v>
      </c>
    </row>
    <row r="14" spans="1:14" x14ac:dyDescent="0.25">
      <c r="A14" s="8">
        <v>6</v>
      </c>
      <c r="B14" s="9">
        <f t="shared" ca="1" si="6"/>
        <v>2526</v>
      </c>
      <c r="C14" s="10">
        <f t="shared" ca="1" si="7"/>
        <v>1800</v>
      </c>
      <c r="D14" s="11">
        <f t="shared" ca="1" si="0"/>
        <v>0.65791236013766685</v>
      </c>
      <c r="E14" s="9">
        <f t="shared" ca="1" si="1"/>
        <v>420</v>
      </c>
      <c r="F14" s="9">
        <f t="shared" ca="1" si="8"/>
        <v>2106</v>
      </c>
      <c r="G14" s="12" t="str">
        <f t="shared" ca="1" si="11"/>
        <v>No</v>
      </c>
      <c r="H14" s="12">
        <f t="shared" ca="1" si="2"/>
        <v>0</v>
      </c>
      <c r="I14" s="10">
        <f t="shared" ca="1" si="9"/>
        <v>0</v>
      </c>
      <c r="J14" s="13">
        <f t="shared" ca="1" si="10"/>
        <v>0</v>
      </c>
      <c r="K14" s="14">
        <f t="shared" ca="1" si="3"/>
        <v>421.20000000000005</v>
      </c>
      <c r="L14" s="14">
        <f t="shared" ca="1" si="4"/>
        <v>0</v>
      </c>
      <c r="M14" s="15">
        <f t="shared" ca="1" si="5"/>
        <v>421.20000000000005</v>
      </c>
      <c r="N14" s="16">
        <f ca="1">SUM($M$9:M14)/A14</f>
        <v>357.73333333333335</v>
      </c>
    </row>
    <row r="15" spans="1:14" x14ac:dyDescent="0.25">
      <c r="A15" s="8">
        <v>7</v>
      </c>
      <c r="B15" s="9">
        <f t="shared" ca="1" si="6"/>
        <v>2106</v>
      </c>
      <c r="C15" s="10">
        <f t="shared" ca="1" si="7"/>
        <v>0</v>
      </c>
      <c r="D15" s="11">
        <f t="shared" ca="1" si="0"/>
        <v>0.64561947342852277</v>
      </c>
      <c r="E15" s="9">
        <f t="shared" ca="1" si="1"/>
        <v>418</v>
      </c>
      <c r="F15" s="9">
        <f t="shared" ca="1" si="8"/>
        <v>1688</v>
      </c>
      <c r="G15" s="12" t="str">
        <f t="shared" ca="1" si="11"/>
        <v>No</v>
      </c>
      <c r="H15" s="12">
        <f t="shared" ca="1" si="2"/>
        <v>0</v>
      </c>
      <c r="I15" s="10">
        <f t="shared" ca="1" si="9"/>
        <v>0</v>
      </c>
      <c r="J15" s="13">
        <f t="shared" ca="1" si="10"/>
        <v>0</v>
      </c>
      <c r="K15" s="14">
        <f t="shared" ca="1" si="3"/>
        <v>337.6</v>
      </c>
      <c r="L15" s="14">
        <f t="shared" ca="1" si="4"/>
        <v>0</v>
      </c>
      <c r="M15" s="15">
        <f t="shared" ca="1" si="5"/>
        <v>337.6</v>
      </c>
      <c r="N15" s="16">
        <f ca="1">SUM($M$9:M15)/A15</f>
        <v>354.85714285714283</v>
      </c>
    </row>
    <row r="16" spans="1:14" x14ac:dyDescent="0.25">
      <c r="A16" s="8">
        <v>8</v>
      </c>
      <c r="B16" s="9">
        <f t="shared" ca="1" si="6"/>
        <v>1688</v>
      </c>
      <c r="C16" s="10">
        <f t="shared" ca="1" si="7"/>
        <v>0</v>
      </c>
      <c r="D16" s="11">
        <f t="shared" ca="1" si="0"/>
        <v>0.67839678188114605</v>
      </c>
      <c r="E16" s="9">
        <f t="shared" ca="1" si="1"/>
        <v>423</v>
      </c>
      <c r="F16" s="9">
        <f t="shared" ca="1" si="8"/>
        <v>1265</v>
      </c>
      <c r="G16" s="12" t="str">
        <f t="shared" ca="1" si="11"/>
        <v>No</v>
      </c>
      <c r="H16" s="12">
        <f t="shared" ca="1" si="2"/>
        <v>0</v>
      </c>
      <c r="I16" s="10">
        <f t="shared" ca="1" si="9"/>
        <v>0</v>
      </c>
      <c r="J16" s="13">
        <f t="shared" ca="1" si="10"/>
        <v>0</v>
      </c>
      <c r="K16" s="14">
        <f t="shared" ca="1" si="3"/>
        <v>253</v>
      </c>
      <c r="L16" s="14">
        <f t="shared" ca="1" si="4"/>
        <v>0</v>
      </c>
      <c r="M16" s="15">
        <f t="shared" ca="1" si="5"/>
        <v>253</v>
      </c>
      <c r="N16" s="16">
        <f ca="1">SUM($M$9:M16)/A16</f>
        <v>342.125</v>
      </c>
    </row>
    <row r="17" spans="1:14" x14ac:dyDescent="0.25">
      <c r="A17" s="8">
        <v>9</v>
      </c>
      <c r="B17" s="9">
        <f t="shared" ca="1" si="6"/>
        <v>1265</v>
      </c>
      <c r="C17" s="10">
        <f t="shared" ca="1" si="7"/>
        <v>0</v>
      </c>
      <c r="D17" s="11">
        <f t="shared" ca="1" si="0"/>
        <v>1.358165837576919E-2</v>
      </c>
      <c r="E17" s="9">
        <f t="shared" ca="1" si="1"/>
        <v>289</v>
      </c>
      <c r="F17" s="9">
        <f t="shared" ca="1" si="8"/>
        <v>976</v>
      </c>
      <c r="G17" s="12" t="str">
        <f t="shared" ca="1" si="11"/>
        <v>Yes</v>
      </c>
      <c r="H17" s="12">
        <f t="shared" ca="1" si="2"/>
        <v>0.80072003000231495</v>
      </c>
      <c r="I17" s="10">
        <f t="shared" ca="1" si="9"/>
        <v>2</v>
      </c>
      <c r="J17" s="13">
        <f t="shared" ca="1" si="10"/>
        <v>300</v>
      </c>
      <c r="K17" s="14">
        <f t="shared" ca="1" si="3"/>
        <v>195.20000000000002</v>
      </c>
      <c r="L17" s="14">
        <f t="shared" ca="1" si="4"/>
        <v>0</v>
      </c>
      <c r="M17" s="15">
        <f t="shared" ca="1" si="5"/>
        <v>495.20000000000005</v>
      </c>
      <c r="N17" s="16">
        <f ca="1">SUM($M$9:M17)/A17</f>
        <v>359.13333333333333</v>
      </c>
    </row>
    <row r="18" spans="1:14" x14ac:dyDescent="0.25">
      <c r="A18" s="8">
        <v>10</v>
      </c>
      <c r="B18" s="9">
        <f t="shared" ca="1" si="6"/>
        <v>976</v>
      </c>
      <c r="C18" s="10">
        <f t="shared" ca="1" si="7"/>
        <v>0</v>
      </c>
      <c r="D18" s="11">
        <f t="shared" ca="1" si="0"/>
        <v>8.7465823498800943E-2</v>
      </c>
      <c r="E18" s="9">
        <f t="shared" ca="1" si="1"/>
        <v>332</v>
      </c>
      <c r="F18" s="9">
        <f t="shared" ca="1" si="8"/>
        <v>644</v>
      </c>
      <c r="G18" s="12" t="str">
        <f t="shared" ca="1" si="11"/>
        <v>No</v>
      </c>
      <c r="H18" s="12">
        <f t="shared" ca="1" si="2"/>
        <v>0</v>
      </c>
      <c r="I18" s="10">
        <f t="shared" ca="1" si="9"/>
        <v>1</v>
      </c>
      <c r="J18" s="13">
        <f t="shared" ca="1" si="10"/>
        <v>0</v>
      </c>
      <c r="K18" s="14">
        <f t="shared" ca="1" si="3"/>
        <v>128.80000000000001</v>
      </c>
      <c r="L18" s="14">
        <f t="shared" ca="1" si="4"/>
        <v>0</v>
      </c>
      <c r="M18" s="15">
        <f t="shared" ca="1" si="5"/>
        <v>128.80000000000001</v>
      </c>
      <c r="N18" s="16">
        <f ca="1">SUM($M$9:M18)/A18</f>
        <v>336.1</v>
      </c>
    </row>
    <row r="19" spans="1:14" x14ac:dyDescent="0.25">
      <c r="A19" s="8">
        <v>11</v>
      </c>
      <c r="B19" s="9">
        <f t="shared" ca="1" si="6"/>
        <v>2444</v>
      </c>
      <c r="C19" s="10">
        <f t="shared" ca="1" si="7"/>
        <v>1800</v>
      </c>
      <c r="D19" s="11">
        <f t="shared" ca="1" si="0"/>
        <v>0.86986460382905151</v>
      </c>
      <c r="E19" s="9">
        <f t="shared" ca="1" si="1"/>
        <v>456</v>
      </c>
      <c r="F19" s="9">
        <f t="shared" ca="1" si="8"/>
        <v>1988</v>
      </c>
      <c r="G19" s="12" t="str">
        <f t="shared" ca="1" si="11"/>
        <v>No</v>
      </c>
      <c r="H19" s="12">
        <f t="shared" ca="1" si="2"/>
        <v>0</v>
      </c>
      <c r="I19" s="10">
        <f t="shared" ca="1" si="9"/>
        <v>0</v>
      </c>
      <c r="J19" s="13">
        <f t="shared" ca="1" si="10"/>
        <v>0</v>
      </c>
      <c r="K19" s="14">
        <f ca="1">F19*Holding_Cost</f>
        <v>397.6</v>
      </c>
      <c r="L19" s="14">
        <f ca="1">IF(B19+C19&lt;E19,Shortage_Cost*(E19-B19-C19),0)</f>
        <v>0</v>
      </c>
      <c r="M19" s="15">
        <f ca="1">SUM(J19:L19)</f>
        <v>397.6</v>
      </c>
      <c r="N19" s="16">
        <f ca="1">SUM($M$9:M19)/A19</f>
        <v>341.69090909090909</v>
      </c>
    </row>
    <row r="20" spans="1:14" x14ac:dyDescent="0.25">
      <c r="A20" s="8">
        <v>12</v>
      </c>
      <c r="B20" s="9">
        <f t="shared" ca="1" si="6"/>
        <v>1988</v>
      </c>
      <c r="C20" s="10">
        <f t="shared" ca="1" si="7"/>
        <v>0</v>
      </c>
      <c r="D20" s="11">
        <f t="shared" ca="1" si="0"/>
        <v>0.35294909159896137</v>
      </c>
      <c r="E20" s="9">
        <f t="shared" ca="1" si="1"/>
        <v>381</v>
      </c>
      <c r="F20" s="9">
        <f t="shared" ca="1" si="8"/>
        <v>1607</v>
      </c>
      <c r="G20" s="12" t="str">
        <f t="shared" ca="1" si="11"/>
        <v>No</v>
      </c>
      <c r="H20" s="12">
        <f t="shared" ca="1" si="2"/>
        <v>0</v>
      </c>
      <c r="I20" s="10">
        <f t="shared" ca="1" si="9"/>
        <v>0</v>
      </c>
      <c r="J20" s="13">
        <f t="shared" ca="1" si="10"/>
        <v>0</v>
      </c>
      <c r="K20" s="14">
        <f ca="1">F20*Holding_Cost</f>
        <v>321.40000000000003</v>
      </c>
      <c r="L20" s="14">
        <f ca="1">IF(B20+C20&lt;E20,Shortage_Cost*(E20-B20-C20),0)</f>
        <v>0</v>
      </c>
      <c r="M20" s="15">
        <f ca="1">SUM(J20:L20)</f>
        <v>321.40000000000003</v>
      </c>
      <c r="N20" s="16">
        <f ca="1">SUM($M$9:M20)/A20</f>
        <v>340</v>
      </c>
    </row>
    <row r="21" spans="1:14" x14ac:dyDescent="0.25">
      <c r="A21" s="8">
        <v>13</v>
      </c>
      <c r="B21" s="9">
        <f t="shared" ca="1" si="6"/>
        <v>1607</v>
      </c>
      <c r="C21" s="10">
        <f t="shared" ca="1" si="7"/>
        <v>0</v>
      </c>
      <c r="D21" s="11">
        <f t="shared" ca="1" si="0"/>
        <v>6.4053052947238842E-2</v>
      </c>
      <c r="E21" s="9">
        <f t="shared" ca="1" si="1"/>
        <v>323</v>
      </c>
      <c r="F21" s="9">
        <f t="shared" ca="1" si="8"/>
        <v>1284</v>
      </c>
      <c r="G21" s="12" t="str">
        <f t="shared" ca="1" si="11"/>
        <v>No</v>
      </c>
      <c r="H21" s="12">
        <f t="shared" ca="1" si="2"/>
        <v>0</v>
      </c>
      <c r="I21" s="10">
        <f t="shared" ca="1" si="9"/>
        <v>0</v>
      </c>
      <c r="J21" s="13">
        <f t="shared" ca="1" si="10"/>
        <v>0</v>
      </c>
      <c r="K21" s="14">
        <f ca="1">F21*Holding_Cost</f>
        <v>256.8</v>
      </c>
      <c r="L21" s="14">
        <f ca="1">IF(B21+C21&lt;E21,Shortage_Cost*(E21-B21-C21),0)</f>
        <v>0</v>
      </c>
      <c r="M21" s="15">
        <f ca="1">SUM(J21:L21)</f>
        <v>256.8</v>
      </c>
      <c r="N21" s="16">
        <f ca="1">SUM($M$9:M21)/A21</f>
        <v>333.6</v>
      </c>
    </row>
    <row r="22" spans="1:14" x14ac:dyDescent="0.25">
      <c r="A22" s="8">
        <v>14</v>
      </c>
      <c r="B22" s="9">
        <f t="shared" ca="1" si="6"/>
        <v>1284</v>
      </c>
      <c r="C22" s="10">
        <f t="shared" ca="1" si="7"/>
        <v>0</v>
      </c>
      <c r="D22" s="11">
        <f t="shared" ca="1" si="0"/>
        <v>0.81683439962207693</v>
      </c>
      <c r="E22" s="9">
        <f t="shared" ca="1" si="1"/>
        <v>445</v>
      </c>
      <c r="F22" s="9">
        <f t="shared" ca="1" si="8"/>
        <v>839</v>
      </c>
      <c r="G22" s="12" t="str">
        <f t="shared" ca="1" si="11"/>
        <v>Yes</v>
      </c>
      <c r="H22" s="12">
        <f t="shared" ca="1" si="2"/>
        <v>3.8195755781274987E-2</v>
      </c>
      <c r="I22" s="10">
        <f t="shared" ref="I22:I85" ca="1" si="12">IF(I21&gt;0,I21-1,(IF(G22="Yes",(VLOOKUP(H22,LTD,3)),0)))</f>
        <v>1</v>
      </c>
      <c r="J22" s="13">
        <f t="shared" ref="J22:J85" ca="1" si="13">IF(G22="Yes",Order_Cost,0)</f>
        <v>300</v>
      </c>
      <c r="K22" s="14">
        <f t="shared" ref="K22:K85" ca="1" si="14">F22*Holding_Cost</f>
        <v>167.8</v>
      </c>
      <c r="L22" s="14">
        <f t="shared" ref="L22:L85" ca="1" si="15">IF(B22+C22&lt;E22,Shortage_Cost*(E22-B22-C22),0)</f>
        <v>0</v>
      </c>
      <c r="M22" s="15">
        <f t="shared" ref="M22:M85" ca="1" si="16">SUM(J22:L22)</f>
        <v>467.8</v>
      </c>
      <c r="N22" s="16">
        <f ca="1">SUM($M$9:M22)/A22</f>
        <v>343.18571428571431</v>
      </c>
    </row>
    <row r="23" spans="1:14" x14ac:dyDescent="0.25">
      <c r="A23" s="8">
        <v>15</v>
      </c>
      <c r="B23" s="9">
        <f t="shared" ca="1" si="6"/>
        <v>2639</v>
      </c>
      <c r="C23" s="10">
        <f t="shared" ca="1" si="7"/>
        <v>1800</v>
      </c>
      <c r="D23" s="11">
        <f t="shared" ca="1" si="0"/>
        <v>0.60634452906069702</v>
      </c>
      <c r="E23" s="9">
        <f t="shared" ca="1" si="1"/>
        <v>413</v>
      </c>
      <c r="F23" s="9">
        <f t="shared" ca="1" si="8"/>
        <v>2226</v>
      </c>
      <c r="G23" s="12" t="str">
        <f t="shared" ca="1" si="11"/>
        <v>No</v>
      </c>
      <c r="H23" s="12">
        <f t="shared" ca="1" si="2"/>
        <v>0</v>
      </c>
      <c r="I23" s="10">
        <f t="shared" ca="1" si="12"/>
        <v>0</v>
      </c>
      <c r="J23" s="13">
        <f t="shared" ca="1" si="13"/>
        <v>0</v>
      </c>
      <c r="K23" s="14">
        <f t="shared" ca="1" si="14"/>
        <v>445.20000000000005</v>
      </c>
      <c r="L23" s="14">
        <f t="shared" ca="1" si="15"/>
        <v>0</v>
      </c>
      <c r="M23" s="15">
        <f t="shared" ca="1" si="16"/>
        <v>445.20000000000005</v>
      </c>
      <c r="N23" s="16">
        <f ca="1">SUM($M$9:M23)/A23</f>
        <v>349.98666666666668</v>
      </c>
    </row>
    <row r="24" spans="1:14" x14ac:dyDescent="0.25">
      <c r="A24" s="8">
        <v>16</v>
      </c>
      <c r="B24" s="9">
        <f t="shared" ca="1" si="6"/>
        <v>2226</v>
      </c>
      <c r="C24" s="10">
        <f t="shared" ca="1" si="7"/>
        <v>0</v>
      </c>
      <c r="D24" s="11">
        <f t="shared" ca="1" si="0"/>
        <v>0.81136210720263613</v>
      </c>
      <c r="E24" s="9">
        <f t="shared" ca="1" si="1"/>
        <v>444</v>
      </c>
      <c r="F24" s="9">
        <f t="shared" ca="1" si="8"/>
        <v>1782</v>
      </c>
      <c r="G24" s="12" t="str">
        <f t="shared" ca="1" si="11"/>
        <v>No</v>
      </c>
      <c r="H24" s="12">
        <f t="shared" ca="1" si="2"/>
        <v>0</v>
      </c>
      <c r="I24" s="10">
        <f t="shared" ca="1" si="12"/>
        <v>0</v>
      </c>
      <c r="J24" s="13">
        <f t="shared" ca="1" si="13"/>
        <v>0</v>
      </c>
      <c r="K24" s="14">
        <f t="shared" ca="1" si="14"/>
        <v>356.40000000000003</v>
      </c>
      <c r="L24" s="14">
        <f t="shared" ca="1" si="15"/>
        <v>0</v>
      </c>
      <c r="M24" s="15">
        <f t="shared" ca="1" si="16"/>
        <v>356.40000000000003</v>
      </c>
      <c r="N24" s="16">
        <f ca="1">SUM($M$9:M24)/A24</f>
        <v>350.38749999999999</v>
      </c>
    </row>
    <row r="25" spans="1:14" x14ac:dyDescent="0.25">
      <c r="A25" s="8">
        <v>17</v>
      </c>
      <c r="B25" s="9">
        <f t="shared" ca="1" si="6"/>
        <v>1782</v>
      </c>
      <c r="C25" s="10">
        <f t="shared" ca="1" si="7"/>
        <v>0</v>
      </c>
      <c r="D25" s="11">
        <f t="shared" ca="1" si="0"/>
        <v>0.45139194307021446</v>
      </c>
      <c r="E25" s="9">
        <f t="shared" ca="1" si="1"/>
        <v>393</v>
      </c>
      <c r="F25" s="9">
        <f t="shared" ca="1" si="8"/>
        <v>1389</v>
      </c>
      <c r="G25" s="12" t="str">
        <f t="shared" ca="1" si="11"/>
        <v>No</v>
      </c>
      <c r="H25" s="12">
        <f t="shared" ca="1" si="2"/>
        <v>0</v>
      </c>
      <c r="I25" s="10">
        <f t="shared" ca="1" si="12"/>
        <v>0</v>
      </c>
      <c r="J25" s="13">
        <f t="shared" ca="1" si="13"/>
        <v>0</v>
      </c>
      <c r="K25" s="14">
        <f t="shared" ca="1" si="14"/>
        <v>277.8</v>
      </c>
      <c r="L25" s="14">
        <f t="shared" ca="1" si="15"/>
        <v>0</v>
      </c>
      <c r="M25" s="15">
        <f t="shared" ca="1" si="16"/>
        <v>277.8</v>
      </c>
      <c r="N25" s="16">
        <f ca="1">SUM($M$9:M25)/A25</f>
        <v>346.11764705882354</v>
      </c>
    </row>
    <row r="26" spans="1:14" x14ac:dyDescent="0.25">
      <c r="A26" s="8">
        <v>18</v>
      </c>
      <c r="B26" s="9">
        <f t="shared" ca="1" si="6"/>
        <v>1389</v>
      </c>
      <c r="C26" s="10">
        <f t="shared" ca="1" si="7"/>
        <v>0</v>
      </c>
      <c r="D26" s="11">
        <f t="shared" ca="1" si="0"/>
        <v>0.18589445286139039</v>
      </c>
      <c r="E26" s="9">
        <f t="shared" ca="1" si="1"/>
        <v>355</v>
      </c>
      <c r="F26" s="9">
        <f t="shared" ca="1" si="8"/>
        <v>1034</v>
      </c>
      <c r="G26" s="12" t="str">
        <f t="shared" ca="1" si="11"/>
        <v>Yes</v>
      </c>
      <c r="H26" s="12">
        <f t="shared" ca="1" si="2"/>
        <v>0.55495199306241261</v>
      </c>
      <c r="I26" s="10">
        <f t="shared" ca="1" si="12"/>
        <v>1</v>
      </c>
      <c r="J26" s="13">
        <f t="shared" ca="1" si="13"/>
        <v>300</v>
      </c>
      <c r="K26" s="14">
        <f t="shared" ca="1" si="14"/>
        <v>206.8</v>
      </c>
      <c r="L26" s="14">
        <f t="shared" ca="1" si="15"/>
        <v>0</v>
      </c>
      <c r="M26" s="15">
        <f t="shared" ca="1" si="16"/>
        <v>506.8</v>
      </c>
      <c r="N26" s="16">
        <f ca="1">SUM($M$9:M26)/A26</f>
        <v>355.04444444444448</v>
      </c>
    </row>
    <row r="27" spans="1:14" x14ac:dyDescent="0.25">
      <c r="A27" s="8">
        <v>19</v>
      </c>
      <c r="B27" s="9">
        <f t="shared" ca="1" si="6"/>
        <v>2834</v>
      </c>
      <c r="C27" s="10">
        <f t="shared" ca="1" si="7"/>
        <v>1800</v>
      </c>
      <c r="D27" s="11">
        <f t="shared" ca="1" si="0"/>
        <v>0.78767371750274573</v>
      </c>
      <c r="E27" s="9">
        <f t="shared" ca="1" si="1"/>
        <v>439</v>
      </c>
      <c r="F27" s="9">
        <f t="shared" ca="1" si="8"/>
        <v>2395</v>
      </c>
      <c r="G27" s="12" t="str">
        <f t="shared" ca="1" si="11"/>
        <v>No</v>
      </c>
      <c r="H27" s="12">
        <f t="shared" ca="1" si="2"/>
        <v>0</v>
      </c>
      <c r="I27" s="10">
        <f t="shared" ca="1" si="12"/>
        <v>0</v>
      </c>
      <c r="J27" s="13">
        <f t="shared" ca="1" si="13"/>
        <v>0</v>
      </c>
      <c r="K27" s="14">
        <f t="shared" ca="1" si="14"/>
        <v>479</v>
      </c>
      <c r="L27" s="14">
        <f t="shared" ca="1" si="15"/>
        <v>0</v>
      </c>
      <c r="M27" s="15">
        <f t="shared" ca="1" si="16"/>
        <v>479</v>
      </c>
      <c r="N27" s="16">
        <f ca="1">SUM($M$9:M27)/A27</f>
        <v>361.56842105263161</v>
      </c>
    </row>
    <row r="28" spans="1:14" x14ac:dyDescent="0.25">
      <c r="A28" s="8">
        <v>20</v>
      </c>
      <c r="B28" s="9">
        <f t="shared" ca="1" si="6"/>
        <v>2395</v>
      </c>
      <c r="C28" s="10">
        <f t="shared" ca="1" si="7"/>
        <v>0</v>
      </c>
      <c r="D28" s="11">
        <f t="shared" ca="1" si="0"/>
        <v>0.30574290916373081</v>
      </c>
      <c r="E28" s="9">
        <f t="shared" ca="1" si="1"/>
        <v>374</v>
      </c>
      <c r="F28" s="9">
        <f t="shared" ca="1" si="8"/>
        <v>2021</v>
      </c>
      <c r="G28" s="12" t="str">
        <f t="shared" ca="1" si="11"/>
        <v>No</v>
      </c>
      <c r="H28" s="12">
        <f t="shared" ca="1" si="2"/>
        <v>0</v>
      </c>
      <c r="I28" s="10">
        <f t="shared" ca="1" si="12"/>
        <v>0</v>
      </c>
      <c r="J28" s="13">
        <f t="shared" ca="1" si="13"/>
        <v>0</v>
      </c>
      <c r="K28" s="14">
        <f t="shared" ca="1" si="14"/>
        <v>404.20000000000005</v>
      </c>
      <c r="L28" s="14">
        <f t="shared" ca="1" si="15"/>
        <v>0</v>
      </c>
      <c r="M28" s="15">
        <f t="shared" ca="1" si="16"/>
        <v>404.20000000000005</v>
      </c>
      <c r="N28" s="16">
        <f ca="1">SUM($M$9:M28)/A28</f>
        <v>363.7</v>
      </c>
    </row>
    <row r="29" spans="1:14" x14ac:dyDescent="0.25">
      <c r="A29" s="8">
        <v>21</v>
      </c>
      <c r="B29" s="9">
        <f t="shared" ca="1" si="6"/>
        <v>2021</v>
      </c>
      <c r="C29" s="10">
        <f t="shared" ca="1" si="7"/>
        <v>0</v>
      </c>
      <c r="D29" s="11">
        <f t="shared" ca="1" si="0"/>
        <v>0.5493153384530659</v>
      </c>
      <c r="E29" s="9">
        <f t="shared" ca="1" si="1"/>
        <v>406</v>
      </c>
      <c r="F29" s="9">
        <f t="shared" ca="1" si="8"/>
        <v>1615</v>
      </c>
      <c r="G29" s="12" t="str">
        <f t="shared" ca="1" si="11"/>
        <v>No</v>
      </c>
      <c r="H29" s="12">
        <f t="shared" ca="1" si="2"/>
        <v>0</v>
      </c>
      <c r="I29" s="10">
        <f t="shared" ca="1" si="12"/>
        <v>0</v>
      </c>
      <c r="J29" s="13">
        <f t="shared" ca="1" si="13"/>
        <v>0</v>
      </c>
      <c r="K29" s="14">
        <f t="shared" ca="1" si="14"/>
        <v>323</v>
      </c>
      <c r="L29" s="14">
        <f t="shared" ca="1" si="15"/>
        <v>0</v>
      </c>
      <c r="M29" s="15">
        <f t="shared" ca="1" si="16"/>
        <v>323</v>
      </c>
      <c r="N29" s="16">
        <f ca="1">SUM($M$9:M29)/A29</f>
        <v>361.76190476190476</v>
      </c>
    </row>
    <row r="30" spans="1:14" x14ac:dyDescent="0.25">
      <c r="A30" s="8">
        <v>22</v>
      </c>
      <c r="B30" s="9">
        <f t="shared" ca="1" si="6"/>
        <v>1615</v>
      </c>
      <c r="C30" s="10">
        <f t="shared" ca="1" si="7"/>
        <v>0</v>
      </c>
      <c r="D30" s="11">
        <f t="shared" ca="1" si="0"/>
        <v>0.85141541699160905</v>
      </c>
      <c r="E30" s="9">
        <f t="shared" ca="1" si="1"/>
        <v>452</v>
      </c>
      <c r="F30" s="9">
        <f t="shared" ca="1" si="8"/>
        <v>1163</v>
      </c>
      <c r="G30" s="12" t="str">
        <f t="shared" ca="1" si="11"/>
        <v>No</v>
      </c>
      <c r="H30" s="12">
        <f t="shared" ca="1" si="2"/>
        <v>0</v>
      </c>
      <c r="I30" s="10">
        <f t="shared" ca="1" si="12"/>
        <v>0</v>
      </c>
      <c r="J30" s="13">
        <f t="shared" ca="1" si="13"/>
        <v>0</v>
      </c>
      <c r="K30" s="14">
        <f t="shared" ca="1" si="14"/>
        <v>232.60000000000002</v>
      </c>
      <c r="L30" s="14">
        <f t="shared" ca="1" si="15"/>
        <v>0</v>
      </c>
      <c r="M30" s="15">
        <f t="shared" ca="1" si="16"/>
        <v>232.60000000000002</v>
      </c>
      <c r="N30" s="16">
        <f ca="1">SUM($M$9:M30)/A30</f>
        <v>355.89090909090913</v>
      </c>
    </row>
    <row r="31" spans="1:14" x14ac:dyDescent="0.25">
      <c r="A31" s="8">
        <v>23</v>
      </c>
      <c r="B31" s="9">
        <f t="shared" ca="1" si="6"/>
        <v>1163</v>
      </c>
      <c r="C31" s="10">
        <f t="shared" ca="1" si="7"/>
        <v>0</v>
      </c>
      <c r="D31" s="11">
        <f t="shared" ca="1" si="0"/>
        <v>0.60363883147198127</v>
      </c>
      <c r="E31" s="9">
        <f t="shared" ca="1" si="1"/>
        <v>413</v>
      </c>
      <c r="F31" s="9">
        <f t="shared" ca="1" si="8"/>
        <v>750</v>
      </c>
      <c r="G31" s="12" t="str">
        <f t="shared" ca="1" si="11"/>
        <v>Yes</v>
      </c>
      <c r="H31" s="12">
        <f t="shared" ca="1" si="2"/>
        <v>0.65231680323270991</v>
      </c>
      <c r="I31" s="10">
        <f t="shared" ca="1" si="12"/>
        <v>1</v>
      </c>
      <c r="J31" s="13">
        <f t="shared" ca="1" si="13"/>
        <v>300</v>
      </c>
      <c r="K31" s="14">
        <f t="shared" ca="1" si="14"/>
        <v>150</v>
      </c>
      <c r="L31" s="14">
        <f t="shared" ca="1" si="15"/>
        <v>0</v>
      </c>
      <c r="M31" s="15">
        <f t="shared" ca="1" si="16"/>
        <v>450</v>
      </c>
      <c r="N31" s="16">
        <f ca="1">SUM($M$9:M31)/A31</f>
        <v>359.98260869565217</v>
      </c>
    </row>
    <row r="32" spans="1:14" x14ac:dyDescent="0.25">
      <c r="A32" s="8">
        <v>24</v>
      </c>
      <c r="B32" s="9">
        <f t="shared" ca="1" si="6"/>
        <v>2550</v>
      </c>
      <c r="C32" s="10">
        <f t="shared" ca="1" si="7"/>
        <v>1800</v>
      </c>
      <c r="D32" s="11">
        <f t="shared" ca="1" si="0"/>
        <v>0.7606187897118033</v>
      </c>
      <c r="E32" s="9">
        <f t="shared" ca="1" si="1"/>
        <v>435</v>
      </c>
      <c r="F32" s="9">
        <f t="shared" ca="1" si="8"/>
        <v>2115</v>
      </c>
      <c r="G32" s="12" t="str">
        <f t="shared" ca="1" si="11"/>
        <v>No</v>
      </c>
      <c r="H32" s="12">
        <f t="shared" ca="1" si="2"/>
        <v>0</v>
      </c>
      <c r="I32" s="10">
        <f t="shared" ca="1" si="12"/>
        <v>0</v>
      </c>
      <c r="J32" s="13">
        <f t="shared" ca="1" si="13"/>
        <v>0</v>
      </c>
      <c r="K32" s="14">
        <f t="shared" ca="1" si="14"/>
        <v>423</v>
      </c>
      <c r="L32" s="14">
        <f t="shared" ca="1" si="15"/>
        <v>0</v>
      </c>
      <c r="M32" s="15">
        <f t="shared" ca="1" si="16"/>
        <v>423</v>
      </c>
      <c r="N32" s="16">
        <f ca="1">SUM($M$9:M32)/A32</f>
        <v>362.60833333333335</v>
      </c>
    </row>
    <row r="33" spans="1:14" x14ac:dyDescent="0.25">
      <c r="A33" s="8">
        <v>25</v>
      </c>
      <c r="B33" s="9">
        <f t="shared" ca="1" si="6"/>
        <v>2115</v>
      </c>
      <c r="C33" s="10">
        <f t="shared" ca="1" si="7"/>
        <v>0</v>
      </c>
      <c r="D33" s="11">
        <f t="shared" ca="1" si="0"/>
        <v>0.86886533696815582</v>
      </c>
      <c r="E33" s="9">
        <f t="shared" ca="1" si="1"/>
        <v>456</v>
      </c>
      <c r="F33" s="9">
        <f t="shared" ca="1" si="8"/>
        <v>1659</v>
      </c>
      <c r="G33" s="12" t="str">
        <f t="shared" ca="1" si="11"/>
        <v>No</v>
      </c>
      <c r="H33" s="12">
        <f t="shared" ca="1" si="2"/>
        <v>0</v>
      </c>
      <c r="I33" s="10">
        <f t="shared" ca="1" si="12"/>
        <v>0</v>
      </c>
      <c r="J33" s="13">
        <f t="shared" ca="1" si="13"/>
        <v>0</v>
      </c>
      <c r="K33" s="14">
        <f t="shared" ca="1" si="14"/>
        <v>331.8</v>
      </c>
      <c r="L33" s="14">
        <f t="shared" ca="1" si="15"/>
        <v>0</v>
      </c>
      <c r="M33" s="15">
        <f t="shared" ca="1" si="16"/>
        <v>331.8</v>
      </c>
      <c r="N33" s="16">
        <f ca="1">SUM($M$9:M33)/A33</f>
        <v>361.37599999999998</v>
      </c>
    </row>
    <row r="34" spans="1:14" x14ac:dyDescent="0.25">
      <c r="A34" s="8">
        <v>26</v>
      </c>
      <c r="B34" s="9">
        <f t="shared" ca="1" si="6"/>
        <v>1659</v>
      </c>
      <c r="C34" s="10">
        <f t="shared" ca="1" si="7"/>
        <v>0</v>
      </c>
      <c r="D34" s="11">
        <f t="shared" ca="1" si="0"/>
        <v>0.85087367657769486</v>
      </c>
      <c r="E34" s="9">
        <f t="shared" ca="1" si="1"/>
        <v>452</v>
      </c>
      <c r="F34" s="9">
        <f t="shared" ca="1" si="8"/>
        <v>1207</v>
      </c>
      <c r="G34" s="12" t="str">
        <f t="shared" ca="1" si="11"/>
        <v>No</v>
      </c>
      <c r="H34" s="12">
        <f t="shared" ca="1" si="2"/>
        <v>0</v>
      </c>
      <c r="I34" s="10">
        <f t="shared" ca="1" si="12"/>
        <v>0</v>
      </c>
      <c r="J34" s="13">
        <f t="shared" ca="1" si="13"/>
        <v>0</v>
      </c>
      <c r="K34" s="14">
        <f t="shared" ca="1" si="14"/>
        <v>241.4</v>
      </c>
      <c r="L34" s="14">
        <f t="shared" ca="1" si="15"/>
        <v>0</v>
      </c>
      <c r="M34" s="15">
        <f t="shared" ca="1" si="16"/>
        <v>241.4</v>
      </c>
      <c r="N34" s="16">
        <f ca="1">SUM($M$9:M34)/A34</f>
        <v>356.76153846153841</v>
      </c>
    </row>
    <row r="35" spans="1:14" x14ac:dyDescent="0.25">
      <c r="A35" s="8">
        <v>27</v>
      </c>
      <c r="B35" s="9">
        <f t="shared" ca="1" si="6"/>
        <v>1207</v>
      </c>
      <c r="C35" s="10">
        <f t="shared" ca="1" si="7"/>
        <v>0</v>
      </c>
      <c r="D35" s="11">
        <f t="shared" ca="1" si="0"/>
        <v>2.1584479947940771E-2</v>
      </c>
      <c r="E35" s="9">
        <f t="shared" ca="1" si="1"/>
        <v>298</v>
      </c>
      <c r="F35" s="9">
        <f t="shared" ca="1" si="8"/>
        <v>909</v>
      </c>
      <c r="G35" s="12" t="str">
        <f t="shared" ca="1" si="11"/>
        <v>Yes</v>
      </c>
      <c r="H35" s="12">
        <f t="shared" ca="1" si="2"/>
        <v>0.4080603568916199</v>
      </c>
      <c r="I35" s="10">
        <f t="shared" ca="1" si="12"/>
        <v>1</v>
      </c>
      <c r="J35" s="13">
        <f t="shared" ca="1" si="13"/>
        <v>300</v>
      </c>
      <c r="K35" s="14">
        <f t="shared" ca="1" si="14"/>
        <v>181.8</v>
      </c>
      <c r="L35" s="14">
        <f t="shared" ca="1" si="15"/>
        <v>0</v>
      </c>
      <c r="M35" s="15">
        <f t="shared" ca="1" si="16"/>
        <v>481.8</v>
      </c>
      <c r="N35" s="16">
        <f ca="1">SUM($M$9:M35)/A35</f>
        <v>361.39259259259256</v>
      </c>
    </row>
    <row r="36" spans="1:14" x14ac:dyDescent="0.25">
      <c r="A36" s="8">
        <v>28</v>
      </c>
      <c r="B36" s="9">
        <f t="shared" ca="1" si="6"/>
        <v>2709</v>
      </c>
      <c r="C36" s="10">
        <f t="shared" ca="1" si="7"/>
        <v>1800</v>
      </c>
      <c r="D36" s="11">
        <f t="shared" ca="1" si="0"/>
        <v>0.65663961870698084</v>
      </c>
      <c r="E36" s="9">
        <f t="shared" ca="1" si="1"/>
        <v>420</v>
      </c>
      <c r="F36" s="9">
        <f t="shared" ca="1" si="8"/>
        <v>2289</v>
      </c>
      <c r="G36" s="12" t="str">
        <f t="shared" ca="1" si="11"/>
        <v>No</v>
      </c>
      <c r="H36" s="12">
        <f t="shared" ca="1" si="2"/>
        <v>0</v>
      </c>
      <c r="I36" s="10">
        <f t="shared" ca="1" si="12"/>
        <v>0</v>
      </c>
      <c r="J36" s="13">
        <f t="shared" ca="1" si="13"/>
        <v>0</v>
      </c>
      <c r="K36" s="14">
        <f t="shared" ca="1" si="14"/>
        <v>457.8</v>
      </c>
      <c r="L36" s="14">
        <f t="shared" ca="1" si="15"/>
        <v>0</v>
      </c>
      <c r="M36" s="15">
        <f t="shared" ca="1" si="16"/>
        <v>457.8</v>
      </c>
      <c r="N36" s="16">
        <f ca="1">SUM($M$9:M36)/A36</f>
        <v>364.83571428571423</v>
      </c>
    </row>
    <row r="37" spans="1:14" x14ac:dyDescent="0.25">
      <c r="A37" s="8">
        <v>29</v>
      </c>
      <c r="B37" s="9">
        <f t="shared" ca="1" si="6"/>
        <v>2289</v>
      </c>
      <c r="C37" s="10">
        <f t="shared" ca="1" si="7"/>
        <v>0</v>
      </c>
      <c r="D37" s="11">
        <f t="shared" ca="1" si="0"/>
        <v>0.98627249835788822</v>
      </c>
      <c r="E37" s="9">
        <f t="shared" ca="1" si="1"/>
        <v>510</v>
      </c>
      <c r="F37" s="9">
        <f t="shared" ca="1" si="8"/>
        <v>1779</v>
      </c>
      <c r="G37" s="12" t="str">
        <f t="shared" ca="1" si="11"/>
        <v>No</v>
      </c>
      <c r="H37" s="12">
        <f t="shared" ca="1" si="2"/>
        <v>0</v>
      </c>
      <c r="I37" s="10">
        <f t="shared" ca="1" si="12"/>
        <v>0</v>
      </c>
      <c r="J37" s="13">
        <f t="shared" ca="1" si="13"/>
        <v>0</v>
      </c>
      <c r="K37" s="14">
        <f t="shared" ca="1" si="14"/>
        <v>355.8</v>
      </c>
      <c r="L37" s="14">
        <f t="shared" ca="1" si="15"/>
        <v>0</v>
      </c>
      <c r="M37" s="15">
        <f t="shared" ca="1" si="16"/>
        <v>355.8</v>
      </c>
      <c r="N37" s="16">
        <f ca="1">SUM($M$9:M37)/A37</f>
        <v>364.52413793103437</v>
      </c>
    </row>
    <row r="38" spans="1:14" x14ac:dyDescent="0.25">
      <c r="A38" s="8">
        <v>30</v>
      </c>
      <c r="B38" s="9">
        <f t="shared" ca="1" si="6"/>
        <v>1779</v>
      </c>
      <c r="C38" s="10">
        <f t="shared" ca="1" si="7"/>
        <v>0</v>
      </c>
      <c r="D38" s="11">
        <f t="shared" ca="1" si="0"/>
        <v>0.79318981699162894</v>
      </c>
      <c r="E38" s="9">
        <f t="shared" ca="1" si="1"/>
        <v>440</v>
      </c>
      <c r="F38" s="9">
        <f t="shared" ca="1" si="8"/>
        <v>1339</v>
      </c>
      <c r="G38" s="12" t="str">
        <f t="shared" ca="1" si="11"/>
        <v>No</v>
      </c>
      <c r="H38" s="12">
        <f t="shared" ca="1" si="2"/>
        <v>0</v>
      </c>
      <c r="I38" s="10">
        <f t="shared" ca="1" si="12"/>
        <v>0</v>
      </c>
      <c r="J38" s="13">
        <f t="shared" ca="1" si="13"/>
        <v>0</v>
      </c>
      <c r="K38" s="14">
        <f t="shared" ca="1" si="14"/>
        <v>267.8</v>
      </c>
      <c r="L38" s="14">
        <f t="shared" ca="1" si="15"/>
        <v>0</v>
      </c>
      <c r="M38" s="15">
        <f t="shared" ca="1" si="16"/>
        <v>267.8</v>
      </c>
      <c r="N38" s="16">
        <f ca="1">SUM($M$9:M38)/A38</f>
        <v>361.2999999999999</v>
      </c>
    </row>
    <row r="39" spans="1:14" x14ac:dyDescent="0.25">
      <c r="A39" s="8">
        <v>31</v>
      </c>
      <c r="B39" s="9">
        <f t="shared" ca="1" si="6"/>
        <v>1339</v>
      </c>
      <c r="C39" s="10">
        <f t="shared" ca="1" si="7"/>
        <v>0</v>
      </c>
      <c r="D39" s="11">
        <f t="shared" ca="1" si="0"/>
        <v>0.64670772804888066</v>
      </c>
      <c r="E39" s="9">
        <f t="shared" ca="1" si="1"/>
        <v>418</v>
      </c>
      <c r="F39" s="9">
        <f t="shared" ca="1" si="8"/>
        <v>921</v>
      </c>
      <c r="G39" s="12" t="str">
        <f t="shared" ca="1" si="11"/>
        <v>Yes</v>
      </c>
      <c r="H39" s="12">
        <f t="shared" ca="1" si="2"/>
        <v>0.55465939265050468</v>
      </c>
      <c r="I39" s="10">
        <f t="shared" ca="1" si="12"/>
        <v>1</v>
      </c>
      <c r="J39" s="13">
        <f t="shared" ca="1" si="13"/>
        <v>300</v>
      </c>
      <c r="K39" s="14">
        <f t="shared" ca="1" si="14"/>
        <v>184.20000000000002</v>
      </c>
      <c r="L39" s="14">
        <f t="shared" ca="1" si="15"/>
        <v>0</v>
      </c>
      <c r="M39" s="15">
        <f t="shared" ca="1" si="16"/>
        <v>484.20000000000005</v>
      </c>
      <c r="N39" s="16">
        <f ca="1">SUM($M$9:M39)/A39</f>
        <v>365.26451612903219</v>
      </c>
    </row>
    <row r="40" spans="1:14" x14ac:dyDescent="0.25">
      <c r="A40" s="8">
        <v>32</v>
      </c>
      <c r="B40" s="9">
        <f t="shared" ca="1" si="6"/>
        <v>2721</v>
      </c>
      <c r="C40" s="10">
        <f t="shared" ca="1" si="7"/>
        <v>1800</v>
      </c>
      <c r="D40" s="11">
        <f t="shared" ca="1" si="0"/>
        <v>0.52548290687587818</v>
      </c>
      <c r="E40" s="9">
        <f t="shared" ca="1" si="1"/>
        <v>403</v>
      </c>
      <c r="F40" s="9">
        <f t="shared" ca="1" si="8"/>
        <v>2318</v>
      </c>
      <c r="G40" s="12" t="str">
        <f t="shared" ca="1" si="11"/>
        <v>No</v>
      </c>
      <c r="H40" s="12">
        <f t="shared" ca="1" si="2"/>
        <v>0</v>
      </c>
      <c r="I40" s="10">
        <f t="shared" ca="1" si="12"/>
        <v>0</v>
      </c>
      <c r="J40" s="13">
        <f t="shared" ca="1" si="13"/>
        <v>0</v>
      </c>
      <c r="K40" s="14">
        <f t="shared" ca="1" si="14"/>
        <v>463.6</v>
      </c>
      <c r="L40" s="14">
        <f t="shared" ca="1" si="15"/>
        <v>0</v>
      </c>
      <c r="M40" s="15">
        <f t="shared" ca="1" si="16"/>
        <v>463.6</v>
      </c>
      <c r="N40" s="16">
        <f ca="1">SUM($M$9:M40)/A40</f>
        <v>368.33749999999992</v>
      </c>
    </row>
    <row r="41" spans="1:14" x14ac:dyDescent="0.25">
      <c r="A41" s="8">
        <v>33</v>
      </c>
      <c r="B41" s="9">
        <f t="shared" ca="1" si="6"/>
        <v>2318</v>
      </c>
      <c r="C41" s="10">
        <f t="shared" ca="1" si="7"/>
        <v>0</v>
      </c>
      <c r="D41" s="11">
        <f t="shared" ca="1" si="0"/>
        <v>0.92310385407693507</v>
      </c>
      <c r="E41" s="9">
        <f t="shared" ca="1" si="1"/>
        <v>471</v>
      </c>
      <c r="F41" s="9">
        <f t="shared" ca="1" si="8"/>
        <v>1847</v>
      </c>
      <c r="G41" s="12" t="str">
        <f t="shared" ca="1" si="11"/>
        <v>No</v>
      </c>
      <c r="H41" s="12">
        <f t="shared" ca="1" si="2"/>
        <v>0</v>
      </c>
      <c r="I41" s="10">
        <f t="shared" ca="1" si="12"/>
        <v>0</v>
      </c>
      <c r="J41" s="13">
        <f t="shared" ca="1" si="13"/>
        <v>0</v>
      </c>
      <c r="K41" s="14">
        <f t="shared" ca="1" si="14"/>
        <v>369.40000000000003</v>
      </c>
      <c r="L41" s="14">
        <f t="shared" ca="1" si="15"/>
        <v>0</v>
      </c>
      <c r="M41" s="15">
        <f t="shared" ca="1" si="16"/>
        <v>369.40000000000003</v>
      </c>
      <c r="N41" s="16">
        <f ca="1">SUM($M$9:M41)/A41</f>
        <v>368.36969696969686</v>
      </c>
    </row>
    <row r="42" spans="1:14" x14ac:dyDescent="0.25">
      <c r="A42" s="8">
        <v>34</v>
      </c>
      <c r="B42" s="9">
        <f t="shared" ca="1" si="6"/>
        <v>1847</v>
      </c>
      <c r="C42" s="10">
        <f t="shared" ca="1" si="7"/>
        <v>0</v>
      </c>
      <c r="D42" s="11">
        <f t="shared" ca="1" si="0"/>
        <v>0.84199477243898035</v>
      </c>
      <c r="E42" s="9">
        <f t="shared" ca="1" si="1"/>
        <v>450</v>
      </c>
      <c r="F42" s="9">
        <f t="shared" ca="1" si="8"/>
        <v>1397</v>
      </c>
      <c r="G42" s="12" t="str">
        <f t="shared" ca="1" si="11"/>
        <v>No</v>
      </c>
      <c r="H42" s="12">
        <f t="shared" ca="1" si="2"/>
        <v>0</v>
      </c>
      <c r="I42" s="10">
        <f t="shared" ca="1" si="12"/>
        <v>0</v>
      </c>
      <c r="J42" s="13">
        <f t="shared" ca="1" si="13"/>
        <v>0</v>
      </c>
      <c r="K42" s="14">
        <f t="shared" ca="1" si="14"/>
        <v>279.40000000000003</v>
      </c>
      <c r="L42" s="14">
        <f t="shared" ca="1" si="15"/>
        <v>0</v>
      </c>
      <c r="M42" s="15">
        <f t="shared" ca="1" si="16"/>
        <v>279.40000000000003</v>
      </c>
      <c r="N42" s="16">
        <f ca="1">SUM($M$9:M42)/A42</f>
        <v>365.75294117647047</v>
      </c>
    </row>
    <row r="43" spans="1:14" x14ac:dyDescent="0.25">
      <c r="A43" s="8">
        <v>35</v>
      </c>
      <c r="B43" s="9">
        <f t="shared" ca="1" si="6"/>
        <v>1397</v>
      </c>
      <c r="C43" s="10">
        <f t="shared" ca="1" si="7"/>
        <v>0</v>
      </c>
      <c r="D43" s="11">
        <f t="shared" ca="1" si="0"/>
        <v>0.88150643560628283</v>
      </c>
      <c r="E43" s="9">
        <f t="shared" ca="1" si="1"/>
        <v>459</v>
      </c>
      <c r="F43" s="9">
        <f t="shared" ca="1" si="8"/>
        <v>938</v>
      </c>
      <c r="G43" s="12" t="str">
        <f t="shared" ca="1" si="11"/>
        <v>Yes</v>
      </c>
      <c r="H43" s="12">
        <f t="shared" ca="1" si="2"/>
        <v>0.71631849937428083</v>
      </c>
      <c r="I43" s="10">
        <f t="shared" ca="1" si="12"/>
        <v>2</v>
      </c>
      <c r="J43" s="13">
        <f t="shared" ca="1" si="13"/>
        <v>300</v>
      </c>
      <c r="K43" s="14">
        <f t="shared" ca="1" si="14"/>
        <v>187.60000000000002</v>
      </c>
      <c r="L43" s="14">
        <f t="shared" ca="1" si="15"/>
        <v>0</v>
      </c>
      <c r="M43" s="15">
        <f t="shared" ca="1" si="16"/>
        <v>487.6</v>
      </c>
      <c r="N43" s="16">
        <f ca="1">SUM($M$9:M43)/A43</f>
        <v>369.23428571428565</v>
      </c>
    </row>
    <row r="44" spans="1:14" x14ac:dyDescent="0.25">
      <c r="A44" s="8">
        <v>36</v>
      </c>
      <c r="B44" s="9">
        <f t="shared" ca="1" si="6"/>
        <v>938</v>
      </c>
      <c r="C44" s="10">
        <f t="shared" ca="1" si="7"/>
        <v>0</v>
      </c>
      <c r="D44" s="11">
        <f t="shared" ca="1" si="0"/>
        <v>0.44368060522410768</v>
      </c>
      <c r="E44" s="9">
        <f t="shared" ca="1" si="1"/>
        <v>392</v>
      </c>
      <c r="F44" s="9">
        <f t="shared" ca="1" si="8"/>
        <v>546</v>
      </c>
      <c r="G44" s="12" t="str">
        <f t="shared" ca="1" si="11"/>
        <v>No</v>
      </c>
      <c r="H44" s="12">
        <f t="shared" ca="1" si="2"/>
        <v>0</v>
      </c>
      <c r="I44" s="10">
        <f t="shared" ca="1" si="12"/>
        <v>1</v>
      </c>
      <c r="J44" s="13">
        <f t="shared" ca="1" si="13"/>
        <v>0</v>
      </c>
      <c r="K44" s="14">
        <f t="shared" ca="1" si="14"/>
        <v>109.2</v>
      </c>
      <c r="L44" s="14">
        <f t="shared" ca="1" si="15"/>
        <v>0</v>
      </c>
      <c r="M44" s="15">
        <f t="shared" ca="1" si="16"/>
        <v>109.2</v>
      </c>
      <c r="N44" s="16">
        <f ca="1">SUM($M$9:M44)/A44</f>
        <v>362.01111111111106</v>
      </c>
    </row>
    <row r="45" spans="1:14" x14ac:dyDescent="0.25">
      <c r="A45" s="8">
        <v>37</v>
      </c>
      <c r="B45" s="9">
        <f t="shared" ca="1" si="6"/>
        <v>2346</v>
      </c>
      <c r="C45" s="10">
        <f t="shared" ca="1" si="7"/>
        <v>1800</v>
      </c>
      <c r="D45" s="11">
        <f t="shared" ca="1" si="0"/>
        <v>8.640185624423713E-2</v>
      </c>
      <c r="E45" s="9">
        <f t="shared" ca="1" si="1"/>
        <v>331</v>
      </c>
      <c r="F45" s="9">
        <f t="shared" ca="1" si="8"/>
        <v>2015</v>
      </c>
      <c r="G45" s="12" t="str">
        <f t="shared" ca="1" si="11"/>
        <v>No</v>
      </c>
      <c r="H45" s="12">
        <f t="shared" ca="1" si="2"/>
        <v>0</v>
      </c>
      <c r="I45" s="10">
        <f t="shared" ca="1" si="12"/>
        <v>0</v>
      </c>
      <c r="J45" s="13">
        <f t="shared" ca="1" si="13"/>
        <v>0</v>
      </c>
      <c r="K45" s="14">
        <f t="shared" ca="1" si="14"/>
        <v>403</v>
      </c>
      <c r="L45" s="14">
        <f t="shared" ca="1" si="15"/>
        <v>0</v>
      </c>
      <c r="M45" s="15">
        <f t="shared" ca="1" si="16"/>
        <v>403</v>
      </c>
      <c r="N45" s="16">
        <f ca="1">SUM($M$9:M45)/A45</f>
        <v>363.11891891891884</v>
      </c>
    </row>
    <row r="46" spans="1:14" x14ac:dyDescent="0.25">
      <c r="A46" s="8">
        <v>38</v>
      </c>
      <c r="B46" s="9">
        <f t="shared" ca="1" si="6"/>
        <v>2015</v>
      </c>
      <c r="C46" s="10">
        <f t="shared" ca="1" si="7"/>
        <v>0</v>
      </c>
      <c r="D46" s="11">
        <f t="shared" ca="1" si="0"/>
        <v>0.61550617825689324</v>
      </c>
      <c r="E46" s="9">
        <f t="shared" ca="1" si="1"/>
        <v>414</v>
      </c>
      <c r="F46" s="9">
        <f t="shared" ca="1" si="8"/>
        <v>1601</v>
      </c>
      <c r="G46" s="12" t="str">
        <f t="shared" ca="1" si="11"/>
        <v>No</v>
      </c>
      <c r="H46" s="12">
        <f t="shared" ca="1" si="2"/>
        <v>0</v>
      </c>
      <c r="I46" s="10">
        <f t="shared" ca="1" si="12"/>
        <v>0</v>
      </c>
      <c r="J46" s="13">
        <f t="shared" ca="1" si="13"/>
        <v>0</v>
      </c>
      <c r="K46" s="14">
        <f t="shared" ca="1" si="14"/>
        <v>320.20000000000005</v>
      </c>
      <c r="L46" s="14">
        <f t="shared" ca="1" si="15"/>
        <v>0</v>
      </c>
      <c r="M46" s="15">
        <f t="shared" ca="1" si="16"/>
        <v>320.20000000000005</v>
      </c>
      <c r="N46" s="16">
        <f ca="1">SUM($M$9:M46)/A46</f>
        <v>361.98947368421051</v>
      </c>
    </row>
    <row r="47" spans="1:14" x14ac:dyDescent="0.25">
      <c r="A47" s="8">
        <v>39</v>
      </c>
      <c r="B47" s="9">
        <f t="shared" ca="1" si="6"/>
        <v>1601</v>
      </c>
      <c r="C47" s="10">
        <f t="shared" ca="1" si="7"/>
        <v>0</v>
      </c>
      <c r="D47" s="11">
        <f t="shared" ca="1" si="0"/>
        <v>0.98491787990274071</v>
      </c>
      <c r="E47" s="9">
        <f t="shared" ca="1" si="1"/>
        <v>508</v>
      </c>
      <c r="F47" s="9">
        <f t="shared" ca="1" si="8"/>
        <v>1093</v>
      </c>
      <c r="G47" s="12" t="str">
        <f t="shared" ca="1" si="11"/>
        <v>No</v>
      </c>
      <c r="H47" s="12">
        <f t="shared" ca="1" si="2"/>
        <v>0</v>
      </c>
      <c r="I47" s="10">
        <f t="shared" ca="1" si="12"/>
        <v>0</v>
      </c>
      <c r="J47" s="13">
        <f t="shared" ca="1" si="13"/>
        <v>0</v>
      </c>
      <c r="K47" s="14">
        <f t="shared" ca="1" si="14"/>
        <v>218.60000000000002</v>
      </c>
      <c r="L47" s="14">
        <f t="shared" ca="1" si="15"/>
        <v>0</v>
      </c>
      <c r="M47" s="15">
        <f t="shared" ca="1" si="16"/>
        <v>218.60000000000002</v>
      </c>
      <c r="N47" s="16">
        <f ca="1">SUM($M$9:M47)/A47</f>
        <v>358.31282051282051</v>
      </c>
    </row>
    <row r="48" spans="1:14" x14ac:dyDescent="0.25">
      <c r="A48" s="8">
        <v>40</v>
      </c>
      <c r="B48" s="9">
        <f t="shared" ca="1" si="6"/>
        <v>1093</v>
      </c>
      <c r="C48" s="10">
        <f t="shared" ca="1" si="7"/>
        <v>0</v>
      </c>
      <c r="D48" s="11">
        <f t="shared" ca="1" si="0"/>
        <v>0.64905475608300289</v>
      </c>
      <c r="E48" s="9">
        <f t="shared" ca="1" si="1"/>
        <v>419</v>
      </c>
      <c r="F48" s="9">
        <f t="shared" ca="1" si="8"/>
        <v>674</v>
      </c>
      <c r="G48" s="12" t="str">
        <f t="shared" ca="1" si="11"/>
        <v>Yes</v>
      </c>
      <c r="H48" s="12">
        <f t="shared" ca="1" si="2"/>
        <v>0.85795779875308098</v>
      </c>
      <c r="I48" s="10">
        <f t="shared" ca="1" si="12"/>
        <v>2</v>
      </c>
      <c r="J48" s="13">
        <f t="shared" ca="1" si="13"/>
        <v>300</v>
      </c>
      <c r="K48" s="14">
        <f t="shared" ca="1" si="14"/>
        <v>134.80000000000001</v>
      </c>
      <c r="L48" s="14">
        <f t="shared" ca="1" si="15"/>
        <v>0</v>
      </c>
      <c r="M48" s="15">
        <f t="shared" ca="1" si="16"/>
        <v>434.8</v>
      </c>
      <c r="N48" s="16">
        <f ca="1">SUM($M$9:M48)/A48</f>
        <v>360.22499999999997</v>
      </c>
    </row>
    <row r="49" spans="1:14" x14ac:dyDescent="0.25">
      <c r="A49" s="8">
        <v>41</v>
      </c>
      <c r="B49" s="9">
        <f t="shared" ca="1" si="6"/>
        <v>674</v>
      </c>
      <c r="C49" s="10">
        <f t="shared" ca="1" si="7"/>
        <v>0</v>
      </c>
      <c r="D49" s="11">
        <f t="shared" ca="1" si="0"/>
        <v>0.70251307295910326</v>
      </c>
      <c r="E49" s="9">
        <f t="shared" ca="1" si="1"/>
        <v>426</v>
      </c>
      <c r="F49" s="9">
        <f t="shared" ca="1" si="8"/>
        <v>248</v>
      </c>
      <c r="G49" s="12" t="str">
        <f t="shared" ca="1" si="11"/>
        <v>No</v>
      </c>
      <c r="H49" s="12">
        <f t="shared" ca="1" si="2"/>
        <v>0</v>
      </c>
      <c r="I49" s="10">
        <f t="shared" ca="1" si="12"/>
        <v>1</v>
      </c>
      <c r="J49" s="13">
        <f t="shared" ca="1" si="13"/>
        <v>0</v>
      </c>
      <c r="K49" s="14">
        <f t="shared" ca="1" si="14"/>
        <v>49.6</v>
      </c>
      <c r="L49" s="14">
        <f t="shared" ca="1" si="15"/>
        <v>0</v>
      </c>
      <c r="M49" s="15">
        <f t="shared" ca="1" si="16"/>
        <v>49.6</v>
      </c>
      <c r="N49" s="16">
        <f ca="1">SUM($M$9:M49)/A49</f>
        <v>352.64878048780486</v>
      </c>
    </row>
    <row r="50" spans="1:14" x14ac:dyDescent="0.25">
      <c r="A50" s="8">
        <v>42</v>
      </c>
      <c r="B50" s="9">
        <f t="shared" ca="1" si="6"/>
        <v>2048</v>
      </c>
      <c r="C50" s="10">
        <f t="shared" ca="1" si="7"/>
        <v>1800</v>
      </c>
      <c r="D50" s="11">
        <f t="shared" ca="1" si="0"/>
        <v>0.75858396201440692</v>
      </c>
      <c r="E50" s="9">
        <f t="shared" ca="1" si="1"/>
        <v>435</v>
      </c>
      <c r="F50" s="9">
        <f t="shared" ca="1" si="8"/>
        <v>1613</v>
      </c>
      <c r="G50" s="12" t="str">
        <f t="shared" ca="1" si="11"/>
        <v>No</v>
      </c>
      <c r="H50" s="12">
        <f t="shared" ca="1" si="2"/>
        <v>0</v>
      </c>
      <c r="I50" s="10">
        <f t="shared" ca="1" si="12"/>
        <v>0</v>
      </c>
      <c r="J50" s="13">
        <f t="shared" ca="1" si="13"/>
        <v>0</v>
      </c>
      <c r="K50" s="14">
        <f t="shared" ca="1" si="14"/>
        <v>322.60000000000002</v>
      </c>
      <c r="L50" s="14">
        <f t="shared" ca="1" si="15"/>
        <v>0</v>
      </c>
      <c r="M50" s="15">
        <f t="shared" ca="1" si="16"/>
        <v>322.60000000000002</v>
      </c>
      <c r="N50" s="16">
        <f ca="1">SUM($M$9:M50)/A50</f>
        <v>351.93333333333328</v>
      </c>
    </row>
    <row r="51" spans="1:14" x14ac:dyDescent="0.25">
      <c r="A51" s="8">
        <v>43</v>
      </c>
      <c r="B51" s="9">
        <f t="shared" ca="1" si="6"/>
        <v>1613</v>
      </c>
      <c r="C51" s="10">
        <f t="shared" ca="1" si="7"/>
        <v>0</v>
      </c>
      <c r="D51" s="11">
        <f t="shared" ca="1" si="0"/>
        <v>0.7748999378713376</v>
      </c>
      <c r="E51" s="9">
        <f t="shared" ca="1" si="1"/>
        <v>437</v>
      </c>
      <c r="F51" s="9">
        <f t="shared" ca="1" si="8"/>
        <v>1176</v>
      </c>
      <c r="G51" s="12" t="str">
        <f t="shared" ca="1" si="11"/>
        <v>No</v>
      </c>
      <c r="H51" s="12">
        <f t="shared" ca="1" si="2"/>
        <v>0</v>
      </c>
      <c r="I51" s="10">
        <f t="shared" ca="1" si="12"/>
        <v>0</v>
      </c>
      <c r="J51" s="13">
        <f t="shared" ca="1" si="13"/>
        <v>0</v>
      </c>
      <c r="K51" s="14">
        <f t="shared" ca="1" si="14"/>
        <v>235.20000000000002</v>
      </c>
      <c r="L51" s="14">
        <f t="shared" ca="1" si="15"/>
        <v>0</v>
      </c>
      <c r="M51" s="15">
        <f t="shared" ca="1" si="16"/>
        <v>235.20000000000002</v>
      </c>
      <c r="N51" s="16">
        <f ca="1">SUM($M$9:M51)/A51</f>
        <v>349.21860465116276</v>
      </c>
    </row>
    <row r="52" spans="1:14" x14ac:dyDescent="0.25">
      <c r="A52" s="8">
        <v>44</v>
      </c>
      <c r="B52" s="9">
        <f t="shared" ca="1" si="6"/>
        <v>1176</v>
      </c>
      <c r="C52" s="10">
        <f t="shared" ca="1" si="7"/>
        <v>0</v>
      </c>
      <c r="D52" s="11">
        <f t="shared" ca="1" si="0"/>
        <v>0.31533139604932303</v>
      </c>
      <c r="E52" s="9">
        <f t="shared" ca="1" si="1"/>
        <v>375</v>
      </c>
      <c r="F52" s="9">
        <f t="shared" ca="1" si="8"/>
        <v>801</v>
      </c>
      <c r="G52" s="12" t="str">
        <f t="shared" ca="1" si="11"/>
        <v>Yes</v>
      </c>
      <c r="H52" s="12">
        <f t="shared" ca="1" si="2"/>
        <v>0.66921485874227749</v>
      </c>
      <c r="I52" s="10">
        <f t="shared" ca="1" si="12"/>
        <v>1</v>
      </c>
      <c r="J52" s="13">
        <f t="shared" ca="1" si="13"/>
        <v>300</v>
      </c>
      <c r="K52" s="14">
        <f t="shared" ca="1" si="14"/>
        <v>160.20000000000002</v>
      </c>
      <c r="L52" s="14">
        <f t="shared" ca="1" si="15"/>
        <v>0</v>
      </c>
      <c r="M52" s="15">
        <f t="shared" ca="1" si="16"/>
        <v>460.20000000000005</v>
      </c>
      <c r="N52" s="16">
        <f ca="1">SUM($M$9:M52)/A52</f>
        <v>351.7409090909091</v>
      </c>
    </row>
    <row r="53" spans="1:14" x14ac:dyDescent="0.25">
      <c r="A53" s="8">
        <v>45</v>
      </c>
      <c r="B53" s="9">
        <f t="shared" ca="1" si="6"/>
        <v>2601</v>
      </c>
      <c r="C53" s="10">
        <f t="shared" ca="1" si="7"/>
        <v>1800</v>
      </c>
      <c r="D53" s="11">
        <f t="shared" ca="1" si="0"/>
        <v>0.28016959570255029</v>
      </c>
      <c r="E53" s="9">
        <f t="shared" ca="1" si="1"/>
        <v>370</v>
      </c>
      <c r="F53" s="9">
        <f t="shared" ca="1" si="8"/>
        <v>2231</v>
      </c>
      <c r="G53" s="12" t="str">
        <f t="shared" ca="1" si="11"/>
        <v>No</v>
      </c>
      <c r="H53" s="12">
        <f t="shared" ca="1" si="2"/>
        <v>0</v>
      </c>
      <c r="I53" s="10">
        <f t="shared" ca="1" si="12"/>
        <v>0</v>
      </c>
      <c r="J53" s="13">
        <f t="shared" ca="1" si="13"/>
        <v>0</v>
      </c>
      <c r="K53" s="14">
        <f t="shared" ca="1" si="14"/>
        <v>446.20000000000005</v>
      </c>
      <c r="L53" s="14">
        <f t="shared" ca="1" si="15"/>
        <v>0</v>
      </c>
      <c r="M53" s="15">
        <f t="shared" ca="1" si="16"/>
        <v>446.20000000000005</v>
      </c>
      <c r="N53" s="16">
        <f ca="1">SUM($M$9:M53)/A53</f>
        <v>353.84000000000003</v>
      </c>
    </row>
    <row r="54" spans="1:14" x14ac:dyDescent="0.25">
      <c r="A54" s="8">
        <v>46</v>
      </c>
      <c r="B54" s="9">
        <f t="shared" ca="1" si="6"/>
        <v>2231</v>
      </c>
      <c r="C54" s="10">
        <f t="shared" ca="1" si="7"/>
        <v>0</v>
      </c>
      <c r="D54" s="11">
        <f t="shared" ca="1" si="0"/>
        <v>0.39868298910810518</v>
      </c>
      <c r="E54" s="9">
        <f t="shared" ca="1" si="1"/>
        <v>387</v>
      </c>
      <c r="F54" s="9">
        <f t="shared" ca="1" si="8"/>
        <v>1844</v>
      </c>
      <c r="G54" s="12" t="str">
        <f t="shared" ca="1" si="11"/>
        <v>No</v>
      </c>
      <c r="H54" s="12">
        <f t="shared" ca="1" si="2"/>
        <v>0</v>
      </c>
      <c r="I54" s="10">
        <f t="shared" ca="1" si="12"/>
        <v>0</v>
      </c>
      <c r="J54" s="13">
        <f t="shared" ca="1" si="13"/>
        <v>0</v>
      </c>
      <c r="K54" s="14">
        <f t="shared" ca="1" si="14"/>
        <v>368.8</v>
      </c>
      <c r="L54" s="14">
        <f t="shared" ca="1" si="15"/>
        <v>0</v>
      </c>
      <c r="M54" s="15">
        <f t="shared" ca="1" si="16"/>
        <v>368.8</v>
      </c>
      <c r="N54" s="16">
        <f ca="1">SUM($M$9:M54)/A54</f>
        <v>354.16521739130434</v>
      </c>
    </row>
    <row r="55" spans="1:14" x14ac:dyDescent="0.25">
      <c r="A55" s="8">
        <v>47</v>
      </c>
      <c r="B55" s="9">
        <f t="shared" ca="1" si="6"/>
        <v>1844</v>
      </c>
      <c r="C55" s="10">
        <f t="shared" ca="1" si="7"/>
        <v>0</v>
      </c>
      <c r="D55" s="11">
        <f t="shared" ca="1" si="0"/>
        <v>0.22329451290065305</v>
      </c>
      <c r="E55" s="9">
        <f t="shared" ca="1" si="1"/>
        <v>361</v>
      </c>
      <c r="F55" s="9">
        <f t="shared" ca="1" si="8"/>
        <v>1483</v>
      </c>
      <c r="G55" s="12" t="str">
        <f t="shared" ca="1" si="11"/>
        <v>No</v>
      </c>
      <c r="H55" s="12">
        <f t="shared" ca="1" si="2"/>
        <v>0</v>
      </c>
      <c r="I55" s="10">
        <f t="shared" ca="1" si="12"/>
        <v>0</v>
      </c>
      <c r="J55" s="13">
        <f t="shared" ca="1" si="13"/>
        <v>0</v>
      </c>
      <c r="K55" s="14">
        <f t="shared" ca="1" si="14"/>
        <v>296.60000000000002</v>
      </c>
      <c r="L55" s="14">
        <f t="shared" ca="1" si="15"/>
        <v>0</v>
      </c>
      <c r="M55" s="15">
        <f t="shared" ca="1" si="16"/>
        <v>296.60000000000002</v>
      </c>
      <c r="N55" s="16">
        <f ca="1">SUM($M$9:M55)/A55</f>
        <v>352.94042553191491</v>
      </c>
    </row>
    <row r="56" spans="1:14" x14ac:dyDescent="0.25">
      <c r="A56" s="8">
        <v>48</v>
      </c>
      <c r="B56" s="9">
        <f t="shared" ca="1" si="6"/>
        <v>1483</v>
      </c>
      <c r="C56" s="10">
        <f t="shared" ca="1" si="7"/>
        <v>0</v>
      </c>
      <c r="D56" s="11">
        <f t="shared" ca="1" si="0"/>
        <v>0.53632615297771469</v>
      </c>
      <c r="E56" s="9">
        <f t="shared" ca="1" si="1"/>
        <v>404</v>
      </c>
      <c r="F56" s="9">
        <f t="shared" ca="1" si="8"/>
        <v>1079</v>
      </c>
      <c r="G56" s="12" t="str">
        <f t="shared" ca="1" si="11"/>
        <v>No</v>
      </c>
      <c r="H56" s="12">
        <f t="shared" ca="1" si="2"/>
        <v>0</v>
      </c>
      <c r="I56" s="10">
        <f t="shared" ca="1" si="12"/>
        <v>0</v>
      </c>
      <c r="J56" s="13">
        <f t="shared" ca="1" si="13"/>
        <v>0</v>
      </c>
      <c r="K56" s="14">
        <f t="shared" ca="1" si="14"/>
        <v>215.8</v>
      </c>
      <c r="L56" s="14">
        <f t="shared" ca="1" si="15"/>
        <v>0</v>
      </c>
      <c r="M56" s="15">
        <f t="shared" ca="1" si="16"/>
        <v>215.8</v>
      </c>
      <c r="N56" s="16">
        <f ca="1">SUM($M$9:M56)/A56</f>
        <v>350.08333333333331</v>
      </c>
    </row>
    <row r="57" spans="1:14" x14ac:dyDescent="0.25">
      <c r="A57" s="8">
        <v>49</v>
      </c>
      <c r="B57" s="9">
        <f t="shared" ca="1" si="6"/>
        <v>1079</v>
      </c>
      <c r="C57" s="10">
        <f t="shared" ca="1" si="7"/>
        <v>0</v>
      </c>
      <c r="D57" s="11">
        <f t="shared" ca="1" si="0"/>
        <v>0.51289616931145798</v>
      </c>
      <c r="E57" s="9">
        <f t="shared" ca="1" si="1"/>
        <v>401</v>
      </c>
      <c r="F57" s="9">
        <f t="shared" ca="1" si="8"/>
        <v>678</v>
      </c>
      <c r="G57" s="12" t="str">
        <f t="shared" ca="1" si="11"/>
        <v>Yes</v>
      </c>
      <c r="H57" s="12">
        <f t="shared" ca="1" si="2"/>
        <v>0.87480669534402822</v>
      </c>
      <c r="I57" s="10">
        <f t="shared" ca="1" si="12"/>
        <v>2</v>
      </c>
      <c r="J57" s="13">
        <f t="shared" ca="1" si="13"/>
        <v>300</v>
      </c>
      <c r="K57" s="14">
        <f t="shared" ca="1" si="14"/>
        <v>135.6</v>
      </c>
      <c r="L57" s="14">
        <f t="shared" ca="1" si="15"/>
        <v>0</v>
      </c>
      <c r="M57" s="15">
        <f t="shared" ca="1" si="16"/>
        <v>435.6</v>
      </c>
      <c r="N57" s="16">
        <f ca="1">SUM($M$9:M57)/A57</f>
        <v>351.82857142857142</v>
      </c>
    </row>
    <row r="58" spans="1:14" x14ac:dyDescent="0.25">
      <c r="A58" s="8">
        <v>50</v>
      </c>
      <c r="B58" s="9">
        <f t="shared" ca="1" si="6"/>
        <v>678</v>
      </c>
      <c r="C58" s="10">
        <f t="shared" ca="1" si="7"/>
        <v>0</v>
      </c>
      <c r="D58" s="11">
        <f t="shared" ca="1" si="0"/>
        <v>0.81745884086115628</v>
      </c>
      <c r="E58" s="9">
        <f t="shared" ca="1" si="1"/>
        <v>445</v>
      </c>
      <c r="F58" s="9">
        <f t="shared" ca="1" si="8"/>
        <v>233</v>
      </c>
      <c r="G58" s="12" t="str">
        <f t="shared" ca="1" si="11"/>
        <v>No</v>
      </c>
      <c r="H58" s="12">
        <f t="shared" ca="1" si="2"/>
        <v>0</v>
      </c>
      <c r="I58" s="10">
        <f t="shared" ca="1" si="12"/>
        <v>1</v>
      </c>
      <c r="J58" s="13">
        <f t="shared" ca="1" si="13"/>
        <v>0</v>
      </c>
      <c r="K58" s="14">
        <f t="shared" ca="1" si="14"/>
        <v>46.6</v>
      </c>
      <c r="L58" s="14">
        <f t="shared" ca="1" si="15"/>
        <v>0</v>
      </c>
      <c r="M58" s="15">
        <f t="shared" ca="1" si="16"/>
        <v>46.6</v>
      </c>
      <c r="N58" s="16">
        <f ca="1">SUM($M$9:M58)/A58</f>
        <v>345.72399999999993</v>
      </c>
    </row>
    <row r="59" spans="1:14" x14ac:dyDescent="0.25">
      <c r="A59" s="8">
        <v>51</v>
      </c>
      <c r="B59" s="9">
        <f t="shared" ca="1" si="6"/>
        <v>2033</v>
      </c>
      <c r="C59" s="10">
        <f t="shared" ca="1" si="7"/>
        <v>1800</v>
      </c>
      <c r="D59" s="11">
        <f t="shared" ca="1" si="0"/>
        <v>0.62061368396855432</v>
      </c>
      <c r="E59" s="9">
        <f t="shared" ca="1" si="1"/>
        <v>415</v>
      </c>
      <c r="F59" s="9">
        <f t="shared" ca="1" si="8"/>
        <v>1618</v>
      </c>
      <c r="G59" s="12" t="str">
        <f t="shared" ca="1" si="11"/>
        <v>No</v>
      </c>
      <c r="H59" s="12">
        <f t="shared" ca="1" si="2"/>
        <v>0</v>
      </c>
      <c r="I59" s="10">
        <f t="shared" ca="1" si="12"/>
        <v>0</v>
      </c>
      <c r="J59" s="13">
        <f t="shared" ca="1" si="13"/>
        <v>0</v>
      </c>
      <c r="K59" s="14">
        <f t="shared" ca="1" si="14"/>
        <v>323.60000000000002</v>
      </c>
      <c r="L59" s="14">
        <f t="shared" ca="1" si="15"/>
        <v>0</v>
      </c>
      <c r="M59" s="15">
        <f t="shared" ca="1" si="16"/>
        <v>323.60000000000002</v>
      </c>
      <c r="N59" s="16">
        <f ca="1">SUM($M$9:M59)/A59</f>
        <v>345.29019607843128</v>
      </c>
    </row>
    <row r="60" spans="1:14" x14ac:dyDescent="0.25">
      <c r="A60" s="8">
        <v>52</v>
      </c>
      <c r="B60" s="9">
        <f t="shared" ca="1" si="6"/>
        <v>1618</v>
      </c>
      <c r="C60" s="10">
        <f t="shared" ca="1" si="7"/>
        <v>0</v>
      </c>
      <c r="D60" s="11">
        <f t="shared" ca="1" si="0"/>
        <v>0.71977489648765003</v>
      </c>
      <c r="E60" s="9">
        <f t="shared" ca="1" si="1"/>
        <v>429</v>
      </c>
      <c r="F60" s="9">
        <f t="shared" ca="1" si="8"/>
        <v>1189</v>
      </c>
      <c r="G60" s="12" t="str">
        <f t="shared" ca="1" si="11"/>
        <v>No</v>
      </c>
      <c r="H60" s="12">
        <f t="shared" ca="1" si="2"/>
        <v>0</v>
      </c>
      <c r="I60" s="10">
        <f t="shared" ca="1" si="12"/>
        <v>0</v>
      </c>
      <c r="J60" s="13">
        <f t="shared" ca="1" si="13"/>
        <v>0</v>
      </c>
      <c r="K60" s="14">
        <f t="shared" ca="1" si="14"/>
        <v>237.8</v>
      </c>
      <c r="L60" s="14">
        <f t="shared" ca="1" si="15"/>
        <v>0</v>
      </c>
      <c r="M60" s="15">
        <f t="shared" ca="1" si="16"/>
        <v>237.8</v>
      </c>
      <c r="N60" s="16">
        <f ca="1">SUM($M$9:M60)/A60</f>
        <v>343.2230769230768</v>
      </c>
    </row>
    <row r="61" spans="1:14" x14ac:dyDescent="0.25">
      <c r="A61" s="8">
        <v>53</v>
      </c>
      <c r="B61" s="9">
        <f t="shared" ca="1" si="6"/>
        <v>1189</v>
      </c>
      <c r="C61" s="10">
        <f t="shared" ca="1" si="7"/>
        <v>0</v>
      </c>
      <c r="D61" s="11">
        <f t="shared" ca="1" si="0"/>
        <v>0.76946076855164258</v>
      </c>
      <c r="E61" s="9">
        <f t="shared" ca="1" si="1"/>
        <v>436</v>
      </c>
      <c r="F61" s="9">
        <f t="shared" ca="1" si="8"/>
        <v>753</v>
      </c>
      <c r="G61" s="12" t="str">
        <f t="shared" ca="1" si="11"/>
        <v>Yes</v>
      </c>
      <c r="H61" s="12">
        <f t="shared" ca="1" si="2"/>
        <v>0.2833170068356764</v>
      </c>
      <c r="I61" s="10">
        <f t="shared" ca="1" si="12"/>
        <v>1</v>
      </c>
      <c r="J61" s="13">
        <f t="shared" ca="1" si="13"/>
        <v>300</v>
      </c>
      <c r="K61" s="14">
        <f t="shared" ca="1" si="14"/>
        <v>150.6</v>
      </c>
      <c r="L61" s="14">
        <f t="shared" ca="1" si="15"/>
        <v>0</v>
      </c>
      <c r="M61" s="15">
        <f t="shared" ca="1" si="16"/>
        <v>450.6</v>
      </c>
      <c r="N61" s="16">
        <f ca="1">SUM($M$9:M61)/A61</f>
        <v>345.24905660377345</v>
      </c>
    </row>
    <row r="62" spans="1:14" x14ac:dyDescent="0.25">
      <c r="A62" s="8">
        <v>54</v>
      </c>
      <c r="B62" s="9">
        <f t="shared" ca="1" si="6"/>
        <v>2553</v>
      </c>
      <c r="C62" s="10">
        <f t="shared" ca="1" si="7"/>
        <v>1800</v>
      </c>
      <c r="D62" s="11">
        <f t="shared" ca="1" si="0"/>
        <v>0.66389783972488392</v>
      </c>
      <c r="E62" s="9">
        <f t="shared" ca="1" si="1"/>
        <v>421</v>
      </c>
      <c r="F62" s="9">
        <f t="shared" ca="1" si="8"/>
        <v>2132</v>
      </c>
      <c r="G62" s="12" t="str">
        <f t="shared" ca="1" si="11"/>
        <v>No</v>
      </c>
      <c r="H62" s="12">
        <f t="shared" ca="1" si="2"/>
        <v>0</v>
      </c>
      <c r="I62" s="10">
        <f t="shared" ca="1" si="12"/>
        <v>0</v>
      </c>
      <c r="J62" s="13">
        <f t="shared" ca="1" si="13"/>
        <v>0</v>
      </c>
      <c r="K62" s="14">
        <f t="shared" ca="1" si="14"/>
        <v>426.40000000000003</v>
      </c>
      <c r="L62" s="14">
        <f t="shared" ca="1" si="15"/>
        <v>0</v>
      </c>
      <c r="M62" s="15">
        <f t="shared" ca="1" si="16"/>
        <v>426.40000000000003</v>
      </c>
      <c r="N62" s="16">
        <f ca="1">SUM($M$9:M62)/A62</f>
        <v>346.75185185185177</v>
      </c>
    </row>
    <row r="63" spans="1:14" x14ac:dyDescent="0.25">
      <c r="A63" s="8">
        <v>55</v>
      </c>
      <c r="B63" s="9">
        <f t="shared" ca="1" si="6"/>
        <v>2132</v>
      </c>
      <c r="C63" s="10">
        <f t="shared" ca="1" si="7"/>
        <v>0</v>
      </c>
      <c r="D63" s="11">
        <f t="shared" ca="1" si="0"/>
        <v>0.47662107118189345</v>
      </c>
      <c r="E63" s="9">
        <f t="shared" ca="1" si="1"/>
        <v>397</v>
      </c>
      <c r="F63" s="9">
        <f t="shared" ca="1" si="8"/>
        <v>1735</v>
      </c>
      <c r="G63" s="12" t="str">
        <f t="shared" ca="1" si="11"/>
        <v>No</v>
      </c>
      <c r="H63" s="12">
        <f t="shared" ca="1" si="2"/>
        <v>0</v>
      </c>
      <c r="I63" s="10">
        <f t="shared" ca="1" si="12"/>
        <v>0</v>
      </c>
      <c r="J63" s="13">
        <f t="shared" ca="1" si="13"/>
        <v>0</v>
      </c>
      <c r="K63" s="14">
        <f t="shared" ca="1" si="14"/>
        <v>347</v>
      </c>
      <c r="L63" s="14">
        <f t="shared" ca="1" si="15"/>
        <v>0</v>
      </c>
      <c r="M63" s="15">
        <f t="shared" ca="1" si="16"/>
        <v>347</v>
      </c>
      <c r="N63" s="16">
        <f ca="1">SUM($M$9:M63)/A63</f>
        <v>346.75636363636352</v>
      </c>
    </row>
    <row r="64" spans="1:14" x14ac:dyDescent="0.25">
      <c r="A64" s="8">
        <v>56</v>
      </c>
      <c r="B64" s="9">
        <f t="shared" ca="1" si="6"/>
        <v>1735</v>
      </c>
      <c r="C64" s="10">
        <f t="shared" ca="1" si="7"/>
        <v>0</v>
      </c>
      <c r="D64" s="11">
        <f t="shared" ca="1" si="0"/>
        <v>0.70567059055506831</v>
      </c>
      <c r="E64" s="9">
        <f t="shared" ca="1" si="1"/>
        <v>427</v>
      </c>
      <c r="F64" s="9">
        <f t="shared" ca="1" si="8"/>
        <v>1308</v>
      </c>
      <c r="G64" s="12" t="str">
        <f t="shared" ca="1" si="11"/>
        <v>No</v>
      </c>
      <c r="H64" s="12">
        <f t="shared" ca="1" si="2"/>
        <v>0</v>
      </c>
      <c r="I64" s="10">
        <f t="shared" ca="1" si="12"/>
        <v>0</v>
      </c>
      <c r="J64" s="13">
        <f t="shared" ca="1" si="13"/>
        <v>0</v>
      </c>
      <c r="K64" s="14">
        <f t="shared" ca="1" si="14"/>
        <v>261.60000000000002</v>
      </c>
      <c r="L64" s="14">
        <f t="shared" ca="1" si="15"/>
        <v>0</v>
      </c>
      <c r="M64" s="15">
        <f t="shared" ca="1" si="16"/>
        <v>261.60000000000002</v>
      </c>
      <c r="N64" s="16">
        <f ca="1">SUM($M$9:M64)/A64</f>
        <v>345.23571428571415</v>
      </c>
    </row>
    <row r="65" spans="1:14" x14ac:dyDescent="0.25">
      <c r="A65" s="8">
        <v>57</v>
      </c>
      <c r="B65" s="9">
        <f t="shared" ca="1" si="6"/>
        <v>1308</v>
      </c>
      <c r="C65" s="10">
        <f t="shared" ca="1" si="7"/>
        <v>0</v>
      </c>
      <c r="D65" s="11">
        <f t="shared" ca="1" si="0"/>
        <v>2.8115014612917211E-4</v>
      </c>
      <c r="E65" s="9">
        <f t="shared" ca="1" si="1"/>
        <v>227</v>
      </c>
      <c r="F65" s="9">
        <f t="shared" ca="1" si="8"/>
        <v>1081</v>
      </c>
      <c r="G65" s="12" t="str">
        <f t="shared" ca="1" si="11"/>
        <v>Yes</v>
      </c>
      <c r="H65" s="12">
        <f t="shared" ca="1" si="2"/>
        <v>0.69516986843929351</v>
      </c>
      <c r="I65" s="10">
        <f t="shared" ca="1" si="12"/>
        <v>1</v>
      </c>
      <c r="J65" s="13">
        <f t="shared" ca="1" si="13"/>
        <v>300</v>
      </c>
      <c r="K65" s="14">
        <f t="shared" ca="1" si="14"/>
        <v>216.20000000000002</v>
      </c>
      <c r="L65" s="14">
        <f t="shared" ca="1" si="15"/>
        <v>0</v>
      </c>
      <c r="M65" s="15">
        <f t="shared" ca="1" si="16"/>
        <v>516.20000000000005</v>
      </c>
      <c r="N65" s="16">
        <f ca="1">SUM($M$9:M65)/A65</f>
        <v>348.23508771929812</v>
      </c>
    </row>
    <row r="66" spans="1:14" x14ac:dyDescent="0.25">
      <c r="A66" s="8">
        <v>58</v>
      </c>
      <c r="B66" s="9">
        <f t="shared" ca="1" si="6"/>
        <v>2881</v>
      </c>
      <c r="C66" s="10">
        <f t="shared" ca="1" si="7"/>
        <v>1800</v>
      </c>
      <c r="D66" s="11">
        <f t="shared" ca="1" si="0"/>
        <v>0.96049767668535024</v>
      </c>
      <c r="E66" s="9">
        <f t="shared" ca="1" si="1"/>
        <v>487</v>
      </c>
      <c r="F66" s="9">
        <f t="shared" ca="1" si="8"/>
        <v>2394</v>
      </c>
      <c r="G66" s="12" t="str">
        <f t="shared" ca="1" si="11"/>
        <v>No</v>
      </c>
      <c r="H66" s="12">
        <f t="shared" ca="1" si="2"/>
        <v>0</v>
      </c>
      <c r="I66" s="10">
        <f t="shared" ca="1" si="12"/>
        <v>0</v>
      </c>
      <c r="J66" s="13">
        <f t="shared" ca="1" si="13"/>
        <v>0</v>
      </c>
      <c r="K66" s="14">
        <f t="shared" ca="1" si="14"/>
        <v>478.8</v>
      </c>
      <c r="L66" s="14">
        <f t="shared" ca="1" si="15"/>
        <v>0</v>
      </c>
      <c r="M66" s="15">
        <f t="shared" ca="1" si="16"/>
        <v>478.8</v>
      </c>
      <c r="N66" s="16">
        <f ca="1">SUM($M$9:M66)/A66</f>
        <v>350.48620689655161</v>
      </c>
    </row>
    <row r="67" spans="1:14" x14ac:dyDescent="0.25">
      <c r="A67" s="8">
        <v>59</v>
      </c>
      <c r="B67" s="9">
        <f t="shared" ca="1" si="6"/>
        <v>2394</v>
      </c>
      <c r="C67" s="10">
        <f t="shared" ca="1" si="7"/>
        <v>0</v>
      </c>
      <c r="D67" s="11">
        <f t="shared" ca="1" si="0"/>
        <v>0.11902330892478497</v>
      </c>
      <c r="E67" s="9">
        <f t="shared" ca="1" si="1"/>
        <v>341</v>
      </c>
      <c r="F67" s="9">
        <f t="shared" ca="1" si="8"/>
        <v>2053</v>
      </c>
      <c r="G67" s="12" t="str">
        <f t="shared" ca="1" si="11"/>
        <v>No</v>
      </c>
      <c r="H67" s="12">
        <f t="shared" ca="1" si="2"/>
        <v>0</v>
      </c>
      <c r="I67" s="10">
        <f t="shared" ca="1" si="12"/>
        <v>0</v>
      </c>
      <c r="J67" s="13">
        <f t="shared" ca="1" si="13"/>
        <v>0</v>
      </c>
      <c r="K67" s="14">
        <f t="shared" ca="1" si="14"/>
        <v>410.6</v>
      </c>
      <c r="L67" s="14">
        <f t="shared" ca="1" si="15"/>
        <v>0</v>
      </c>
      <c r="M67" s="15">
        <f t="shared" ca="1" si="16"/>
        <v>410.6</v>
      </c>
      <c r="N67" s="16">
        <f ca="1">SUM($M$9:M67)/A67</f>
        <v>351.50508474576259</v>
      </c>
    </row>
    <row r="68" spans="1:14" x14ac:dyDescent="0.25">
      <c r="A68" s="8">
        <v>60</v>
      </c>
      <c r="B68" s="9">
        <f t="shared" ca="1" si="6"/>
        <v>2053</v>
      </c>
      <c r="C68" s="10">
        <f t="shared" ca="1" si="7"/>
        <v>0</v>
      </c>
      <c r="D68" s="11">
        <f t="shared" ca="1" si="0"/>
        <v>0.60362837621282861</v>
      </c>
      <c r="E68" s="9">
        <f t="shared" ca="1" si="1"/>
        <v>413</v>
      </c>
      <c r="F68" s="9">
        <f t="shared" ca="1" si="8"/>
        <v>1640</v>
      </c>
      <c r="G68" s="12" t="str">
        <f t="shared" ca="1" si="11"/>
        <v>No</v>
      </c>
      <c r="H68" s="12">
        <f t="shared" ca="1" si="2"/>
        <v>0</v>
      </c>
      <c r="I68" s="10">
        <f t="shared" ca="1" si="12"/>
        <v>0</v>
      </c>
      <c r="J68" s="13">
        <f t="shared" ca="1" si="13"/>
        <v>0</v>
      </c>
      <c r="K68" s="14">
        <f t="shared" ca="1" si="14"/>
        <v>328</v>
      </c>
      <c r="L68" s="14">
        <f t="shared" ca="1" si="15"/>
        <v>0</v>
      </c>
      <c r="M68" s="15">
        <f t="shared" ca="1" si="16"/>
        <v>328</v>
      </c>
      <c r="N68" s="16">
        <f ca="1">SUM($M$9:M68)/A68</f>
        <v>351.11333333333317</v>
      </c>
    </row>
    <row r="69" spans="1:14" x14ac:dyDescent="0.25">
      <c r="A69" s="8">
        <v>61</v>
      </c>
      <c r="B69" s="9">
        <f t="shared" ca="1" si="6"/>
        <v>1640</v>
      </c>
      <c r="C69" s="10">
        <f t="shared" ca="1" si="7"/>
        <v>0</v>
      </c>
      <c r="D69" s="11">
        <f t="shared" ca="1" si="0"/>
        <v>0.8701497554622184</v>
      </c>
      <c r="E69" s="9">
        <f t="shared" ca="1" si="1"/>
        <v>456</v>
      </c>
      <c r="F69" s="9">
        <f t="shared" ca="1" si="8"/>
        <v>1184</v>
      </c>
      <c r="G69" s="12" t="str">
        <f t="shared" ca="1" si="11"/>
        <v>No</v>
      </c>
      <c r="H69" s="12">
        <f t="shared" ca="1" si="2"/>
        <v>0</v>
      </c>
      <c r="I69" s="10">
        <f t="shared" ca="1" si="12"/>
        <v>0</v>
      </c>
      <c r="J69" s="13">
        <f t="shared" ca="1" si="13"/>
        <v>0</v>
      </c>
      <c r="K69" s="14">
        <f t="shared" ca="1" si="14"/>
        <v>236.8</v>
      </c>
      <c r="L69" s="14">
        <f t="shared" ca="1" si="15"/>
        <v>0</v>
      </c>
      <c r="M69" s="15">
        <f t="shared" ca="1" si="16"/>
        <v>236.8</v>
      </c>
      <c r="N69" s="16">
        <f ca="1">SUM($M$9:M69)/A69</f>
        <v>349.23934426229494</v>
      </c>
    </row>
    <row r="70" spans="1:14" x14ac:dyDescent="0.25">
      <c r="A70" s="8">
        <v>62</v>
      </c>
      <c r="B70" s="9">
        <f t="shared" ca="1" si="6"/>
        <v>1184</v>
      </c>
      <c r="C70" s="10">
        <f t="shared" ca="1" si="7"/>
        <v>0</v>
      </c>
      <c r="D70" s="11">
        <f t="shared" ca="1" si="0"/>
        <v>0.85923951537658261</v>
      </c>
      <c r="E70" s="9">
        <f t="shared" ca="1" si="1"/>
        <v>453</v>
      </c>
      <c r="F70" s="9">
        <f t="shared" ca="1" si="8"/>
        <v>731</v>
      </c>
      <c r="G70" s="12" t="str">
        <f t="shared" ca="1" si="11"/>
        <v>Yes</v>
      </c>
      <c r="H70" s="12">
        <f t="shared" ca="1" si="2"/>
        <v>0.87409061828109291</v>
      </c>
      <c r="I70" s="10">
        <f t="shared" ca="1" si="12"/>
        <v>2</v>
      </c>
      <c r="J70" s="13">
        <f t="shared" ca="1" si="13"/>
        <v>300</v>
      </c>
      <c r="K70" s="14">
        <f t="shared" ca="1" si="14"/>
        <v>146.20000000000002</v>
      </c>
      <c r="L70" s="14">
        <f t="shared" ca="1" si="15"/>
        <v>0</v>
      </c>
      <c r="M70" s="15">
        <f t="shared" ca="1" si="16"/>
        <v>446.20000000000005</v>
      </c>
      <c r="N70" s="16">
        <f ca="1">SUM($M$9:M70)/A70</f>
        <v>350.80322580645151</v>
      </c>
    </row>
    <row r="71" spans="1:14" x14ac:dyDescent="0.25">
      <c r="A71" s="8">
        <v>63</v>
      </c>
      <c r="B71" s="9">
        <f t="shared" ca="1" si="6"/>
        <v>731</v>
      </c>
      <c r="C71" s="10">
        <f t="shared" ca="1" si="7"/>
        <v>0</v>
      </c>
      <c r="D71" s="11">
        <f t="shared" ca="1" si="0"/>
        <v>0.70015268644588791</v>
      </c>
      <c r="E71" s="9">
        <f t="shared" ca="1" si="1"/>
        <v>426</v>
      </c>
      <c r="F71" s="9">
        <f t="shared" ca="1" si="8"/>
        <v>305</v>
      </c>
      <c r="G71" s="12" t="str">
        <f t="shared" ca="1" si="11"/>
        <v>No</v>
      </c>
      <c r="H71" s="12">
        <f t="shared" ca="1" si="2"/>
        <v>0</v>
      </c>
      <c r="I71" s="10">
        <f t="shared" ca="1" si="12"/>
        <v>1</v>
      </c>
      <c r="J71" s="13">
        <f t="shared" ca="1" si="13"/>
        <v>0</v>
      </c>
      <c r="K71" s="14">
        <f t="shared" ca="1" si="14"/>
        <v>61</v>
      </c>
      <c r="L71" s="14">
        <f t="shared" ca="1" si="15"/>
        <v>0</v>
      </c>
      <c r="M71" s="15">
        <f t="shared" ca="1" si="16"/>
        <v>61</v>
      </c>
      <c r="N71" s="16">
        <f ca="1">SUM($M$9:M71)/A71</f>
        <v>346.20317460317449</v>
      </c>
    </row>
    <row r="72" spans="1:14" x14ac:dyDescent="0.25">
      <c r="A72" s="8">
        <v>64</v>
      </c>
      <c r="B72" s="9">
        <f t="shared" ca="1" si="6"/>
        <v>2105</v>
      </c>
      <c r="C72" s="10">
        <f t="shared" ca="1" si="7"/>
        <v>1800</v>
      </c>
      <c r="D72" s="11">
        <f t="shared" ca="1" si="0"/>
        <v>0.43109993577078265</v>
      </c>
      <c r="E72" s="9">
        <f t="shared" ca="1" si="1"/>
        <v>391</v>
      </c>
      <c r="F72" s="9">
        <f t="shared" ca="1" si="8"/>
        <v>1714</v>
      </c>
      <c r="G72" s="12" t="str">
        <f t="shared" ca="1" si="11"/>
        <v>No</v>
      </c>
      <c r="H72" s="12">
        <f t="shared" ca="1" si="2"/>
        <v>0</v>
      </c>
      <c r="I72" s="10">
        <f t="shared" ca="1" si="12"/>
        <v>0</v>
      </c>
      <c r="J72" s="13">
        <f t="shared" ca="1" si="13"/>
        <v>0</v>
      </c>
      <c r="K72" s="14">
        <f t="shared" ca="1" si="14"/>
        <v>342.8</v>
      </c>
      <c r="L72" s="14">
        <f t="shared" ca="1" si="15"/>
        <v>0</v>
      </c>
      <c r="M72" s="15">
        <f t="shared" ca="1" si="16"/>
        <v>342.8</v>
      </c>
      <c r="N72" s="16">
        <f ca="1">SUM($M$9:M72)/A72</f>
        <v>346.14999999999986</v>
      </c>
    </row>
    <row r="73" spans="1:14" x14ac:dyDescent="0.25">
      <c r="A73" s="8">
        <v>65</v>
      </c>
      <c r="B73" s="9">
        <f t="shared" ca="1" si="6"/>
        <v>1714</v>
      </c>
      <c r="C73" s="10">
        <f t="shared" ca="1" si="7"/>
        <v>0</v>
      </c>
      <c r="D73" s="11">
        <f t="shared" ca="1" si="0"/>
        <v>0.79314614084490509</v>
      </c>
      <c r="E73" s="9">
        <f t="shared" ca="1" si="1"/>
        <v>440</v>
      </c>
      <c r="F73" s="9">
        <f t="shared" ca="1" si="8"/>
        <v>1274</v>
      </c>
      <c r="G73" s="12" t="str">
        <f t="shared" ca="1" si="11"/>
        <v>No</v>
      </c>
      <c r="H73" s="12">
        <f t="shared" ca="1" si="2"/>
        <v>0</v>
      </c>
      <c r="I73" s="10">
        <f t="shared" ca="1" si="12"/>
        <v>0</v>
      </c>
      <c r="J73" s="13">
        <f t="shared" ca="1" si="13"/>
        <v>0</v>
      </c>
      <c r="K73" s="14">
        <f t="shared" ca="1" si="14"/>
        <v>254.8</v>
      </c>
      <c r="L73" s="14">
        <f t="shared" ca="1" si="15"/>
        <v>0</v>
      </c>
      <c r="M73" s="15">
        <f t="shared" ca="1" si="16"/>
        <v>254.8</v>
      </c>
      <c r="N73" s="16">
        <f ca="1">SUM($M$9:M73)/A73</f>
        <v>344.74461538461526</v>
      </c>
    </row>
    <row r="74" spans="1:14" x14ac:dyDescent="0.25">
      <c r="A74" s="8">
        <v>66</v>
      </c>
      <c r="B74" s="9">
        <f t="shared" ca="1" si="6"/>
        <v>1274</v>
      </c>
      <c r="C74" s="10">
        <f t="shared" ca="1" si="7"/>
        <v>0</v>
      </c>
      <c r="D74" s="11">
        <f t="shared" ref="D74:D137" ca="1" si="17">RAND()</f>
        <v>0.59493101871649334</v>
      </c>
      <c r="E74" s="9">
        <f t="shared" ref="E74:E137" ca="1" si="18">INT(NORMINV(D74,D_Mean,D_StdDev))</f>
        <v>412</v>
      </c>
      <c r="F74" s="9">
        <f t="shared" ca="1" si="8"/>
        <v>862</v>
      </c>
      <c r="G74" s="12" t="str">
        <f t="shared" ca="1" si="11"/>
        <v>Yes</v>
      </c>
      <c r="H74" s="12">
        <f t="shared" ref="H74:H137" ca="1" si="19">IF(G74="Yes",RAND(),0)</f>
        <v>0.954458980447218</v>
      </c>
      <c r="I74" s="10">
        <f t="shared" ca="1" si="12"/>
        <v>3</v>
      </c>
      <c r="J74" s="13">
        <f t="shared" ca="1" si="13"/>
        <v>300</v>
      </c>
      <c r="K74" s="14">
        <f t="shared" ca="1" si="14"/>
        <v>172.4</v>
      </c>
      <c r="L74" s="14">
        <f t="shared" ca="1" si="15"/>
        <v>0</v>
      </c>
      <c r="M74" s="15">
        <f t="shared" ca="1" si="16"/>
        <v>472.4</v>
      </c>
      <c r="N74" s="16">
        <f ca="1">SUM($M$9:M74)/A74</f>
        <v>346.67878787878777</v>
      </c>
    </row>
    <row r="75" spans="1:14" x14ac:dyDescent="0.25">
      <c r="A75" s="8">
        <v>67</v>
      </c>
      <c r="B75" s="9">
        <f t="shared" ref="B75:B138" ca="1" si="20">IF(I74=1,F74+Quantity,F74)</f>
        <v>862</v>
      </c>
      <c r="C75" s="10">
        <f t="shared" ref="C75:C138" ca="1" si="21">IF(I74=1,Quantity,0)</f>
        <v>0</v>
      </c>
      <c r="D75" s="11">
        <f t="shared" ca="1" si="17"/>
        <v>0.71066191144558233</v>
      </c>
      <c r="E75" s="9">
        <f t="shared" ca="1" si="18"/>
        <v>427</v>
      </c>
      <c r="F75" s="9">
        <f t="shared" ref="F75:F138" ca="1" si="22">IF(B75+C75-E75&lt;0,0,B75-E75)</f>
        <v>435</v>
      </c>
      <c r="G75" s="12" t="str">
        <f t="shared" ca="1" si="11"/>
        <v>No</v>
      </c>
      <c r="H75" s="12">
        <f t="shared" ca="1" si="19"/>
        <v>0</v>
      </c>
      <c r="I75" s="10">
        <f t="shared" ca="1" si="12"/>
        <v>2</v>
      </c>
      <c r="J75" s="13">
        <f t="shared" ca="1" si="13"/>
        <v>0</v>
      </c>
      <c r="K75" s="14">
        <f t="shared" ca="1" si="14"/>
        <v>87</v>
      </c>
      <c r="L75" s="14">
        <f t="shared" ca="1" si="15"/>
        <v>0</v>
      </c>
      <c r="M75" s="15">
        <f t="shared" ca="1" si="16"/>
        <v>87</v>
      </c>
      <c r="N75" s="16">
        <f ca="1">SUM($M$9:M75)/A75</f>
        <v>342.80298507462675</v>
      </c>
    </row>
    <row r="76" spans="1:14" x14ac:dyDescent="0.25">
      <c r="A76" s="8">
        <v>68</v>
      </c>
      <c r="B76" s="9">
        <f t="shared" ca="1" si="20"/>
        <v>435</v>
      </c>
      <c r="C76" s="10">
        <f t="shared" ca="1" si="21"/>
        <v>0</v>
      </c>
      <c r="D76" s="11">
        <f t="shared" ca="1" si="17"/>
        <v>0.76201444439307664</v>
      </c>
      <c r="E76" s="9">
        <f t="shared" ca="1" si="18"/>
        <v>435</v>
      </c>
      <c r="F76" s="9">
        <f t="shared" ca="1" si="22"/>
        <v>0</v>
      </c>
      <c r="G76" s="12" t="str">
        <f t="shared" ref="G76:G139" ca="1" si="23">IF(B76&lt;Point,IF(I75=0,"Yes","No"),"No")</f>
        <v>No</v>
      </c>
      <c r="H76" s="12">
        <f t="shared" ca="1" si="19"/>
        <v>0</v>
      </c>
      <c r="I76" s="10">
        <f t="shared" ca="1" si="12"/>
        <v>1</v>
      </c>
      <c r="J76" s="13">
        <f t="shared" ca="1" si="13"/>
        <v>0</v>
      </c>
      <c r="K76" s="14">
        <f t="shared" ca="1" si="14"/>
        <v>0</v>
      </c>
      <c r="L76" s="14">
        <f t="shared" ca="1" si="15"/>
        <v>0</v>
      </c>
      <c r="M76" s="15">
        <f t="shared" ca="1" si="16"/>
        <v>0</v>
      </c>
      <c r="N76" s="16">
        <f ca="1">SUM($M$9:M76)/A76</f>
        <v>337.76176470588223</v>
      </c>
    </row>
    <row r="77" spans="1:14" x14ac:dyDescent="0.25">
      <c r="A77" s="8">
        <v>69</v>
      </c>
      <c r="B77" s="9">
        <f t="shared" ca="1" si="20"/>
        <v>1800</v>
      </c>
      <c r="C77" s="10">
        <f t="shared" ca="1" si="21"/>
        <v>1800</v>
      </c>
      <c r="D77" s="11">
        <f t="shared" ca="1" si="17"/>
        <v>0.8248008525086028</v>
      </c>
      <c r="E77" s="9">
        <f t="shared" ca="1" si="18"/>
        <v>446</v>
      </c>
      <c r="F77" s="9">
        <f t="shared" ca="1" si="22"/>
        <v>1354</v>
      </c>
      <c r="G77" s="12" t="str">
        <f t="shared" ca="1" si="23"/>
        <v>No</v>
      </c>
      <c r="H77" s="12">
        <f t="shared" ca="1" si="19"/>
        <v>0</v>
      </c>
      <c r="I77" s="10">
        <f t="shared" ca="1" si="12"/>
        <v>0</v>
      </c>
      <c r="J77" s="13">
        <f t="shared" ca="1" si="13"/>
        <v>0</v>
      </c>
      <c r="K77" s="14">
        <f t="shared" ca="1" si="14"/>
        <v>270.8</v>
      </c>
      <c r="L77" s="14">
        <f t="shared" ca="1" si="15"/>
        <v>0</v>
      </c>
      <c r="M77" s="15">
        <f t="shared" ca="1" si="16"/>
        <v>270.8</v>
      </c>
      <c r="N77" s="16">
        <f ca="1">SUM($M$9:M77)/A77</f>
        <v>336.79130434782599</v>
      </c>
    </row>
    <row r="78" spans="1:14" x14ac:dyDescent="0.25">
      <c r="A78" s="8">
        <v>70</v>
      </c>
      <c r="B78" s="9">
        <f t="shared" ca="1" si="20"/>
        <v>1354</v>
      </c>
      <c r="C78" s="10">
        <f t="shared" ca="1" si="21"/>
        <v>0</v>
      </c>
      <c r="D78" s="11">
        <f t="shared" ca="1" si="17"/>
        <v>0.20476495325810051</v>
      </c>
      <c r="E78" s="9">
        <f t="shared" ca="1" si="18"/>
        <v>358</v>
      </c>
      <c r="F78" s="9">
        <f t="shared" ca="1" si="22"/>
        <v>996</v>
      </c>
      <c r="G78" s="12" t="str">
        <f t="shared" ca="1" si="23"/>
        <v>Yes</v>
      </c>
      <c r="H78" s="12">
        <f t="shared" ca="1" si="19"/>
        <v>0.47085698224231642</v>
      </c>
      <c r="I78" s="10">
        <f t="shared" ca="1" si="12"/>
        <v>1</v>
      </c>
      <c r="J78" s="13">
        <f t="shared" ca="1" si="13"/>
        <v>300</v>
      </c>
      <c r="K78" s="14">
        <f t="shared" ca="1" si="14"/>
        <v>199.20000000000002</v>
      </c>
      <c r="L78" s="14">
        <f t="shared" ca="1" si="15"/>
        <v>0</v>
      </c>
      <c r="M78" s="15">
        <f t="shared" ca="1" si="16"/>
        <v>499.20000000000005</v>
      </c>
      <c r="N78" s="16">
        <f ca="1">SUM($M$9:M78)/A78</f>
        <v>339.11142857142846</v>
      </c>
    </row>
    <row r="79" spans="1:14" x14ac:dyDescent="0.25">
      <c r="A79" s="8">
        <v>71</v>
      </c>
      <c r="B79" s="9">
        <f t="shared" ca="1" si="20"/>
        <v>2796</v>
      </c>
      <c r="C79" s="10">
        <f t="shared" ca="1" si="21"/>
        <v>1800</v>
      </c>
      <c r="D79" s="11">
        <f t="shared" ca="1" si="17"/>
        <v>5.8568686301747386E-2</v>
      </c>
      <c r="E79" s="9">
        <f t="shared" ca="1" si="18"/>
        <v>321</v>
      </c>
      <c r="F79" s="9">
        <f t="shared" ca="1" si="22"/>
        <v>2475</v>
      </c>
      <c r="G79" s="12" t="str">
        <f t="shared" ca="1" si="23"/>
        <v>No</v>
      </c>
      <c r="H79" s="12">
        <f t="shared" ca="1" si="19"/>
        <v>0</v>
      </c>
      <c r="I79" s="10">
        <f t="shared" ca="1" si="12"/>
        <v>0</v>
      </c>
      <c r="J79" s="13">
        <f t="shared" ca="1" si="13"/>
        <v>0</v>
      </c>
      <c r="K79" s="14">
        <f t="shared" ca="1" si="14"/>
        <v>495</v>
      </c>
      <c r="L79" s="14">
        <f t="shared" ca="1" si="15"/>
        <v>0</v>
      </c>
      <c r="M79" s="15">
        <f t="shared" ca="1" si="16"/>
        <v>495</v>
      </c>
      <c r="N79" s="16">
        <f ca="1">SUM($M$9:M79)/A79</f>
        <v>341.30704225352099</v>
      </c>
    </row>
    <row r="80" spans="1:14" x14ac:dyDescent="0.25">
      <c r="A80" s="8">
        <v>72</v>
      </c>
      <c r="B80" s="9">
        <f t="shared" ca="1" si="20"/>
        <v>2475</v>
      </c>
      <c r="C80" s="10">
        <f t="shared" ca="1" si="21"/>
        <v>0</v>
      </c>
      <c r="D80" s="11">
        <f t="shared" ca="1" si="17"/>
        <v>0.80102166485959159</v>
      </c>
      <c r="E80" s="9">
        <f t="shared" ca="1" si="18"/>
        <v>442</v>
      </c>
      <c r="F80" s="9">
        <f t="shared" ca="1" si="22"/>
        <v>2033</v>
      </c>
      <c r="G80" s="12" t="str">
        <f t="shared" ca="1" si="23"/>
        <v>No</v>
      </c>
      <c r="H80" s="12">
        <f t="shared" ca="1" si="19"/>
        <v>0</v>
      </c>
      <c r="I80" s="10">
        <f t="shared" ca="1" si="12"/>
        <v>0</v>
      </c>
      <c r="J80" s="13">
        <f t="shared" ca="1" si="13"/>
        <v>0</v>
      </c>
      <c r="K80" s="14">
        <f t="shared" ca="1" si="14"/>
        <v>406.6</v>
      </c>
      <c r="L80" s="14">
        <f t="shared" ca="1" si="15"/>
        <v>0</v>
      </c>
      <c r="M80" s="15">
        <f t="shared" ca="1" si="16"/>
        <v>406.6</v>
      </c>
      <c r="N80" s="16">
        <f ca="1">SUM($M$9:M80)/A80</f>
        <v>342.21388888888873</v>
      </c>
    </row>
    <row r="81" spans="1:14" x14ac:dyDescent="0.25">
      <c r="A81" s="8">
        <v>73</v>
      </c>
      <c r="B81" s="9">
        <f t="shared" ca="1" si="20"/>
        <v>2033</v>
      </c>
      <c r="C81" s="10">
        <f t="shared" ca="1" si="21"/>
        <v>0</v>
      </c>
      <c r="D81" s="11">
        <f t="shared" ca="1" si="17"/>
        <v>5.1886432264385274E-2</v>
      </c>
      <c r="E81" s="9">
        <f t="shared" ca="1" si="18"/>
        <v>318</v>
      </c>
      <c r="F81" s="9">
        <f t="shared" ca="1" si="22"/>
        <v>1715</v>
      </c>
      <c r="G81" s="12" t="str">
        <f t="shared" ca="1" si="23"/>
        <v>No</v>
      </c>
      <c r="H81" s="12">
        <f t="shared" ca="1" si="19"/>
        <v>0</v>
      </c>
      <c r="I81" s="10">
        <f t="shared" ca="1" si="12"/>
        <v>0</v>
      </c>
      <c r="J81" s="13">
        <f t="shared" ca="1" si="13"/>
        <v>0</v>
      </c>
      <c r="K81" s="14">
        <f t="shared" ca="1" si="14"/>
        <v>343</v>
      </c>
      <c r="L81" s="14">
        <f t="shared" ca="1" si="15"/>
        <v>0</v>
      </c>
      <c r="M81" s="15">
        <f t="shared" ca="1" si="16"/>
        <v>343</v>
      </c>
      <c r="N81" s="16">
        <f ca="1">SUM($M$9:M81)/A81</f>
        <v>342.22465753424643</v>
      </c>
    </row>
    <row r="82" spans="1:14" x14ac:dyDescent="0.25">
      <c r="A82" s="8">
        <v>74</v>
      </c>
      <c r="B82" s="9">
        <f t="shared" ca="1" si="20"/>
        <v>1715</v>
      </c>
      <c r="C82" s="10">
        <f t="shared" ca="1" si="21"/>
        <v>0</v>
      </c>
      <c r="D82" s="11">
        <f t="shared" ca="1" si="17"/>
        <v>0.20571228705036815</v>
      </c>
      <c r="E82" s="9">
        <f t="shared" ca="1" si="18"/>
        <v>358</v>
      </c>
      <c r="F82" s="9">
        <f t="shared" ca="1" si="22"/>
        <v>1357</v>
      </c>
      <c r="G82" s="12" t="str">
        <f t="shared" ca="1" si="23"/>
        <v>No</v>
      </c>
      <c r="H82" s="12">
        <f t="shared" ca="1" si="19"/>
        <v>0</v>
      </c>
      <c r="I82" s="10">
        <f t="shared" ca="1" si="12"/>
        <v>0</v>
      </c>
      <c r="J82" s="13">
        <f t="shared" ca="1" si="13"/>
        <v>0</v>
      </c>
      <c r="K82" s="14">
        <f t="shared" ca="1" si="14"/>
        <v>271.40000000000003</v>
      </c>
      <c r="L82" s="14">
        <f t="shared" ca="1" si="15"/>
        <v>0</v>
      </c>
      <c r="M82" s="15">
        <f t="shared" ca="1" si="16"/>
        <v>271.40000000000003</v>
      </c>
      <c r="N82" s="16">
        <f ca="1">SUM($M$9:M82)/A82</f>
        <v>341.26756756756748</v>
      </c>
    </row>
    <row r="83" spans="1:14" x14ac:dyDescent="0.25">
      <c r="A83" s="8">
        <v>75</v>
      </c>
      <c r="B83" s="9">
        <f t="shared" ca="1" si="20"/>
        <v>1357</v>
      </c>
      <c r="C83" s="10">
        <f t="shared" ca="1" si="21"/>
        <v>0</v>
      </c>
      <c r="D83" s="11">
        <f t="shared" ca="1" si="17"/>
        <v>0.50189227949183013</v>
      </c>
      <c r="E83" s="9">
        <f t="shared" ca="1" si="18"/>
        <v>400</v>
      </c>
      <c r="F83" s="9">
        <f t="shared" ca="1" si="22"/>
        <v>957</v>
      </c>
      <c r="G83" s="12" t="str">
        <f t="shared" ca="1" si="23"/>
        <v>Yes</v>
      </c>
      <c r="H83" s="12">
        <f t="shared" ca="1" si="19"/>
        <v>0.42644045574591716</v>
      </c>
      <c r="I83" s="10">
        <f t="shared" ca="1" si="12"/>
        <v>1</v>
      </c>
      <c r="J83" s="13">
        <f t="shared" ca="1" si="13"/>
        <v>300</v>
      </c>
      <c r="K83" s="14">
        <f t="shared" ca="1" si="14"/>
        <v>191.4</v>
      </c>
      <c r="L83" s="14">
        <f t="shared" ca="1" si="15"/>
        <v>0</v>
      </c>
      <c r="M83" s="15">
        <f t="shared" ca="1" si="16"/>
        <v>491.4</v>
      </c>
      <c r="N83" s="16">
        <f ca="1">SUM($M$9:M83)/A83</f>
        <v>343.26933333333324</v>
      </c>
    </row>
    <row r="84" spans="1:14" x14ac:dyDescent="0.25">
      <c r="A84" s="8">
        <v>76</v>
      </c>
      <c r="B84" s="9">
        <f t="shared" ca="1" si="20"/>
        <v>2757</v>
      </c>
      <c r="C84" s="10">
        <f t="shared" ca="1" si="21"/>
        <v>1800</v>
      </c>
      <c r="D84" s="11">
        <f t="shared" ca="1" si="17"/>
        <v>0.72538135890450717</v>
      </c>
      <c r="E84" s="9">
        <f t="shared" ca="1" si="18"/>
        <v>429</v>
      </c>
      <c r="F84" s="9">
        <f t="shared" ca="1" si="22"/>
        <v>2328</v>
      </c>
      <c r="G84" s="12" t="str">
        <f t="shared" ca="1" si="23"/>
        <v>No</v>
      </c>
      <c r="H84" s="12">
        <f t="shared" ca="1" si="19"/>
        <v>0</v>
      </c>
      <c r="I84" s="10">
        <f t="shared" ca="1" si="12"/>
        <v>0</v>
      </c>
      <c r="J84" s="13">
        <f t="shared" ca="1" si="13"/>
        <v>0</v>
      </c>
      <c r="K84" s="14">
        <f t="shared" ca="1" si="14"/>
        <v>465.6</v>
      </c>
      <c r="L84" s="14">
        <f t="shared" ca="1" si="15"/>
        <v>0</v>
      </c>
      <c r="M84" s="15">
        <f t="shared" ca="1" si="16"/>
        <v>465.6</v>
      </c>
      <c r="N84" s="16">
        <f ca="1">SUM($M$9:M84)/A84</f>
        <v>344.87894736842094</v>
      </c>
    </row>
    <row r="85" spans="1:14" x14ac:dyDescent="0.25">
      <c r="A85" s="8">
        <v>77</v>
      </c>
      <c r="B85" s="9">
        <f t="shared" ca="1" si="20"/>
        <v>2328</v>
      </c>
      <c r="C85" s="10">
        <f t="shared" ca="1" si="21"/>
        <v>0</v>
      </c>
      <c r="D85" s="11">
        <f t="shared" ca="1" si="17"/>
        <v>0.7231594537479562</v>
      </c>
      <c r="E85" s="9">
        <f t="shared" ca="1" si="18"/>
        <v>429</v>
      </c>
      <c r="F85" s="9">
        <f t="shared" ca="1" si="22"/>
        <v>1899</v>
      </c>
      <c r="G85" s="12" t="str">
        <f t="shared" ca="1" si="23"/>
        <v>No</v>
      </c>
      <c r="H85" s="12">
        <f t="shared" ca="1" si="19"/>
        <v>0</v>
      </c>
      <c r="I85" s="10">
        <f t="shared" ca="1" si="12"/>
        <v>0</v>
      </c>
      <c r="J85" s="13">
        <f t="shared" ca="1" si="13"/>
        <v>0</v>
      </c>
      <c r="K85" s="14">
        <f t="shared" ca="1" si="14"/>
        <v>379.8</v>
      </c>
      <c r="L85" s="14">
        <f t="shared" ca="1" si="15"/>
        <v>0</v>
      </c>
      <c r="M85" s="15">
        <f t="shared" ca="1" si="16"/>
        <v>379.8</v>
      </c>
      <c r="N85" s="16">
        <f ca="1">SUM($M$9:M85)/A85</f>
        <v>345.33246753246743</v>
      </c>
    </row>
    <row r="86" spans="1:14" x14ac:dyDescent="0.25">
      <c r="A86" s="8">
        <v>78</v>
      </c>
      <c r="B86" s="9">
        <f t="shared" ca="1" si="20"/>
        <v>1899</v>
      </c>
      <c r="C86" s="10">
        <f t="shared" ca="1" si="21"/>
        <v>0</v>
      </c>
      <c r="D86" s="11">
        <f t="shared" ca="1" si="17"/>
        <v>0.7222861863479717</v>
      </c>
      <c r="E86" s="9">
        <f t="shared" ca="1" si="18"/>
        <v>429</v>
      </c>
      <c r="F86" s="9">
        <f t="shared" ca="1" si="22"/>
        <v>1470</v>
      </c>
      <c r="G86" s="12" t="str">
        <f t="shared" ca="1" si="23"/>
        <v>No</v>
      </c>
      <c r="H86" s="12">
        <f t="shared" ca="1" si="19"/>
        <v>0</v>
      </c>
      <c r="I86" s="10">
        <f t="shared" ref="I86:I149" ca="1" si="24">IF(I85&gt;0,I85-1,(IF(G86="Yes",(VLOOKUP(H86,LTD,3)),0)))</f>
        <v>0</v>
      </c>
      <c r="J86" s="13">
        <f t="shared" ref="J86:J149" ca="1" si="25">IF(G86="Yes",Order_Cost,0)</f>
        <v>0</v>
      </c>
      <c r="K86" s="14">
        <f t="shared" ref="K86:K149" ca="1" si="26">F86*Holding_Cost</f>
        <v>294</v>
      </c>
      <c r="L86" s="14">
        <f t="shared" ref="L86:L149" ca="1" si="27">IF(B86+C86&lt;E86,Shortage_Cost*(E86-B86-C86),0)</f>
        <v>0</v>
      </c>
      <c r="M86" s="15">
        <f t="shared" ref="M86:M149" ca="1" si="28">SUM(J86:L86)</f>
        <v>294</v>
      </c>
      <c r="N86" s="16">
        <f ca="1">SUM($M$9:M86)/A86</f>
        <v>344.67435897435888</v>
      </c>
    </row>
    <row r="87" spans="1:14" x14ac:dyDescent="0.25">
      <c r="A87" s="8">
        <v>79</v>
      </c>
      <c r="B87" s="9">
        <f t="shared" ca="1" si="20"/>
        <v>1470</v>
      </c>
      <c r="C87" s="10">
        <f t="shared" ca="1" si="21"/>
        <v>0</v>
      </c>
      <c r="D87" s="11">
        <f t="shared" ca="1" si="17"/>
        <v>0.54994436092515842</v>
      </c>
      <c r="E87" s="9">
        <f t="shared" ca="1" si="18"/>
        <v>406</v>
      </c>
      <c r="F87" s="9">
        <f t="shared" ca="1" si="22"/>
        <v>1064</v>
      </c>
      <c r="G87" s="12" t="str">
        <f t="shared" ca="1" si="23"/>
        <v>No</v>
      </c>
      <c r="H87" s="12">
        <f t="shared" ca="1" si="19"/>
        <v>0</v>
      </c>
      <c r="I87" s="10">
        <f t="shared" ca="1" si="24"/>
        <v>0</v>
      </c>
      <c r="J87" s="13">
        <f t="shared" ca="1" si="25"/>
        <v>0</v>
      </c>
      <c r="K87" s="14">
        <f t="shared" ca="1" si="26"/>
        <v>212.8</v>
      </c>
      <c r="L87" s="14">
        <f t="shared" ca="1" si="27"/>
        <v>0</v>
      </c>
      <c r="M87" s="15">
        <f t="shared" ca="1" si="28"/>
        <v>212.8</v>
      </c>
      <c r="N87" s="16">
        <f ca="1">SUM($M$9:M87)/A87</f>
        <v>343.00506329113909</v>
      </c>
    </row>
    <row r="88" spans="1:14" x14ac:dyDescent="0.25">
      <c r="A88" s="8">
        <v>80</v>
      </c>
      <c r="B88" s="9">
        <f t="shared" ca="1" si="20"/>
        <v>1064</v>
      </c>
      <c r="C88" s="10">
        <f t="shared" ca="1" si="21"/>
        <v>0</v>
      </c>
      <c r="D88" s="11">
        <f t="shared" ca="1" si="17"/>
        <v>0.93773805244028796</v>
      </c>
      <c r="E88" s="9">
        <f t="shared" ca="1" si="18"/>
        <v>476</v>
      </c>
      <c r="F88" s="9">
        <f t="shared" ca="1" si="22"/>
        <v>588</v>
      </c>
      <c r="G88" s="12" t="str">
        <f t="shared" ca="1" si="23"/>
        <v>Yes</v>
      </c>
      <c r="H88" s="12">
        <f t="shared" ca="1" si="19"/>
        <v>0.42548524819682343</v>
      </c>
      <c r="I88" s="10">
        <f t="shared" ca="1" si="24"/>
        <v>1</v>
      </c>
      <c r="J88" s="13">
        <f t="shared" ca="1" si="25"/>
        <v>300</v>
      </c>
      <c r="K88" s="14">
        <f t="shared" ca="1" si="26"/>
        <v>117.60000000000001</v>
      </c>
      <c r="L88" s="14">
        <f t="shared" ca="1" si="27"/>
        <v>0</v>
      </c>
      <c r="M88" s="15">
        <f t="shared" ca="1" si="28"/>
        <v>417.6</v>
      </c>
      <c r="N88" s="16">
        <f ca="1">SUM($M$9:M88)/A88</f>
        <v>343.93749999999989</v>
      </c>
    </row>
    <row r="89" spans="1:14" x14ac:dyDescent="0.25">
      <c r="A89" s="8">
        <v>81</v>
      </c>
      <c r="B89" s="9">
        <f t="shared" ca="1" si="20"/>
        <v>2388</v>
      </c>
      <c r="C89" s="10">
        <f t="shared" ca="1" si="21"/>
        <v>1800</v>
      </c>
      <c r="D89" s="11">
        <f t="shared" ca="1" si="17"/>
        <v>0.46987538435871101</v>
      </c>
      <c r="E89" s="9">
        <f t="shared" ca="1" si="18"/>
        <v>396</v>
      </c>
      <c r="F89" s="9">
        <f t="shared" ca="1" si="22"/>
        <v>1992</v>
      </c>
      <c r="G89" s="12" t="str">
        <f t="shared" ca="1" si="23"/>
        <v>No</v>
      </c>
      <c r="H89" s="12">
        <f t="shared" ca="1" si="19"/>
        <v>0</v>
      </c>
      <c r="I89" s="10">
        <f t="shared" ca="1" si="24"/>
        <v>0</v>
      </c>
      <c r="J89" s="13">
        <f t="shared" ca="1" si="25"/>
        <v>0</v>
      </c>
      <c r="K89" s="14">
        <f t="shared" ca="1" si="26"/>
        <v>398.40000000000003</v>
      </c>
      <c r="L89" s="14">
        <f t="shared" ca="1" si="27"/>
        <v>0</v>
      </c>
      <c r="M89" s="15">
        <f t="shared" ca="1" si="28"/>
        <v>398.40000000000003</v>
      </c>
      <c r="N89" s="16">
        <f ca="1">SUM($M$9:M89)/A89</f>
        <v>344.60987654320974</v>
      </c>
    </row>
    <row r="90" spans="1:14" x14ac:dyDescent="0.25">
      <c r="A90" s="8">
        <v>82</v>
      </c>
      <c r="B90" s="9">
        <f t="shared" ca="1" si="20"/>
        <v>1992</v>
      </c>
      <c r="C90" s="10">
        <f t="shared" ca="1" si="21"/>
        <v>0</v>
      </c>
      <c r="D90" s="11">
        <f t="shared" ca="1" si="17"/>
        <v>0.12489707709510034</v>
      </c>
      <c r="E90" s="9">
        <f t="shared" ca="1" si="18"/>
        <v>342</v>
      </c>
      <c r="F90" s="9">
        <f t="shared" ca="1" si="22"/>
        <v>1650</v>
      </c>
      <c r="G90" s="12" t="str">
        <f t="shared" ca="1" si="23"/>
        <v>No</v>
      </c>
      <c r="H90" s="12">
        <f t="shared" ca="1" si="19"/>
        <v>0</v>
      </c>
      <c r="I90" s="10">
        <f t="shared" ca="1" si="24"/>
        <v>0</v>
      </c>
      <c r="J90" s="13">
        <f t="shared" ca="1" si="25"/>
        <v>0</v>
      </c>
      <c r="K90" s="14">
        <f t="shared" ca="1" si="26"/>
        <v>330</v>
      </c>
      <c r="L90" s="14">
        <f t="shared" ca="1" si="27"/>
        <v>0</v>
      </c>
      <c r="M90" s="15">
        <f t="shared" ca="1" si="28"/>
        <v>330</v>
      </c>
      <c r="N90" s="16">
        <f ca="1">SUM($M$9:M90)/A90</f>
        <v>344.43170731707306</v>
      </c>
    </row>
    <row r="91" spans="1:14" x14ac:dyDescent="0.25">
      <c r="A91" s="8">
        <v>83</v>
      </c>
      <c r="B91" s="9">
        <f t="shared" ca="1" si="20"/>
        <v>1650</v>
      </c>
      <c r="C91" s="10">
        <f t="shared" ca="1" si="21"/>
        <v>0</v>
      </c>
      <c r="D91" s="11">
        <f t="shared" ca="1" si="17"/>
        <v>0.46490535617838502</v>
      </c>
      <c r="E91" s="9">
        <f t="shared" ca="1" si="18"/>
        <v>395</v>
      </c>
      <c r="F91" s="9">
        <f t="shared" ca="1" si="22"/>
        <v>1255</v>
      </c>
      <c r="G91" s="12" t="str">
        <f t="shared" ca="1" si="23"/>
        <v>No</v>
      </c>
      <c r="H91" s="12">
        <f t="shared" ca="1" si="19"/>
        <v>0</v>
      </c>
      <c r="I91" s="10">
        <f t="shared" ca="1" si="24"/>
        <v>0</v>
      </c>
      <c r="J91" s="13">
        <f t="shared" ca="1" si="25"/>
        <v>0</v>
      </c>
      <c r="K91" s="14">
        <f t="shared" ca="1" si="26"/>
        <v>251</v>
      </c>
      <c r="L91" s="14">
        <f t="shared" ca="1" si="27"/>
        <v>0</v>
      </c>
      <c r="M91" s="15">
        <f t="shared" ca="1" si="28"/>
        <v>251</v>
      </c>
      <c r="N91" s="16">
        <f ca="1">SUM($M$9:M91)/A91</f>
        <v>343.30602409638544</v>
      </c>
    </row>
    <row r="92" spans="1:14" x14ac:dyDescent="0.25">
      <c r="A92" s="8">
        <v>84</v>
      </c>
      <c r="B92" s="9">
        <f t="shared" ca="1" si="20"/>
        <v>1255</v>
      </c>
      <c r="C92" s="10">
        <f t="shared" ca="1" si="21"/>
        <v>0</v>
      </c>
      <c r="D92" s="11">
        <f t="shared" ca="1" si="17"/>
        <v>0.2941922427026229</v>
      </c>
      <c r="E92" s="9">
        <f t="shared" ca="1" si="18"/>
        <v>372</v>
      </c>
      <c r="F92" s="9">
        <f t="shared" ca="1" si="22"/>
        <v>883</v>
      </c>
      <c r="G92" s="12" t="str">
        <f t="shared" ca="1" si="23"/>
        <v>Yes</v>
      </c>
      <c r="H92" s="12">
        <f t="shared" ca="1" si="19"/>
        <v>0.98144970415376909</v>
      </c>
      <c r="I92" s="10">
        <f t="shared" ca="1" si="24"/>
        <v>3</v>
      </c>
      <c r="J92" s="13">
        <f t="shared" ca="1" si="25"/>
        <v>300</v>
      </c>
      <c r="K92" s="14">
        <f t="shared" ca="1" si="26"/>
        <v>176.60000000000002</v>
      </c>
      <c r="L92" s="14">
        <f t="shared" ca="1" si="27"/>
        <v>0</v>
      </c>
      <c r="M92" s="15">
        <f t="shared" ca="1" si="28"/>
        <v>476.6</v>
      </c>
      <c r="N92" s="16">
        <f ca="1">SUM($M$9:M92)/A92</f>
        <v>344.892857142857</v>
      </c>
    </row>
    <row r="93" spans="1:14" x14ac:dyDescent="0.25">
      <c r="A93" s="8">
        <v>85</v>
      </c>
      <c r="B93" s="9">
        <f t="shared" ca="1" si="20"/>
        <v>883</v>
      </c>
      <c r="C93" s="10">
        <f t="shared" ca="1" si="21"/>
        <v>0</v>
      </c>
      <c r="D93" s="11">
        <f t="shared" ca="1" si="17"/>
        <v>0.43593103136747369</v>
      </c>
      <c r="E93" s="9">
        <f t="shared" ca="1" si="18"/>
        <v>391</v>
      </c>
      <c r="F93" s="9">
        <f t="shared" ca="1" si="22"/>
        <v>492</v>
      </c>
      <c r="G93" s="12" t="str">
        <f t="shared" ca="1" si="23"/>
        <v>No</v>
      </c>
      <c r="H93" s="12">
        <f t="shared" ca="1" si="19"/>
        <v>0</v>
      </c>
      <c r="I93" s="10">
        <f t="shared" ca="1" si="24"/>
        <v>2</v>
      </c>
      <c r="J93" s="13">
        <f t="shared" ca="1" si="25"/>
        <v>0</v>
      </c>
      <c r="K93" s="14">
        <f t="shared" ca="1" si="26"/>
        <v>98.4</v>
      </c>
      <c r="L93" s="14">
        <f t="shared" ca="1" si="27"/>
        <v>0</v>
      </c>
      <c r="M93" s="15">
        <f t="shared" ca="1" si="28"/>
        <v>98.4</v>
      </c>
      <c r="N93" s="16">
        <f ca="1">SUM($M$9:M93)/A93</f>
        <v>341.99294117647048</v>
      </c>
    </row>
    <row r="94" spans="1:14" x14ac:dyDescent="0.25">
      <c r="A94" s="8">
        <v>86</v>
      </c>
      <c r="B94" s="9">
        <f t="shared" ca="1" si="20"/>
        <v>492</v>
      </c>
      <c r="C94" s="10">
        <f t="shared" ca="1" si="21"/>
        <v>0</v>
      </c>
      <c r="D94" s="11">
        <f t="shared" ca="1" si="17"/>
        <v>0.10756333564541554</v>
      </c>
      <c r="E94" s="9">
        <f t="shared" ca="1" si="18"/>
        <v>338</v>
      </c>
      <c r="F94" s="9">
        <f t="shared" ca="1" si="22"/>
        <v>154</v>
      </c>
      <c r="G94" s="12" t="str">
        <f t="shared" ca="1" si="23"/>
        <v>No</v>
      </c>
      <c r="H94" s="12">
        <f t="shared" ca="1" si="19"/>
        <v>0</v>
      </c>
      <c r="I94" s="10">
        <f t="shared" ca="1" si="24"/>
        <v>1</v>
      </c>
      <c r="J94" s="13">
        <f t="shared" ca="1" si="25"/>
        <v>0</v>
      </c>
      <c r="K94" s="14">
        <f t="shared" ca="1" si="26"/>
        <v>30.8</v>
      </c>
      <c r="L94" s="14">
        <f t="shared" ca="1" si="27"/>
        <v>0</v>
      </c>
      <c r="M94" s="15">
        <f t="shared" ca="1" si="28"/>
        <v>30.8</v>
      </c>
      <c r="N94" s="16">
        <f ca="1">SUM($M$9:M94)/A94</f>
        <v>338.37441860465105</v>
      </c>
    </row>
    <row r="95" spans="1:14" x14ac:dyDescent="0.25">
      <c r="A95" s="8">
        <v>87</v>
      </c>
      <c r="B95" s="9">
        <f t="shared" ca="1" si="20"/>
        <v>1954</v>
      </c>
      <c r="C95" s="10">
        <f t="shared" ca="1" si="21"/>
        <v>1800</v>
      </c>
      <c r="D95" s="11">
        <f t="shared" ca="1" si="17"/>
        <v>0.18069644637618998</v>
      </c>
      <c r="E95" s="9">
        <f t="shared" ca="1" si="18"/>
        <v>354</v>
      </c>
      <c r="F95" s="9">
        <f t="shared" ca="1" si="22"/>
        <v>1600</v>
      </c>
      <c r="G95" s="12" t="str">
        <f t="shared" ca="1" si="23"/>
        <v>No</v>
      </c>
      <c r="H95" s="12">
        <f t="shared" ca="1" si="19"/>
        <v>0</v>
      </c>
      <c r="I95" s="10">
        <f t="shared" ca="1" si="24"/>
        <v>0</v>
      </c>
      <c r="J95" s="13">
        <f t="shared" ca="1" si="25"/>
        <v>0</v>
      </c>
      <c r="K95" s="14">
        <f t="shared" ca="1" si="26"/>
        <v>320</v>
      </c>
      <c r="L95" s="14">
        <f t="shared" ca="1" si="27"/>
        <v>0</v>
      </c>
      <c r="M95" s="15">
        <f t="shared" ca="1" si="28"/>
        <v>320</v>
      </c>
      <c r="N95" s="16">
        <f ca="1">SUM($M$9:M95)/A95</f>
        <v>338.1632183908045</v>
      </c>
    </row>
    <row r="96" spans="1:14" x14ac:dyDescent="0.25">
      <c r="A96" s="8">
        <v>88</v>
      </c>
      <c r="B96" s="9">
        <f t="shared" ca="1" si="20"/>
        <v>1600</v>
      </c>
      <c r="C96" s="10">
        <f t="shared" ca="1" si="21"/>
        <v>0</v>
      </c>
      <c r="D96" s="11">
        <f t="shared" ca="1" si="17"/>
        <v>5.4220771161496151E-2</v>
      </c>
      <c r="E96" s="9">
        <f t="shared" ca="1" si="18"/>
        <v>319</v>
      </c>
      <c r="F96" s="9">
        <f t="shared" ca="1" si="22"/>
        <v>1281</v>
      </c>
      <c r="G96" s="12" t="str">
        <f t="shared" ca="1" si="23"/>
        <v>No</v>
      </c>
      <c r="H96" s="12">
        <f t="shared" ca="1" si="19"/>
        <v>0</v>
      </c>
      <c r="I96" s="10">
        <f t="shared" ca="1" si="24"/>
        <v>0</v>
      </c>
      <c r="J96" s="13">
        <f t="shared" ca="1" si="25"/>
        <v>0</v>
      </c>
      <c r="K96" s="14">
        <f t="shared" ca="1" si="26"/>
        <v>256.2</v>
      </c>
      <c r="L96" s="14">
        <f t="shared" ca="1" si="27"/>
        <v>0</v>
      </c>
      <c r="M96" s="15">
        <f t="shared" ca="1" si="28"/>
        <v>256.2</v>
      </c>
      <c r="N96" s="16">
        <f ca="1">SUM($M$9:M96)/A96</f>
        <v>337.23181818181808</v>
      </c>
    </row>
    <row r="97" spans="1:14" x14ac:dyDescent="0.25">
      <c r="A97" s="8">
        <v>89</v>
      </c>
      <c r="B97" s="9">
        <f t="shared" ca="1" si="20"/>
        <v>1281</v>
      </c>
      <c r="C97" s="10">
        <f t="shared" ca="1" si="21"/>
        <v>0</v>
      </c>
      <c r="D97" s="11">
        <f t="shared" ca="1" si="17"/>
        <v>0.73206458550852127</v>
      </c>
      <c r="E97" s="9">
        <f t="shared" ca="1" si="18"/>
        <v>430</v>
      </c>
      <c r="F97" s="9">
        <f t="shared" ca="1" si="22"/>
        <v>851</v>
      </c>
      <c r="G97" s="12" t="str">
        <f t="shared" ca="1" si="23"/>
        <v>Yes</v>
      </c>
      <c r="H97" s="12">
        <f t="shared" ca="1" si="19"/>
        <v>0.80452264980551769</v>
      </c>
      <c r="I97" s="10">
        <f t="shared" ca="1" si="24"/>
        <v>2</v>
      </c>
      <c r="J97" s="13">
        <f t="shared" ca="1" si="25"/>
        <v>300</v>
      </c>
      <c r="K97" s="14">
        <f t="shared" ca="1" si="26"/>
        <v>170.20000000000002</v>
      </c>
      <c r="L97" s="14">
        <f t="shared" ca="1" si="27"/>
        <v>0</v>
      </c>
      <c r="M97" s="15">
        <f t="shared" ca="1" si="28"/>
        <v>470.20000000000005</v>
      </c>
      <c r="N97" s="16">
        <f ca="1">SUM($M$9:M97)/A97</f>
        <v>338.72584269662912</v>
      </c>
    </row>
    <row r="98" spans="1:14" x14ac:dyDescent="0.25">
      <c r="A98" s="8">
        <v>90</v>
      </c>
      <c r="B98" s="9">
        <f t="shared" ca="1" si="20"/>
        <v>851</v>
      </c>
      <c r="C98" s="10">
        <f t="shared" ca="1" si="21"/>
        <v>0</v>
      </c>
      <c r="D98" s="11">
        <f t="shared" ca="1" si="17"/>
        <v>9.143034890503865E-2</v>
      </c>
      <c r="E98" s="9">
        <f t="shared" ca="1" si="18"/>
        <v>333</v>
      </c>
      <c r="F98" s="9">
        <f t="shared" ca="1" si="22"/>
        <v>518</v>
      </c>
      <c r="G98" s="12" t="str">
        <f t="shared" ca="1" si="23"/>
        <v>No</v>
      </c>
      <c r="H98" s="12">
        <f t="shared" ca="1" si="19"/>
        <v>0</v>
      </c>
      <c r="I98" s="10">
        <f t="shared" ca="1" si="24"/>
        <v>1</v>
      </c>
      <c r="J98" s="13">
        <f t="shared" ca="1" si="25"/>
        <v>0</v>
      </c>
      <c r="K98" s="14">
        <f t="shared" ca="1" si="26"/>
        <v>103.60000000000001</v>
      </c>
      <c r="L98" s="14">
        <f t="shared" ca="1" si="27"/>
        <v>0</v>
      </c>
      <c r="M98" s="15">
        <f t="shared" ca="1" si="28"/>
        <v>103.60000000000001</v>
      </c>
      <c r="N98" s="16">
        <f ca="1">SUM($M$9:M98)/A98</f>
        <v>336.11333333333323</v>
      </c>
    </row>
    <row r="99" spans="1:14" x14ac:dyDescent="0.25">
      <c r="A99" s="8">
        <v>91</v>
      </c>
      <c r="B99" s="9">
        <f t="shared" ca="1" si="20"/>
        <v>2318</v>
      </c>
      <c r="C99" s="10">
        <f t="shared" ca="1" si="21"/>
        <v>1800</v>
      </c>
      <c r="D99" s="11">
        <f t="shared" ca="1" si="17"/>
        <v>0.19629741913246646</v>
      </c>
      <c r="E99" s="9">
        <f t="shared" ca="1" si="18"/>
        <v>357</v>
      </c>
      <c r="F99" s="9">
        <f t="shared" ca="1" si="22"/>
        <v>1961</v>
      </c>
      <c r="G99" s="12" t="str">
        <f t="shared" ca="1" si="23"/>
        <v>No</v>
      </c>
      <c r="H99" s="12">
        <f t="shared" ca="1" si="19"/>
        <v>0</v>
      </c>
      <c r="I99" s="10">
        <f t="shared" ca="1" si="24"/>
        <v>0</v>
      </c>
      <c r="J99" s="13">
        <f t="shared" ca="1" si="25"/>
        <v>0</v>
      </c>
      <c r="K99" s="14">
        <f t="shared" ca="1" si="26"/>
        <v>392.20000000000005</v>
      </c>
      <c r="L99" s="14">
        <f t="shared" ca="1" si="27"/>
        <v>0</v>
      </c>
      <c r="M99" s="15">
        <f t="shared" ca="1" si="28"/>
        <v>392.20000000000005</v>
      </c>
      <c r="N99" s="16">
        <f ca="1">SUM($M$9:M99)/A99</f>
        <v>336.72967032967023</v>
      </c>
    </row>
    <row r="100" spans="1:14" x14ac:dyDescent="0.25">
      <c r="A100" s="8">
        <v>92</v>
      </c>
      <c r="B100" s="9">
        <f t="shared" ca="1" si="20"/>
        <v>1961</v>
      </c>
      <c r="C100" s="10">
        <f t="shared" ca="1" si="21"/>
        <v>0</v>
      </c>
      <c r="D100" s="11">
        <f t="shared" ca="1" si="17"/>
        <v>0.77599893404989972</v>
      </c>
      <c r="E100" s="9">
        <f t="shared" ca="1" si="18"/>
        <v>437</v>
      </c>
      <c r="F100" s="9">
        <f t="shared" ca="1" si="22"/>
        <v>1524</v>
      </c>
      <c r="G100" s="12" t="str">
        <f t="shared" ca="1" si="23"/>
        <v>No</v>
      </c>
      <c r="H100" s="12">
        <f t="shared" ca="1" si="19"/>
        <v>0</v>
      </c>
      <c r="I100" s="10">
        <f t="shared" ca="1" si="24"/>
        <v>0</v>
      </c>
      <c r="J100" s="13">
        <f t="shared" ca="1" si="25"/>
        <v>0</v>
      </c>
      <c r="K100" s="14">
        <f t="shared" ca="1" si="26"/>
        <v>304.8</v>
      </c>
      <c r="L100" s="14">
        <f t="shared" ca="1" si="27"/>
        <v>0</v>
      </c>
      <c r="M100" s="15">
        <f t="shared" ca="1" si="28"/>
        <v>304.8</v>
      </c>
      <c r="N100" s="16">
        <f ca="1">SUM($M$9:M100)/A100</f>
        <v>336.38260869565204</v>
      </c>
    </row>
    <row r="101" spans="1:14" x14ac:dyDescent="0.25">
      <c r="A101" s="8">
        <v>93</v>
      </c>
      <c r="B101" s="9">
        <f t="shared" ca="1" si="20"/>
        <v>1524</v>
      </c>
      <c r="C101" s="10">
        <f t="shared" ca="1" si="21"/>
        <v>0</v>
      </c>
      <c r="D101" s="11">
        <f t="shared" ca="1" si="17"/>
        <v>0.57180157758578243</v>
      </c>
      <c r="E101" s="9">
        <f t="shared" ca="1" si="18"/>
        <v>409</v>
      </c>
      <c r="F101" s="9">
        <f t="shared" ca="1" si="22"/>
        <v>1115</v>
      </c>
      <c r="G101" s="12" t="str">
        <f t="shared" ca="1" si="23"/>
        <v>No</v>
      </c>
      <c r="H101" s="12">
        <f t="shared" ca="1" si="19"/>
        <v>0</v>
      </c>
      <c r="I101" s="10">
        <f t="shared" ca="1" si="24"/>
        <v>0</v>
      </c>
      <c r="J101" s="13">
        <f t="shared" ca="1" si="25"/>
        <v>0</v>
      </c>
      <c r="K101" s="14">
        <f t="shared" ca="1" si="26"/>
        <v>223</v>
      </c>
      <c r="L101" s="14">
        <f t="shared" ca="1" si="27"/>
        <v>0</v>
      </c>
      <c r="M101" s="15">
        <f t="shared" ca="1" si="28"/>
        <v>223</v>
      </c>
      <c r="N101" s="16">
        <f ca="1">SUM($M$9:M101)/A101</f>
        <v>335.16344086021496</v>
      </c>
    </row>
    <row r="102" spans="1:14" x14ac:dyDescent="0.25">
      <c r="A102" s="8">
        <v>94</v>
      </c>
      <c r="B102" s="9">
        <f t="shared" ca="1" si="20"/>
        <v>1115</v>
      </c>
      <c r="C102" s="10">
        <f t="shared" ca="1" si="21"/>
        <v>0</v>
      </c>
      <c r="D102" s="11">
        <f t="shared" ca="1" si="17"/>
        <v>0.35205479429880659</v>
      </c>
      <c r="E102" s="9">
        <f t="shared" ca="1" si="18"/>
        <v>381</v>
      </c>
      <c r="F102" s="9">
        <f t="shared" ca="1" si="22"/>
        <v>734</v>
      </c>
      <c r="G102" s="12" t="str">
        <f t="shared" ca="1" si="23"/>
        <v>Yes</v>
      </c>
      <c r="H102" s="12">
        <f t="shared" ca="1" si="19"/>
        <v>3.7797289942577028E-2</v>
      </c>
      <c r="I102" s="10">
        <f t="shared" ca="1" si="24"/>
        <v>1</v>
      </c>
      <c r="J102" s="13">
        <f t="shared" ca="1" si="25"/>
        <v>300</v>
      </c>
      <c r="K102" s="14">
        <f t="shared" ca="1" si="26"/>
        <v>146.80000000000001</v>
      </c>
      <c r="L102" s="14">
        <f t="shared" ca="1" si="27"/>
        <v>0</v>
      </c>
      <c r="M102" s="15">
        <f t="shared" ca="1" si="28"/>
        <v>446.8</v>
      </c>
      <c r="N102" s="16">
        <f ca="1">SUM($M$9:M102)/A102</f>
        <v>336.35106382978711</v>
      </c>
    </row>
    <row r="103" spans="1:14" x14ac:dyDescent="0.25">
      <c r="A103" s="8">
        <v>95</v>
      </c>
      <c r="B103" s="9">
        <f t="shared" ca="1" si="20"/>
        <v>2534</v>
      </c>
      <c r="C103" s="10">
        <f t="shared" ca="1" si="21"/>
        <v>1800</v>
      </c>
      <c r="D103" s="11">
        <f t="shared" ca="1" si="17"/>
        <v>0.30488669258418388</v>
      </c>
      <c r="E103" s="9">
        <f t="shared" ca="1" si="18"/>
        <v>374</v>
      </c>
      <c r="F103" s="9">
        <f t="shared" ca="1" si="22"/>
        <v>2160</v>
      </c>
      <c r="G103" s="12" t="str">
        <f t="shared" ca="1" si="23"/>
        <v>No</v>
      </c>
      <c r="H103" s="12">
        <f t="shared" ca="1" si="19"/>
        <v>0</v>
      </c>
      <c r="I103" s="10">
        <f t="shared" ca="1" si="24"/>
        <v>0</v>
      </c>
      <c r="J103" s="13">
        <f t="shared" ca="1" si="25"/>
        <v>0</v>
      </c>
      <c r="K103" s="14">
        <f t="shared" ca="1" si="26"/>
        <v>432</v>
      </c>
      <c r="L103" s="14">
        <f t="shared" ca="1" si="27"/>
        <v>0</v>
      </c>
      <c r="M103" s="15">
        <f t="shared" ca="1" si="28"/>
        <v>432</v>
      </c>
      <c r="N103" s="16">
        <f ca="1">SUM($M$9:M103)/A103</f>
        <v>337.35789473684201</v>
      </c>
    </row>
    <row r="104" spans="1:14" x14ac:dyDescent="0.25">
      <c r="A104" s="8">
        <v>96</v>
      </c>
      <c r="B104" s="9">
        <f t="shared" ca="1" si="20"/>
        <v>2160</v>
      </c>
      <c r="C104" s="10">
        <f t="shared" ca="1" si="21"/>
        <v>0</v>
      </c>
      <c r="D104" s="11">
        <f t="shared" ca="1" si="17"/>
        <v>0.87451550819244117</v>
      </c>
      <c r="E104" s="9">
        <f t="shared" ca="1" si="18"/>
        <v>457</v>
      </c>
      <c r="F104" s="9">
        <f t="shared" ca="1" si="22"/>
        <v>1703</v>
      </c>
      <c r="G104" s="12" t="str">
        <f t="shared" ca="1" si="23"/>
        <v>No</v>
      </c>
      <c r="H104" s="12">
        <f t="shared" ca="1" si="19"/>
        <v>0</v>
      </c>
      <c r="I104" s="10">
        <f t="shared" ca="1" si="24"/>
        <v>0</v>
      </c>
      <c r="J104" s="13">
        <f t="shared" ca="1" si="25"/>
        <v>0</v>
      </c>
      <c r="K104" s="14">
        <f t="shared" ca="1" si="26"/>
        <v>340.6</v>
      </c>
      <c r="L104" s="14">
        <f t="shared" ca="1" si="27"/>
        <v>0</v>
      </c>
      <c r="M104" s="15">
        <f t="shared" ca="1" si="28"/>
        <v>340.6</v>
      </c>
      <c r="N104" s="16">
        <f ca="1">SUM($M$9:M104)/A104</f>
        <v>337.39166666666654</v>
      </c>
    </row>
    <row r="105" spans="1:14" x14ac:dyDescent="0.25">
      <c r="A105" s="8">
        <v>97</v>
      </c>
      <c r="B105" s="9">
        <f t="shared" ca="1" si="20"/>
        <v>1703</v>
      </c>
      <c r="C105" s="10">
        <f t="shared" ca="1" si="21"/>
        <v>0</v>
      </c>
      <c r="D105" s="11">
        <f t="shared" ca="1" si="17"/>
        <v>0.84049878807237099</v>
      </c>
      <c r="E105" s="9">
        <f t="shared" ca="1" si="18"/>
        <v>449</v>
      </c>
      <c r="F105" s="9">
        <f t="shared" ca="1" si="22"/>
        <v>1254</v>
      </c>
      <c r="G105" s="12" t="str">
        <f t="shared" ca="1" si="23"/>
        <v>No</v>
      </c>
      <c r="H105" s="12">
        <f t="shared" ca="1" si="19"/>
        <v>0</v>
      </c>
      <c r="I105" s="10">
        <f t="shared" ca="1" si="24"/>
        <v>0</v>
      </c>
      <c r="J105" s="13">
        <f t="shared" ca="1" si="25"/>
        <v>0</v>
      </c>
      <c r="K105" s="14">
        <f t="shared" ca="1" si="26"/>
        <v>250.8</v>
      </c>
      <c r="L105" s="14">
        <f t="shared" ca="1" si="27"/>
        <v>0</v>
      </c>
      <c r="M105" s="15">
        <f t="shared" ca="1" si="28"/>
        <v>250.8</v>
      </c>
      <c r="N105" s="16">
        <f ca="1">SUM($M$9:M105)/A105</f>
        <v>336.49896907216481</v>
      </c>
    </row>
    <row r="106" spans="1:14" x14ac:dyDescent="0.25">
      <c r="A106" s="8">
        <v>98</v>
      </c>
      <c r="B106" s="9">
        <f t="shared" ca="1" si="20"/>
        <v>1254</v>
      </c>
      <c r="C106" s="10">
        <f t="shared" ca="1" si="21"/>
        <v>0</v>
      </c>
      <c r="D106" s="11">
        <f t="shared" ca="1" si="17"/>
        <v>0.67465013717939137</v>
      </c>
      <c r="E106" s="9">
        <f t="shared" ca="1" si="18"/>
        <v>422</v>
      </c>
      <c r="F106" s="9">
        <f t="shared" ca="1" si="22"/>
        <v>832</v>
      </c>
      <c r="G106" s="12" t="str">
        <f t="shared" ca="1" si="23"/>
        <v>Yes</v>
      </c>
      <c r="H106" s="12">
        <f t="shared" ca="1" si="19"/>
        <v>0.90798020611407981</v>
      </c>
      <c r="I106" s="10">
        <f t="shared" ca="1" si="24"/>
        <v>3</v>
      </c>
      <c r="J106" s="13">
        <f t="shared" ca="1" si="25"/>
        <v>300</v>
      </c>
      <c r="K106" s="14">
        <f t="shared" ca="1" si="26"/>
        <v>166.4</v>
      </c>
      <c r="L106" s="14">
        <f t="shared" ca="1" si="27"/>
        <v>0</v>
      </c>
      <c r="M106" s="15">
        <f t="shared" ca="1" si="28"/>
        <v>466.4</v>
      </c>
      <c r="N106" s="16">
        <f ca="1">SUM($M$9:M106)/A106</f>
        <v>337.82448979591823</v>
      </c>
    </row>
    <row r="107" spans="1:14" x14ac:dyDescent="0.25">
      <c r="A107" s="8">
        <v>99</v>
      </c>
      <c r="B107" s="9">
        <f t="shared" ca="1" si="20"/>
        <v>832</v>
      </c>
      <c r="C107" s="10">
        <f t="shared" ca="1" si="21"/>
        <v>0</v>
      </c>
      <c r="D107" s="11">
        <f t="shared" ca="1" si="17"/>
        <v>0.13917879889281426</v>
      </c>
      <c r="E107" s="9">
        <f t="shared" ca="1" si="18"/>
        <v>345</v>
      </c>
      <c r="F107" s="9">
        <f t="shared" ca="1" si="22"/>
        <v>487</v>
      </c>
      <c r="G107" s="12" t="str">
        <f t="shared" ca="1" si="23"/>
        <v>No</v>
      </c>
      <c r="H107" s="12">
        <f t="shared" ca="1" si="19"/>
        <v>0</v>
      </c>
      <c r="I107" s="10">
        <f t="shared" ca="1" si="24"/>
        <v>2</v>
      </c>
      <c r="J107" s="13">
        <f t="shared" ca="1" si="25"/>
        <v>0</v>
      </c>
      <c r="K107" s="14">
        <f t="shared" ca="1" si="26"/>
        <v>97.4</v>
      </c>
      <c r="L107" s="14">
        <f t="shared" ca="1" si="27"/>
        <v>0</v>
      </c>
      <c r="M107" s="15">
        <f t="shared" ca="1" si="28"/>
        <v>97.4</v>
      </c>
      <c r="N107" s="16">
        <f ca="1">SUM($M$9:M107)/A107</f>
        <v>335.39595959595948</v>
      </c>
    </row>
    <row r="108" spans="1:14" x14ac:dyDescent="0.25">
      <c r="A108" s="8">
        <v>100</v>
      </c>
      <c r="B108" s="9">
        <f t="shared" ca="1" si="20"/>
        <v>487</v>
      </c>
      <c r="C108" s="10">
        <f t="shared" ca="1" si="21"/>
        <v>0</v>
      </c>
      <c r="D108" s="11">
        <f t="shared" ca="1" si="17"/>
        <v>0.32915315835065206</v>
      </c>
      <c r="E108" s="9">
        <f t="shared" ca="1" si="18"/>
        <v>377</v>
      </c>
      <c r="F108" s="9">
        <f t="shared" ca="1" si="22"/>
        <v>110</v>
      </c>
      <c r="G108" s="12" t="str">
        <f t="shared" ca="1" si="23"/>
        <v>No</v>
      </c>
      <c r="H108" s="12">
        <f t="shared" ca="1" si="19"/>
        <v>0</v>
      </c>
      <c r="I108" s="10">
        <f t="shared" ca="1" si="24"/>
        <v>1</v>
      </c>
      <c r="J108" s="13">
        <f t="shared" ca="1" si="25"/>
        <v>0</v>
      </c>
      <c r="K108" s="14">
        <f t="shared" ca="1" si="26"/>
        <v>22</v>
      </c>
      <c r="L108" s="14">
        <f t="shared" ca="1" si="27"/>
        <v>0</v>
      </c>
      <c r="M108" s="15">
        <f t="shared" ca="1" si="28"/>
        <v>22</v>
      </c>
      <c r="N108" s="16">
        <f ca="1">SUM($M$9:M108)/A108</f>
        <v>332.26199999999989</v>
      </c>
    </row>
    <row r="109" spans="1:14" x14ac:dyDescent="0.25">
      <c r="A109" s="8">
        <v>101</v>
      </c>
      <c r="B109" s="9">
        <f t="shared" ca="1" si="20"/>
        <v>1910</v>
      </c>
      <c r="C109" s="10">
        <f t="shared" ca="1" si="21"/>
        <v>1800</v>
      </c>
      <c r="D109" s="11">
        <f t="shared" ca="1" si="17"/>
        <v>0.98035032165640068</v>
      </c>
      <c r="E109" s="9">
        <f t="shared" ca="1" si="18"/>
        <v>503</v>
      </c>
      <c r="F109" s="9">
        <f t="shared" ca="1" si="22"/>
        <v>1407</v>
      </c>
      <c r="G109" s="12" t="str">
        <f t="shared" ca="1" si="23"/>
        <v>No</v>
      </c>
      <c r="H109" s="12">
        <f t="shared" ca="1" si="19"/>
        <v>0</v>
      </c>
      <c r="I109" s="10">
        <f t="shared" ca="1" si="24"/>
        <v>0</v>
      </c>
      <c r="J109" s="13">
        <f t="shared" ca="1" si="25"/>
        <v>0</v>
      </c>
      <c r="K109" s="14">
        <f t="shared" ca="1" si="26"/>
        <v>281.40000000000003</v>
      </c>
      <c r="L109" s="14">
        <f t="shared" ca="1" si="27"/>
        <v>0</v>
      </c>
      <c r="M109" s="15">
        <f t="shared" ca="1" si="28"/>
        <v>281.40000000000003</v>
      </c>
      <c r="N109" s="16">
        <f ca="1">SUM($M$9:M109)/A109</f>
        <v>331.75841584158405</v>
      </c>
    </row>
    <row r="110" spans="1:14" x14ac:dyDescent="0.25">
      <c r="A110" s="8">
        <v>102</v>
      </c>
      <c r="B110" s="9">
        <f t="shared" ca="1" si="20"/>
        <v>1407</v>
      </c>
      <c r="C110" s="10">
        <f t="shared" ca="1" si="21"/>
        <v>0</v>
      </c>
      <c r="D110" s="11">
        <f t="shared" ca="1" si="17"/>
        <v>0.69524695264827396</v>
      </c>
      <c r="E110" s="9">
        <f t="shared" ca="1" si="18"/>
        <v>425</v>
      </c>
      <c r="F110" s="9">
        <f t="shared" ca="1" si="22"/>
        <v>982</v>
      </c>
      <c r="G110" s="12" t="str">
        <f t="shared" ca="1" si="23"/>
        <v>No</v>
      </c>
      <c r="H110" s="12">
        <f t="shared" ca="1" si="19"/>
        <v>0</v>
      </c>
      <c r="I110" s="10">
        <f t="shared" ca="1" si="24"/>
        <v>0</v>
      </c>
      <c r="J110" s="13">
        <f t="shared" ca="1" si="25"/>
        <v>0</v>
      </c>
      <c r="K110" s="14">
        <f t="shared" ca="1" si="26"/>
        <v>196.4</v>
      </c>
      <c r="L110" s="14">
        <f t="shared" ca="1" si="27"/>
        <v>0</v>
      </c>
      <c r="M110" s="15">
        <f t="shared" ca="1" si="28"/>
        <v>196.4</v>
      </c>
      <c r="N110" s="16">
        <f ca="1">SUM($M$9:M110)/A110</f>
        <v>330.43137254901956</v>
      </c>
    </row>
    <row r="111" spans="1:14" x14ac:dyDescent="0.25">
      <c r="A111" s="8">
        <v>103</v>
      </c>
      <c r="B111" s="9">
        <f t="shared" ca="1" si="20"/>
        <v>982</v>
      </c>
      <c r="C111" s="10">
        <f t="shared" ca="1" si="21"/>
        <v>0</v>
      </c>
      <c r="D111" s="11">
        <f t="shared" ca="1" si="17"/>
        <v>0.32685784402696938</v>
      </c>
      <c r="E111" s="9">
        <f t="shared" ca="1" si="18"/>
        <v>377</v>
      </c>
      <c r="F111" s="9">
        <f t="shared" ca="1" si="22"/>
        <v>605</v>
      </c>
      <c r="G111" s="12" t="str">
        <f t="shared" ca="1" si="23"/>
        <v>Yes</v>
      </c>
      <c r="H111" s="12">
        <f t="shared" ca="1" si="19"/>
        <v>0.38538944042614376</v>
      </c>
      <c r="I111" s="10">
        <f t="shared" ca="1" si="24"/>
        <v>1</v>
      </c>
      <c r="J111" s="13">
        <f t="shared" ca="1" si="25"/>
        <v>300</v>
      </c>
      <c r="K111" s="14">
        <f t="shared" ca="1" si="26"/>
        <v>121</v>
      </c>
      <c r="L111" s="14">
        <f t="shared" ca="1" si="27"/>
        <v>0</v>
      </c>
      <c r="M111" s="15">
        <f t="shared" ca="1" si="28"/>
        <v>421</v>
      </c>
      <c r="N111" s="16">
        <f ca="1">SUM($M$9:M111)/A111</f>
        <v>331.31067961165041</v>
      </c>
    </row>
    <row r="112" spans="1:14" x14ac:dyDescent="0.25">
      <c r="A112" s="8">
        <v>104</v>
      </c>
      <c r="B112" s="9">
        <f t="shared" ca="1" si="20"/>
        <v>2405</v>
      </c>
      <c r="C112" s="10">
        <f t="shared" ca="1" si="21"/>
        <v>1800</v>
      </c>
      <c r="D112" s="11">
        <f t="shared" ca="1" si="17"/>
        <v>0.52311381599756235</v>
      </c>
      <c r="E112" s="9">
        <f t="shared" ca="1" si="18"/>
        <v>402</v>
      </c>
      <c r="F112" s="9">
        <f t="shared" ca="1" si="22"/>
        <v>2003</v>
      </c>
      <c r="G112" s="12" t="str">
        <f t="shared" ca="1" si="23"/>
        <v>No</v>
      </c>
      <c r="H112" s="12">
        <f t="shared" ca="1" si="19"/>
        <v>0</v>
      </c>
      <c r="I112" s="10">
        <f t="shared" ca="1" si="24"/>
        <v>0</v>
      </c>
      <c r="J112" s="13">
        <f t="shared" ca="1" si="25"/>
        <v>0</v>
      </c>
      <c r="K112" s="14">
        <f t="shared" ca="1" si="26"/>
        <v>400.6</v>
      </c>
      <c r="L112" s="14">
        <f t="shared" ca="1" si="27"/>
        <v>0</v>
      </c>
      <c r="M112" s="15">
        <f t="shared" ca="1" si="28"/>
        <v>400.6</v>
      </c>
      <c r="N112" s="16">
        <f ca="1">SUM($M$9:M112)/A112</f>
        <v>331.97692307692301</v>
      </c>
    </row>
    <row r="113" spans="1:14" x14ac:dyDescent="0.25">
      <c r="A113" s="8">
        <v>105</v>
      </c>
      <c r="B113" s="9">
        <f t="shared" ca="1" si="20"/>
        <v>2003</v>
      </c>
      <c r="C113" s="10">
        <f t="shared" ca="1" si="21"/>
        <v>0</v>
      </c>
      <c r="D113" s="11">
        <f t="shared" ca="1" si="17"/>
        <v>0.88680813443868367</v>
      </c>
      <c r="E113" s="9">
        <f t="shared" ca="1" si="18"/>
        <v>460</v>
      </c>
      <c r="F113" s="9">
        <f t="shared" ca="1" si="22"/>
        <v>1543</v>
      </c>
      <c r="G113" s="12" t="str">
        <f t="shared" ca="1" si="23"/>
        <v>No</v>
      </c>
      <c r="H113" s="12">
        <f t="shared" ca="1" si="19"/>
        <v>0</v>
      </c>
      <c r="I113" s="10">
        <f t="shared" ca="1" si="24"/>
        <v>0</v>
      </c>
      <c r="J113" s="13">
        <f t="shared" ca="1" si="25"/>
        <v>0</v>
      </c>
      <c r="K113" s="14">
        <f t="shared" ca="1" si="26"/>
        <v>308.60000000000002</v>
      </c>
      <c r="L113" s="14">
        <f t="shared" ca="1" si="27"/>
        <v>0</v>
      </c>
      <c r="M113" s="15">
        <f t="shared" ca="1" si="28"/>
        <v>308.60000000000002</v>
      </c>
      <c r="N113" s="16">
        <f ca="1">SUM($M$9:M113)/A113</f>
        <v>331.75428571428563</v>
      </c>
    </row>
    <row r="114" spans="1:14" x14ac:dyDescent="0.25">
      <c r="A114" s="8">
        <v>106</v>
      </c>
      <c r="B114" s="9">
        <f t="shared" ca="1" si="20"/>
        <v>1543</v>
      </c>
      <c r="C114" s="10">
        <f t="shared" ca="1" si="21"/>
        <v>0</v>
      </c>
      <c r="D114" s="11">
        <f t="shared" ca="1" si="17"/>
        <v>0.73080262794526463</v>
      </c>
      <c r="E114" s="9">
        <f t="shared" ca="1" si="18"/>
        <v>430</v>
      </c>
      <c r="F114" s="9">
        <f t="shared" ca="1" si="22"/>
        <v>1113</v>
      </c>
      <c r="G114" s="12" t="str">
        <f t="shared" ca="1" si="23"/>
        <v>No</v>
      </c>
      <c r="H114" s="12">
        <f t="shared" ca="1" si="19"/>
        <v>0</v>
      </c>
      <c r="I114" s="10">
        <f t="shared" ca="1" si="24"/>
        <v>0</v>
      </c>
      <c r="J114" s="13">
        <f t="shared" ca="1" si="25"/>
        <v>0</v>
      </c>
      <c r="K114" s="14">
        <f t="shared" ca="1" si="26"/>
        <v>222.60000000000002</v>
      </c>
      <c r="L114" s="14">
        <f t="shared" ca="1" si="27"/>
        <v>0</v>
      </c>
      <c r="M114" s="15">
        <f t="shared" ca="1" si="28"/>
        <v>222.60000000000002</v>
      </c>
      <c r="N114" s="16">
        <f ca="1">SUM($M$9:M114)/A114</f>
        <v>330.72452830188666</v>
      </c>
    </row>
    <row r="115" spans="1:14" x14ac:dyDescent="0.25">
      <c r="A115" s="8">
        <v>107</v>
      </c>
      <c r="B115" s="9">
        <f t="shared" ca="1" si="20"/>
        <v>1113</v>
      </c>
      <c r="C115" s="10">
        <f t="shared" ca="1" si="21"/>
        <v>0</v>
      </c>
      <c r="D115" s="11">
        <f t="shared" ca="1" si="17"/>
        <v>0.45694817805291588</v>
      </c>
      <c r="E115" s="9">
        <f t="shared" ca="1" si="18"/>
        <v>394</v>
      </c>
      <c r="F115" s="9">
        <f t="shared" ca="1" si="22"/>
        <v>719</v>
      </c>
      <c r="G115" s="12" t="str">
        <f t="shared" ca="1" si="23"/>
        <v>Yes</v>
      </c>
      <c r="H115" s="12">
        <f t="shared" ca="1" si="19"/>
        <v>2.1000340432865361E-2</v>
      </c>
      <c r="I115" s="10">
        <f t="shared" ca="1" si="24"/>
        <v>1</v>
      </c>
      <c r="J115" s="13">
        <f t="shared" ca="1" si="25"/>
        <v>300</v>
      </c>
      <c r="K115" s="14">
        <f t="shared" ca="1" si="26"/>
        <v>143.80000000000001</v>
      </c>
      <c r="L115" s="14">
        <f t="shared" ca="1" si="27"/>
        <v>0</v>
      </c>
      <c r="M115" s="15">
        <f t="shared" ca="1" si="28"/>
        <v>443.8</v>
      </c>
      <c r="N115" s="16">
        <f ca="1">SUM($M$9:M115)/A115</f>
        <v>331.78130841121487</v>
      </c>
    </row>
    <row r="116" spans="1:14" x14ac:dyDescent="0.25">
      <c r="A116" s="8">
        <v>108</v>
      </c>
      <c r="B116" s="9">
        <f t="shared" ca="1" si="20"/>
        <v>2519</v>
      </c>
      <c r="C116" s="10">
        <f t="shared" ca="1" si="21"/>
        <v>1800</v>
      </c>
      <c r="D116" s="11">
        <f t="shared" ca="1" si="17"/>
        <v>0.54730724826428523</v>
      </c>
      <c r="E116" s="9">
        <f t="shared" ca="1" si="18"/>
        <v>405</v>
      </c>
      <c r="F116" s="9">
        <f t="shared" ca="1" si="22"/>
        <v>2114</v>
      </c>
      <c r="G116" s="12" t="str">
        <f t="shared" ca="1" si="23"/>
        <v>No</v>
      </c>
      <c r="H116" s="12">
        <f t="shared" ca="1" si="19"/>
        <v>0</v>
      </c>
      <c r="I116" s="10">
        <f t="shared" ca="1" si="24"/>
        <v>0</v>
      </c>
      <c r="J116" s="13">
        <f t="shared" ca="1" si="25"/>
        <v>0</v>
      </c>
      <c r="K116" s="14">
        <f t="shared" ca="1" si="26"/>
        <v>422.8</v>
      </c>
      <c r="L116" s="14">
        <f t="shared" ca="1" si="27"/>
        <v>0</v>
      </c>
      <c r="M116" s="15">
        <f t="shared" ca="1" si="28"/>
        <v>422.8</v>
      </c>
      <c r="N116" s="16">
        <f ca="1">SUM($M$9:M116)/A116</f>
        <v>332.62407407407403</v>
      </c>
    </row>
    <row r="117" spans="1:14" x14ac:dyDescent="0.25">
      <c r="A117" s="8">
        <v>109</v>
      </c>
      <c r="B117" s="9">
        <f t="shared" ca="1" si="20"/>
        <v>2114</v>
      </c>
      <c r="C117" s="10">
        <f t="shared" ca="1" si="21"/>
        <v>0</v>
      </c>
      <c r="D117" s="11">
        <f t="shared" ca="1" si="17"/>
        <v>0.77749965114017483</v>
      </c>
      <c r="E117" s="9">
        <f t="shared" ca="1" si="18"/>
        <v>438</v>
      </c>
      <c r="F117" s="9">
        <f t="shared" ca="1" si="22"/>
        <v>1676</v>
      </c>
      <c r="G117" s="12" t="str">
        <f t="shared" ca="1" si="23"/>
        <v>No</v>
      </c>
      <c r="H117" s="12">
        <f t="shared" ca="1" si="19"/>
        <v>0</v>
      </c>
      <c r="I117" s="10">
        <f t="shared" ca="1" si="24"/>
        <v>0</v>
      </c>
      <c r="J117" s="13">
        <f t="shared" ca="1" si="25"/>
        <v>0</v>
      </c>
      <c r="K117" s="14">
        <f t="shared" ca="1" si="26"/>
        <v>335.20000000000005</v>
      </c>
      <c r="L117" s="14">
        <f t="shared" ca="1" si="27"/>
        <v>0</v>
      </c>
      <c r="M117" s="15">
        <f t="shared" ca="1" si="28"/>
        <v>335.20000000000005</v>
      </c>
      <c r="N117" s="16">
        <f ca="1">SUM($M$9:M117)/A117</f>
        <v>332.64770642201825</v>
      </c>
    </row>
    <row r="118" spans="1:14" x14ac:dyDescent="0.25">
      <c r="A118" s="8">
        <v>110</v>
      </c>
      <c r="B118" s="9">
        <f t="shared" ca="1" si="20"/>
        <v>1676</v>
      </c>
      <c r="C118" s="10">
        <f t="shared" ca="1" si="21"/>
        <v>0</v>
      </c>
      <c r="D118" s="11">
        <f t="shared" ca="1" si="17"/>
        <v>0.55543969952698125</v>
      </c>
      <c r="E118" s="9">
        <f t="shared" ca="1" si="18"/>
        <v>406</v>
      </c>
      <c r="F118" s="9">
        <f t="shared" ca="1" si="22"/>
        <v>1270</v>
      </c>
      <c r="G118" s="12" t="str">
        <f t="shared" ca="1" si="23"/>
        <v>No</v>
      </c>
      <c r="H118" s="12">
        <f t="shared" ca="1" si="19"/>
        <v>0</v>
      </c>
      <c r="I118" s="10">
        <f t="shared" ca="1" si="24"/>
        <v>0</v>
      </c>
      <c r="J118" s="13">
        <f t="shared" ca="1" si="25"/>
        <v>0</v>
      </c>
      <c r="K118" s="14">
        <f t="shared" ca="1" si="26"/>
        <v>254</v>
      </c>
      <c r="L118" s="14">
        <f t="shared" ca="1" si="27"/>
        <v>0</v>
      </c>
      <c r="M118" s="15">
        <f t="shared" ca="1" si="28"/>
        <v>254</v>
      </c>
      <c r="N118" s="16">
        <f ca="1">SUM($M$9:M118)/A118</f>
        <v>331.93272727272722</v>
      </c>
    </row>
    <row r="119" spans="1:14" x14ac:dyDescent="0.25">
      <c r="A119" s="8">
        <v>111</v>
      </c>
      <c r="B119" s="9">
        <f t="shared" ca="1" si="20"/>
        <v>1270</v>
      </c>
      <c r="C119" s="10">
        <f t="shared" ca="1" si="21"/>
        <v>0</v>
      </c>
      <c r="D119" s="11">
        <f t="shared" ca="1" si="17"/>
        <v>0.28378987124167021</v>
      </c>
      <c r="E119" s="9">
        <f t="shared" ca="1" si="18"/>
        <v>371</v>
      </c>
      <c r="F119" s="9">
        <f t="shared" ca="1" si="22"/>
        <v>899</v>
      </c>
      <c r="G119" s="12" t="str">
        <f t="shared" ca="1" si="23"/>
        <v>Yes</v>
      </c>
      <c r="H119" s="12">
        <f t="shared" ca="1" si="19"/>
        <v>0.67421499448532307</v>
      </c>
      <c r="I119" s="10">
        <f t="shared" ca="1" si="24"/>
        <v>1</v>
      </c>
      <c r="J119" s="13">
        <f t="shared" ca="1" si="25"/>
        <v>300</v>
      </c>
      <c r="K119" s="14">
        <f t="shared" ca="1" si="26"/>
        <v>179.8</v>
      </c>
      <c r="L119" s="14">
        <f t="shared" ca="1" si="27"/>
        <v>0</v>
      </c>
      <c r="M119" s="15">
        <f t="shared" ca="1" si="28"/>
        <v>479.8</v>
      </c>
      <c r="N119" s="16">
        <f ca="1">SUM($M$9:M119)/A119</f>
        <v>333.26486486486482</v>
      </c>
    </row>
    <row r="120" spans="1:14" x14ac:dyDescent="0.25">
      <c r="A120" s="8">
        <v>112</v>
      </c>
      <c r="B120" s="9">
        <f t="shared" ca="1" si="20"/>
        <v>2699</v>
      </c>
      <c r="C120" s="10">
        <f t="shared" ca="1" si="21"/>
        <v>1800</v>
      </c>
      <c r="D120" s="11">
        <f t="shared" ca="1" si="17"/>
        <v>0.3762552710495638</v>
      </c>
      <c r="E120" s="9">
        <f t="shared" ca="1" si="18"/>
        <v>384</v>
      </c>
      <c r="F120" s="9">
        <f t="shared" ca="1" si="22"/>
        <v>2315</v>
      </c>
      <c r="G120" s="12" t="str">
        <f t="shared" ca="1" si="23"/>
        <v>No</v>
      </c>
      <c r="H120" s="12">
        <f t="shared" ca="1" si="19"/>
        <v>0</v>
      </c>
      <c r="I120" s="10">
        <f t="shared" ca="1" si="24"/>
        <v>0</v>
      </c>
      <c r="J120" s="13">
        <f t="shared" ca="1" si="25"/>
        <v>0</v>
      </c>
      <c r="K120" s="14">
        <f t="shared" ca="1" si="26"/>
        <v>463</v>
      </c>
      <c r="L120" s="14">
        <f t="shared" ca="1" si="27"/>
        <v>0</v>
      </c>
      <c r="M120" s="15">
        <f t="shared" ca="1" si="28"/>
        <v>463</v>
      </c>
      <c r="N120" s="16">
        <f ca="1">SUM($M$9:M120)/A120</f>
        <v>334.42321428571421</v>
      </c>
    </row>
    <row r="121" spans="1:14" x14ac:dyDescent="0.25">
      <c r="A121" s="8">
        <v>113</v>
      </c>
      <c r="B121" s="9">
        <f t="shared" ca="1" si="20"/>
        <v>2315</v>
      </c>
      <c r="C121" s="10">
        <f t="shared" ca="1" si="21"/>
        <v>0</v>
      </c>
      <c r="D121" s="11">
        <f t="shared" ca="1" si="17"/>
        <v>0.71114812109724201</v>
      </c>
      <c r="E121" s="9">
        <f t="shared" ca="1" si="18"/>
        <v>427</v>
      </c>
      <c r="F121" s="9">
        <f t="shared" ca="1" si="22"/>
        <v>1888</v>
      </c>
      <c r="G121" s="12" t="str">
        <f t="shared" ca="1" si="23"/>
        <v>No</v>
      </c>
      <c r="H121" s="12">
        <f t="shared" ca="1" si="19"/>
        <v>0</v>
      </c>
      <c r="I121" s="10">
        <f t="shared" ca="1" si="24"/>
        <v>0</v>
      </c>
      <c r="J121" s="13">
        <f t="shared" ca="1" si="25"/>
        <v>0</v>
      </c>
      <c r="K121" s="14">
        <f t="shared" ca="1" si="26"/>
        <v>377.6</v>
      </c>
      <c r="L121" s="14">
        <f t="shared" ca="1" si="27"/>
        <v>0</v>
      </c>
      <c r="M121" s="15">
        <f t="shared" ca="1" si="28"/>
        <v>377.6</v>
      </c>
      <c r="N121" s="16">
        <f ca="1">SUM($M$9:M121)/A121</f>
        <v>334.80530973451323</v>
      </c>
    </row>
    <row r="122" spans="1:14" x14ac:dyDescent="0.25">
      <c r="A122" s="8">
        <v>114</v>
      </c>
      <c r="B122" s="9">
        <f t="shared" ca="1" si="20"/>
        <v>1888</v>
      </c>
      <c r="C122" s="10">
        <f t="shared" ca="1" si="21"/>
        <v>0</v>
      </c>
      <c r="D122" s="11">
        <f t="shared" ca="1" si="17"/>
        <v>0.33446287905875483</v>
      </c>
      <c r="E122" s="9">
        <f t="shared" ca="1" si="18"/>
        <v>378</v>
      </c>
      <c r="F122" s="9">
        <f t="shared" ca="1" si="22"/>
        <v>1510</v>
      </c>
      <c r="G122" s="12" t="str">
        <f t="shared" ca="1" si="23"/>
        <v>No</v>
      </c>
      <c r="H122" s="12">
        <f t="shared" ca="1" si="19"/>
        <v>0</v>
      </c>
      <c r="I122" s="10">
        <f t="shared" ca="1" si="24"/>
        <v>0</v>
      </c>
      <c r="J122" s="13">
        <f t="shared" ca="1" si="25"/>
        <v>0</v>
      </c>
      <c r="K122" s="14">
        <f t="shared" ca="1" si="26"/>
        <v>302</v>
      </c>
      <c r="L122" s="14">
        <f t="shared" ca="1" si="27"/>
        <v>0</v>
      </c>
      <c r="M122" s="15">
        <f t="shared" ca="1" si="28"/>
        <v>302</v>
      </c>
      <c r="N122" s="16">
        <f ca="1">SUM($M$9:M122)/A122</f>
        <v>334.51754385964904</v>
      </c>
    </row>
    <row r="123" spans="1:14" x14ac:dyDescent="0.25">
      <c r="A123" s="8">
        <v>115</v>
      </c>
      <c r="B123" s="9">
        <f t="shared" ca="1" si="20"/>
        <v>1510</v>
      </c>
      <c r="C123" s="10">
        <f t="shared" ca="1" si="21"/>
        <v>0</v>
      </c>
      <c r="D123" s="11">
        <f t="shared" ca="1" si="17"/>
        <v>0.83746577947958722</v>
      </c>
      <c r="E123" s="9">
        <f t="shared" ca="1" si="18"/>
        <v>449</v>
      </c>
      <c r="F123" s="9">
        <f t="shared" ca="1" si="22"/>
        <v>1061</v>
      </c>
      <c r="G123" s="12" t="str">
        <f t="shared" ca="1" si="23"/>
        <v>No</v>
      </c>
      <c r="H123" s="12">
        <f t="shared" ca="1" si="19"/>
        <v>0</v>
      </c>
      <c r="I123" s="10">
        <f t="shared" ca="1" si="24"/>
        <v>0</v>
      </c>
      <c r="J123" s="13">
        <f t="shared" ca="1" si="25"/>
        <v>0</v>
      </c>
      <c r="K123" s="14">
        <f t="shared" ca="1" si="26"/>
        <v>212.20000000000002</v>
      </c>
      <c r="L123" s="14">
        <f t="shared" ca="1" si="27"/>
        <v>0</v>
      </c>
      <c r="M123" s="15">
        <f t="shared" ca="1" si="28"/>
        <v>212.20000000000002</v>
      </c>
      <c r="N123" s="16">
        <f ca="1">SUM($M$9:M123)/A123</f>
        <v>333.45391304347817</v>
      </c>
    </row>
    <row r="124" spans="1:14" x14ac:dyDescent="0.25">
      <c r="A124" s="8">
        <v>116</v>
      </c>
      <c r="B124" s="9">
        <f t="shared" ca="1" si="20"/>
        <v>1061</v>
      </c>
      <c r="C124" s="10">
        <f t="shared" ca="1" si="21"/>
        <v>0</v>
      </c>
      <c r="D124" s="11">
        <f t="shared" ca="1" si="17"/>
        <v>0.25830656520327677</v>
      </c>
      <c r="E124" s="9">
        <f t="shared" ca="1" si="18"/>
        <v>367</v>
      </c>
      <c r="F124" s="9">
        <f t="shared" ca="1" si="22"/>
        <v>694</v>
      </c>
      <c r="G124" s="12" t="str">
        <f t="shared" ca="1" si="23"/>
        <v>Yes</v>
      </c>
      <c r="H124" s="12">
        <f t="shared" ca="1" si="19"/>
        <v>0.75888360414285039</v>
      </c>
      <c r="I124" s="10">
        <f t="shared" ca="1" si="24"/>
        <v>2</v>
      </c>
      <c r="J124" s="13">
        <f t="shared" ca="1" si="25"/>
        <v>300</v>
      </c>
      <c r="K124" s="14">
        <f t="shared" ca="1" si="26"/>
        <v>138.80000000000001</v>
      </c>
      <c r="L124" s="14">
        <f t="shared" ca="1" si="27"/>
        <v>0</v>
      </c>
      <c r="M124" s="15">
        <f t="shared" ca="1" si="28"/>
        <v>438.8</v>
      </c>
      <c r="N124" s="16">
        <f ca="1">SUM($M$9:M124)/A124</f>
        <v>334.36206896551715</v>
      </c>
    </row>
    <row r="125" spans="1:14" x14ac:dyDescent="0.25">
      <c r="A125" s="8">
        <v>117</v>
      </c>
      <c r="B125" s="9">
        <f t="shared" ca="1" si="20"/>
        <v>694</v>
      </c>
      <c r="C125" s="10">
        <f t="shared" ca="1" si="21"/>
        <v>0</v>
      </c>
      <c r="D125" s="11">
        <f t="shared" ca="1" si="17"/>
        <v>0.59113921257902391</v>
      </c>
      <c r="E125" s="9">
        <f t="shared" ca="1" si="18"/>
        <v>411</v>
      </c>
      <c r="F125" s="9">
        <f t="shared" ca="1" si="22"/>
        <v>283</v>
      </c>
      <c r="G125" s="12" t="str">
        <f t="shared" ca="1" si="23"/>
        <v>No</v>
      </c>
      <c r="H125" s="12">
        <f t="shared" ca="1" si="19"/>
        <v>0</v>
      </c>
      <c r="I125" s="10">
        <f t="shared" ca="1" si="24"/>
        <v>1</v>
      </c>
      <c r="J125" s="13">
        <f t="shared" ca="1" si="25"/>
        <v>0</v>
      </c>
      <c r="K125" s="14">
        <f t="shared" ca="1" si="26"/>
        <v>56.6</v>
      </c>
      <c r="L125" s="14">
        <f t="shared" ca="1" si="27"/>
        <v>0</v>
      </c>
      <c r="M125" s="15">
        <f t="shared" ca="1" si="28"/>
        <v>56.6</v>
      </c>
      <c r="N125" s="16">
        <f ca="1">SUM($M$9:M125)/A125</f>
        <v>331.98803418803413</v>
      </c>
    </row>
    <row r="126" spans="1:14" x14ac:dyDescent="0.25">
      <c r="A126" s="8">
        <v>118</v>
      </c>
      <c r="B126" s="9">
        <f t="shared" ca="1" si="20"/>
        <v>2083</v>
      </c>
      <c r="C126" s="10">
        <f t="shared" ca="1" si="21"/>
        <v>1800</v>
      </c>
      <c r="D126" s="11">
        <f t="shared" ca="1" si="17"/>
        <v>0.53869525125371842</v>
      </c>
      <c r="E126" s="9">
        <f t="shared" ca="1" si="18"/>
        <v>404</v>
      </c>
      <c r="F126" s="9">
        <f t="shared" ca="1" si="22"/>
        <v>1679</v>
      </c>
      <c r="G126" s="12" t="str">
        <f t="shared" ca="1" si="23"/>
        <v>No</v>
      </c>
      <c r="H126" s="12">
        <f t="shared" ca="1" si="19"/>
        <v>0</v>
      </c>
      <c r="I126" s="10">
        <f t="shared" ca="1" si="24"/>
        <v>0</v>
      </c>
      <c r="J126" s="13">
        <f t="shared" ca="1" si="25"/>
        <v>0</v>
      </c>
      <c r="K126" s="14">
        <f t="shared" ca="1" si="26"/>
        <v>335.8</v>
      </c>
      <c r="L126" s="14">
        <f t="shared" ca="1" si="27"/>
        <v>0</v>
      </c>
      <c r="M126" s="15">
        <f t="shared" ca="1" si="28"/>
        <v>335.8</v>
      </c>
      <c r="N126" s="16">
        <f ca="1">SUM($M$9:M126)/A126</f>
        <v>332.02033898305081</v>
      </c>
    </row>
    <row r="127" spans="1:14" x14ac:dyDescent="0.25">
      <c r="A127" s="8">
        <v>119</v>
      </c>
      <c r="B127" s="9">
        <f t="shared" ca="1" si="20"/>
        <v>1679</v>
      </c>
      <c r="C127" s="10">
        <f t="shared" ca="1" si="21"/>
        <v>0</v>
      </c>
      <c r="D127" s="11">
        <f t="shared" ca="1" si="17"/>
        <v>0.21460617815782346</v>
      </c>
      <c r="E127" s="9">
        <f t="shared" ca="1" si="18"/>
        <v>360</v>
      </c>
      <c r="F127" s="9">
        <f t="shared" ca="1" si="22"/>
        <v>1319</v>
      </c>
      <c r="G127" s="12" t="str">
        <f t="shared" ca="1" si="23"/>
        <v>No</v>
      </c>
      <c r="H127" s="12">
        <f t="shared" ca="1" si="19"/>
        <v>0</v>
      </c>
      <c r="I127" s="10">
        <f t="shared" ca="1" si="24"/>
        <v>0</v>
      </c>
      <c r="J127" s="13">
        <f t="shared" ca="1" si="25"/>
        <v>0</v>
      </c>
      <c r="K127" s="14">
        <f t="shared" ca="1" si="26"/>
        <v>263.8</v>
      </c>
      <c r="L127" s="14">
        <f t="shared" ca="1" si="27"/>
        <v>0</v>
      </c>
      <c r="M127" s="15">
        <f t="shared" ca="1" si="28"/>
        <v>263.8</v>
      </c>
      <c r="N127" s="16">
        <f ca="1">SUM($M$9:M127)/A127</f>
        <v>331.4470588235294</v>
      </c>
    </row>
    <row r="128" spans="1:14" x14ac:dyDescent="0.25">
      <c r="A128" s="8">
        <v>120</v>
      </c>
      <c r="B128" s="9">
        <f t="shared" ca="1" si="20"/>
        <v>1319</v>
      </c>
      <c r="C128" s="10">
        <f t="shared" ca="1" si="21"/>
        <v>0</v>
      </c>
      <c r="D128" s="11">
        <f t="shared" ca="1" si="17"/>
        <v>8.6299964047263367E-2</v>
      </c>
      <c r="E128" s="9">
        <f t="shared" ca="1" si="18"/>
        <v>331</v>
      </c>
      <c r="F128" s="9">
        <f t="shared" ca="1" si="22"/>
        <v>988</v>
      </c>
      <c r="G128" s="12" t="str">
        <f t="shared" ca="1" si="23"/>
        <v>Yes</v>
      </c>
      <c r="H128" s="12">
        <f t="shared" ca="1" si="19"/>
        <v>0.42749603093539013</v>
      </c>
      <c r="I128" s="10">
        <f t="shared" ca="1" si="24"/>
        <v>1</v>
      </c>
      <c r="J128" s="13">
        <f t="shared" ca="1" si="25"/>
        <v>300</v>
      </c>
      <c r="K128" s="14">
        <f t="shared" ca="1" si="26"/>
        <v>197.60000000000002</v>
      </c>
      <c r="L128" s="14">
        <f t="shared" ca="1" si="27"/>
        <v>0</v>
      </c>
      <c r="M128" s="15">
        <f t="shared" ca="1" si="28"/>
        <v>497.6</v>
      </c>
      <c r="N128" s="16">
        <f ca="1">SUM($M$9:M128)/A128</f>
        <v>332.83166666666665</v>
      </c>
    </row>
    <row r="129" spans="1:14" x14ac:dyDescent="0.25">
      <c r="A129" s="8">
        <v>121</v>
      </c>
      <c r="B129" s="9">
        <f t="shared" ca="1" si="20"/>
        <v>2788</v>
      </c>
      <c r="C129" s="10">
        <f t="shared" ca="1" si="21"/>
        <v>1800</v>
      </c>
      <c r="D129" s="11">
        <f t="shared" ca="1" si="17"/>
        <v>0.94175346852271591</v>
      </c>
      <c r="E129" s="9">
        <f t="shared" ca="1" si="18"/>
        <v>478</v>
      </c>
      <c r="F129" s="9">
        <f t="shared" ca="1" si="22"/>
        <v>2310</v>
      </c>
      <c r="G129" s="12" t="str">
        <f t="shared" ca="1" si="23"/>
        <v>No</v>
      </c>
      <c r="H129" s="12">
        <f t="shared" ca="1" si="19"/>
        <v>0</v>
      </c>
      <c r="I129" s="10">
        <f t="shared" ca="1" si="24"/>
        <v>0</v>
      </c>
      <c r="J129" s="13">
        <f t="shared" ca="1" si="25"/>
        <v>0</v>
      </c>
      <c r="K129" s="14">
        <f t="shared" ca="1" si="26"/>
        <v>462</v>
      </c>
      <c r="L129" s="14">
        <f t="shared" ca="1" si="27"/>
        <v>0</v>
      </c>
      <c r="M129" s="15">
        <f t="shared" ca="1" si="28"/>
        <v>462</v>
      </c>
      <c r="N129" s="16">
        <f ca="1">SUM($M$9:M129)/A129</f>
        <v>333.89917355371898</v>
      </c>
    </row>
    <row r="130" spans="1:14" x14ac:dyDescent="0.25">
      <c r="A130" s="8">
        <v>122</v>
      </c>
      <c r="B130" s="9">
        <f t="shared" ca="1" si="20"/>
        <v>2310</v>
      </c>
      <c r="C130" s="10">
        <f t="shared" ca="1" si="21"/>
        <v>0</v>
      </c>
      <c r="D130" s="11">
        <f t="shared" ca="1" si="17"/>
        <v>2.8737084119661027E-3</v>
      </c>
      <c r="E130" s="9">
        <f t="shared" ca="1" si="18"/>
        <v>261</v>
      </c>
      <c r="F130" s="9">
        <f t="shared" ca="1" si="22"/>
        <v>2049</v>
      </c>
      <c r="G130" s="12" t="str">
        <f t="shared" ca="1" si="23"/>
        <v>No</v>
      </c>
      <c r="H130" s="12">
        <f t="shared" ca="1" si="19"/>
        <v>0</v>
      </c>
      <c r="I130" s="10">
        <f t="shared" ca="1" si="24"/>
        <v>0</v>
      </c>
      <c r="J130" s="13">
        <f t="shared" ca="1" si="25"/>
        <v>0</v>
      </c>
      <c r="K130" s="14">
        <f t="shared" ca="1" si="26"/>
        <v>409.8</v>
      </c>
      <c r="L130" s="14">
        <f t="shared" ca="1" si="27"/>
        <v>0</v>
      </c>
      <c r="M130" s="15">
        <f t="shared" ca="1" si="28"/>
        <v>409.8</v>
      </c>
      <c r="N130" s="16">
        <f ca="1">SUM($M$9:M130)/A130</f>
        <v>334.52131147540985</v>
      </c>
    </row>
    <row r="131" spans="1:14" x14ac:dyDescent="0.25">
      <c r="A131" s="8">
        <v>123</v>
      </c>
      <c r="B131" s="9">
        <f t="shared" ca="1" si="20"/>
        <v>2049</v>
      </c>
      <c r="C131" s="10">
        <f t="shared" ca="1" si="21"/>
        <v>0</v>
      </c>
      <c r="D131" s="11">
        <f t="shared" ca="1" si="17"/>
        <v>0.95235648574808285</v>
      </c>
      <c r="E131" s="9">
        <f t="shared" ca="1" si="18"/>
        <v>483</v>
      </c>
      <c r="F131" s="9">
        <f t="shared" ca="1" si="22"/>
        <v>1566</v>
      </c>
      <c r="G131" s="12" t="str">
        <f t="shared" ca="1" si="23"/>
        <v>No</v>
      </c>
      <c r="H131" s="12">
        <f t="shared" ca="1" si="19"/>
        <v>0</v>
      </c>
      <c r="I131" s="10">
        <f t="shared" ca="1" si="24"/>
        <v>0</v>
      </c>
      <c r="J131" s="13">
        <f t="shared" ca="1" si="25"/>
        <v>0</v>
      </c>
      <c r="K131" s="14">
        <f t="shared" ca="1" si="26"/>
        <v>313.20000000000005</v>
      </c>
      <c r="L131" s="14">
        <f t="shared" ca="1" si="27"/>
        <v>0</v>
      </c>
      <c r="M131" s="15">
        <f t="shared" ca="1" si="28"/>
        <v>313.20000000000005</v>
      </c>
      <c r="N131" s="16">
        <f ca="1">SUM($M$9:M131)/A131</f>
        <v>334.34796747967476</v>
      </c>
    </row>
    <row r="132" spans="1:14" x14ac:dyDescent="0.25">
      <c r="A132" s="8">
        <v>124</v>
      </c>
      <c r="B132" s="9">
        <f t="shared" ca="1" si="20"/>
        <v>1566</v>
      </c>
      <c r="C132" s="10">
        <f t="shared" ca="1" si="21"/>
        <v>0</v>
      </c>
      <c r="D132" s="11">
        <f t="shared" ca="1" si="17"/>
        <v>0.54432845339433955</v>
      </c>
      <c r="E132" s="9">
        <f t="shared" ca="1" si="18"/>
        <v>405</v>
      </c>
      <c r="F132" s="9">
        <f t="shared" ca="1" si="22"/>
        <v>1161</v>
      </c>
      <c r="G132" s="12" t="str">
        <f t="shared" ca="1" si="23"/>
        <v>No</v>
      </c>
      <c r="H132" s="12">
        <f t="shared" ca="1" si="19"/>
        <v>0</v>
      </c>
      <c r="I132" s="10">
        <f t="shared" ca="1" si="24"/>
        <v>0</v>
      </c>
      <c r="J132" s="13">
        <f t="shared" ca="1" si="25"/>
        <v>0</v>
      </c>
      <c r="K132" s="14">
        <f t="shared" ca="1" si="26"/>
        <v>232.20000000000002</v>
      </c>
      <c r="L132" s="14">
        <f t="shared" ca="1" si="27"/>
        <v>0</v>
      </c>
      <c r="M132" s="15">
        <f t="shared" ca="1" si="28"/>
        <v>232.20000000000002</v>
      </c>
      <c r="N132" s="16">
        <f ca="1">SUM($M$9:M132)/A132</f>
        <v>333.52419354838702</v>
      </c>
    </row>
    <row r="133" spans="1:14" x14ac:dyDescent="0.25">
      <c r="A133" s="8">
        <v>125</v>
      </c>
      <c r="B133" s="9">
        <f t="shared" ca="1" si="20"/>
        <v>1161</v>
      </c>
      <c r="C133" s="10">
        <f t="shared" ca="1" si="21"/>
        <v>0</v>
      </c>
      <c r="D133" s="11">
        <f t="shared" ca="1" si="17"/>
        <v>0.22930393477610356</v>
      </c>
      <c r="E133" s="9">
        <f t="shared" ca="1" si="18"/>
        <v>362</v>
      </c>
      <c r="F133" s="9">
        <f t="shared" ca="1" si="22"/>
        <v>799</v>
      </c>
      <c r="G133" s="12" t="str">
        <f t="shared" ca="1" si="23"/>
        <v>Yes</v>
      </c>
      <c r="H133" s="12">
        <f t="shared" ca="1" si="19"/>
        <v>0.66255269391361826</v>
      </c>
      <c r="I133" s="10">
        <f t="shared" ca="1" si="24"/>
        <v>1</v>
      </c>
      <c r="J133" s="13">
        <f t="shared" ca="1" si="25"/>
        <v>300</v>
      </c>
      <c r="K133" s="14">
        <f t="shared" ca="1" si="26"/>
        <v>159.80000000000001</v>
      </c>
      <c r="L133" s="14">
        <f t="shared" ca="1" si="27"/>
        <v>0</v>
      </c>
      <c r="M133" s="15">
        <f t="shared" ca="1" si="28"/>
        <v>459.8</v>
      </c>
      <c r="N133" s="16">
        <f ca="1">SUM($M$9:M133)/A133</f>
        <v>334.53439999999995</v>
      </c>
    </row>
    <row r="134" spans="1:14" x14ac:dyDescent="0.25">
      <c r="A134" s="8">
        <v>126</v>
      </c>
      <c r="B134" s="9">
        <f t="shared" ca="1" si="20"/>
        <v>2599</v>
      </c>
      <c r="C134" s="10">
        <f t="shared" ca="1" si="21"/>
        <v>1800</v>
      </c>
      <c r="D134" s="11">
        <f t="shared" ca="1" si="17"/>
        <v>0.73522101558481712</v>
      </c>
      <c r="E134" s="9">
        <f t="shared" ca="1" si="18"/>
        <v>431</v>
      </c>
      <c r="F134" s="9">
        <f t="shared" ca="1" si="22"/>
        <v>2168</v>
      </c>
      <c r="G134" s="12" t="str">
        <f t="shared" ca="1" si="23"/>
        <v>No</v>
      </c>
      <c r="H134" s="12">
        <f t="shared" ca="1" si="19"/>
        <v>0</v>
      </c>
      <c r="I134" s="10">
        <f t="shared" ca="1" si="24"/>
        <v>0</v>
      </c>
      <c r="J134" s="13">
        <f t="shared" ca="1" si="25"/>
        <v>0</v>
      </c>
      <c r="K134" s="14">
        <f t="shared" ca="1" si="26"/>
        <v>433.6</v>
      </c>
      <c r="L134" s="14">
        <f t="shared" ca="1" si="27"/>
        <v>0</v>
      </c>
      <c r="M134" s="15">
        <f t="shared" ca="1" si="28"/>
        <v>433.6</v>
      </c>
      <c r="N134" s="16">
        <f ca="1">SUM($M$9:M134)/A134</f>
        <v>335.32063492063486</v>
      </c>
    </row>
    <row r="135" spans="1:14" x14ac:dyDescent="0.25">
      <c r="A135" s="8">
        <v>127</v>
      </c>
      <c r="B135" s="9">
        <f t="shared" ca="1" si="20"/>
        <v>2168</v>
      </c>
      <c r="C135" s="10">
        <f t="shared" ca="1" si="21"/>
        <v>0</v>
      </c>
      <c r="D135" s="11">
        <f t="shared" ca="1" si="17"/>
        <v>0.7220673310517427</v>
      </c>
      <c r="E135" s="9">
        <f t="shared" ca="1" si="18"/>
        <v>429</v>
      </c>
      <c r="F135" s="9">
        <f t="shared" ca="1" si="22"/>
        <v>1739</v>
      </c>
      <c r="G135" s="12" t="str">
        <f t="shared" ca="1" si="23"/>
        <v>No</v>
      </c>
      <c r="H135" s="12">
        <f t="shared" ca="1" si="19"/>
        <v>0</v>
      </c>
      <c r="I135" s="10">
        <f t="shared" ca="1" si="24"/>
        <v>0</v>
      </c>
      <c r="J135" s="13">
        <f t="shared" ca="1" si="25"/>
        <v>0</v>
      </c>
      <c r="K135" s="14">
        <f t="shared" ca="1" si="26"/>
        <v>347.8</v>
      </c>
      <c r="L135" s="14">
        <f t="shared" ca="1" si="27"/>
        <v>0</v>
      </c>
      <c r="M135" s="15">
        <f t="shared" ca="1" si="28"/>
        <v>347.8</v>
      </c>
      <c r="N135" s="16">
        <f ca="1">SUM($M$9:M135)/A135</f>
        <v>335.41889763779523</v>
      </c>
    </row>
    <row r="136" spans="1:14" x14ac:dyDescent="0.25">
      <c r="A136" s="8">
        <v>128</v>
      </c>
      <c r="B136" s="9">
        <f t="shared" ca="1" si="20"/>
        <v>1739</v>
      </c>
      <c r="C136" s="10">
        <f t="shared" ca="1" si="21"/>
        <v>0</v>
      </c>
      <c r="D136" s="11">
        <f t="shared" ca="1" si="17"/>
        <v>0.97685447917325818</v>
      </c>
      <c r="E136" s="9">
        <f t="shared" ca="1" si="18"/>
        <v>499</v>
      </c>
      <c r="F136" s="9">
        <f t="shared" ca="1" si="22"/>
        <v>1240</v>
      </c>
      <c r="G136" s="12" t="str">
        <f t="shared" ca="1" si="23"/>
        <v>No</v>
      </c>
      <c r="H136" s="12">
        <f t="shared" ca="1" si="19"/>
        <v>0</v>
      </c>
      <c r="I136" s="10">
        <f t="shared" ca="1" si="24"/>
        <v>0</v>
      </c>
      <c r="J136" s="13">
        <f t="shared" ca="1" si="25"/>
        <v>0</v>
      </c>
      <c r="K136" s="14">
        <f t="shared" ca="1" si="26"/>
        <v>248</v>
      </c>
      <c r="L136" s="14">
        <f t="shared" ca="1" si="27"/>
        <v>0</v>
      </c>
      <c r="M136" s="15">
        <f t="shared" ca="1" si="28"/>
        <v>248</v>
      </c>
      <c r="N136" s="16">
        <f ca="1">SUM($M$9:M136)/A136</f>
        <v>334.73593749999998</v>
      </c>
    </row>
    <row r="137" spans="1:14" x14ac:dyDescent="0.25">
      <c r="A137" s="8">
        <v>129</v>
      </c>
      <c r="B137" s="9">
        <f t="shared" ca="1" si="20"/>
        <v>1240</v>
      </c>
      <c r="C137" s="10">
        <f t="shared" ca="1" si="21"/>
        <v>0</v>
      </c>
      <c r="D137" s="11">
        <f t="shared" ca="1" si="17"/>
        <v>0.90394208737310677</v>
      </c>
      <c r="E137" s="9">
        <f t="shared" ca="1" si="18"/>
        <v>465</v>
      </c>
      <c r="F137" s="9">
        <f t="shared" ca="1" si="22"/>
        <v>775</v>
      </c>
      <c r="G137" s="12" t="str">
        <f t="shared" ca="1" si="23"/>
        <v>Yes</v>
      </c>
      <c r="H137" s="12">
        <f t="shared" ca="1" si="19"/>
        <v>0.47941483921298378</v>
      </c>
      <c r="I137" s="10">
        <f t="shared" ca="1" si="24"/>
        <v>1</v>
      </c>
      <c r="J137" s="13">
        <f t="shared" ca="1" si="25"/>
        <v>300</v>
      </c>
      <c r="K137" s="14">
        <f t="shared" ca="1" si="26"/>
        <v>155</v>
      </c>
      <c r="L137" s="14">
        <f t="shared" ca="1" si="27"/>
        <v>0</v>
      </c>
      <c r="M137" s="15">
        <f t="shared" ca="1" si="28"/>
        <v>455</v>
      </c>
      <c r="N137" s="16">
        <f ca="1">SUM($M$9:M137)/A137</f>
        <v>335.66821705426355</v>
      </c>
    </row>
    <row r="138" spans="1:14" x14ac:dyDescent="0.25">
      <c r="A138" s="8">
        <v>130</v>
      </c>
      <c r="B138" s="9">
        <f t="shared" ca="1" si="20"/>
        <v>2575</v>
      </c>
      <c r="C138" s="10">
        <f t="shared" ca="1" si="21"/>
        <v>1800</v>
      </c>
      <c r="D138" s="11">
        <f t="shared" ref="D138:D201" ca="1" si="29">RAND()</f>
        <v>0.72297111672456837</v>
      </c>
      <c r="E138" s="9">
        <f t="shared" ref="E138:E201" ca="1" si="30">INT(NORMINV(D138,D_Mean,D_StdDev))</f>
        <v>429</v>
      </c>
      <c r="F138" s="9">
        <f t="shared" ca="1" si="22"/>
        <v>2146</v>
      </c>
      <c r="G138" s="12" t="str">
        <f t="shared" ca="1" si="23"/>
        <v>No</v>
      </c>
      <c r="H138" s="12">
        <f t="shared" ref="H138:H201" ca="1" si="31">IF(G138="Yes",RAND(),0)</f>
        <v>0</v>
      </c>
      <c r="I138" s="10">
        <f t="shared" ca="1" si="24"/>
        <v>0</v>
      </c>
      <c r="J138" s="13">
        <f t="shared" ca="1" si="25"/>
        <v>0</v>
      </c>
      <c r="K138" s="14">
        <f t="shared" ca="1" si="26"/>
        <v>429.20000000000005</v>
      </c>
      <c r="L138" s="14">
        <f t="shared" ca="1" si="27"/>
        <v>0</v>
      </c>
      <c r="M138" s="15">
        <f t="shared" ca="1" si="28"/>
        <v>429.20000000000005</v>
      </c>
      <c r="N138" s="16">
        <f ca="1">SUM($M$9:M138)/A138</f>
        <v>336.38769230769225</v>
      </c>
    </row>
    <row r="139" spans="1:14" x14ac:dyDescent="0.25">
      <c r="A139" s="8">
        <v>131</v>
      </c>
      <c r="B139" s="9">
        <f t="shared" ref="B139:B202" ca="1" si="32">IF(I138=1,F138+Quantity,F138)</f>
        <v>2146</v>
      </c>
      <c r="C139" s="10">
        <f t="shared" ref="C139:C202" ca="1" si="33">IF(I138=1,Quantity,0)</f>
        <v>0</v>
      </c>
      <c r="D139" s="11">
        <f t="shared" ca="1" si="29"/>
        <v>0.70254525537740342</v>
      </c>
      <c r="E139" s="9">
        <f t="shared" ca="1" si="30"/>
        <v>426</v>
      </c>
      <c r="F139" s="9">
        <f t="shared" ref="F139:F202" ca="1" si="34">IF(B139+C139-E139&lt;0,0,B139-E139)</f>
        <v>1720</v>
      </c>
      <c r="G139" s="12" t="str">
        <f t="shared" ca="1" si="23"/>
        <v>No</v>
      </c>
      <c r="H139" s="12">
        <f t="shared" ca="1" si="31"/>
        <v>0</v>
      </c>
      <c r="I139" s="10">
        <f t="shared" ca="1" si="24"/>
        <v>0</v>
      </c>
      <c r="J139" s="13">
        <f t="shared" ca="1" si="25"/>
        <v>0</v>
      </c>
      <c r="K139" s="14">
        <f t="shared" ca="1" si="26"/>
        <v>344</v>
      </c>
      <c r="L139" s="14">
        <f t="shared" ca="1" si="27"/>
        <v>0</v>
      </c>
      <c r="M139" s="15">
        <f t="shared" ca="1" si="28"/>
        <v>344</v>
      </c>
      <c r="N139" s="16">
        <f ca="1">SUM($M$9:M139)/A139</f>
        <v>336.4458015267175</v>
      </c>
    </row>
    <row r="140" spans="1:14" x14ac:dyDescent="0.25">
      <c r="A140" s="8">
        <v>132</v>
      </c>
      <c r="B140" s="9">
        <f t="shared" ca="1" si="32"/>
        <v>1720</v>
      </c>
      <c r="C140" s="10">
        <f t="shared" ca="1" si="33"/>
        <v>0</v>
      </c>
      <c r="D140" s="11">
        <f t="shared" ca="1" si="29"/>
        <v>0.21177009554394199</v>
      </c>
      <c r="E140" s="9">
        <f t="shared" ca="1" si="30"/>
        <v>359</v>
      </c>
      <c r="F140" s="9">
        <f t="shared" ca="1" si="34"/>
        <v>1361</v>
      </c>
      <c r="G140" s="12" t="str">
        <f t="shared" ref="G140:G203" ca="1" si="35">IF(B140&lt;Point,IF(I139=0,"Yes","No"),"No")</f>
        <v>No</v>
      </c>
      <c r="H140" s="12">
        <f t="shared" ca="1" si="31"/>
        <v>0</v>
      </c>
      <c r="I140" s="10">
        <f t="shared" ca="1" si="24"/>
        <v>0</v>
      </c>
      <c r="J140" s="13">
        <f t="shared" ca="1" si="25"/>
        <v>0</v>
      </c>
      <c r="K140" s="14">
        <f t="shared" ca="1" si="26"/>
        <v>272.2</v>
      </c>
      <c r="L140" s="14">
        <f t="shared" ca="1" si="27"/>
        <v>0</v>
      </c>
      <c r="M140" s="15">
        <f t="shared" ca="1" si="28"/>
        <v>272.2</v>
      </c>
      <c r="N140" s="16">
        <f ca="1">SUM($M$9:M140)/A140</f>
        <v>335.95909090909083</v>
      </c>
    </row>
    <row r="141" spans="1:14" x14ac:dyDescent="0.25">
      <c r="A141" s="8">
        <v>133</v>
      </c>
      <c r="B141" s="9">
        <f t="shared" ca="1" si="32"/>
        <v>1361</v>
      </c>
      <c r="C141" s="10">
        <f t="shared" ca="1" si="33"/>
        <v>0</v>
      </c>
      <c r="D141" s="11">
        <f t="shared" ca="1" si="29"/>
        <v>0.5374281858977239</v>
      </c>
      <c r="E141" s="9">
        <f t="shared" ca="1" si="30"/>
        <v>404</v>
      </c>
      <c r="F141" s="9">
        <f t="shared" ca="1" si="34"/>
        <v>957</v>
      </c>
      <c r="G141" s="12" t="str">
        <f t="shared" ca="1" si="35"/>
        <v>Yes</v>
      </c>
      <c r="H141" s="12">
        <f t="shared" ca="1" si="31"/>
        <v>0.75116476503904617</v>
      </c>
      <c r="I141" s="10">
        <f t="shared" ca="1" si="24"/>
        <v>2</v>
      </c>
      <c r="J141" s="13">
        <f t="shared" ca="1" si="25"/>
        <v>300</v>
      </c>
      <c r="K141" s="14">
        <f t="shared" ca="1" si="26"/>
        <v>191.4</v>
      </c>
      <c r="L141" s="14">
        <f t="shared" ca="1" si="27"/>
        <v>0</v>
      </c>
      <c r="M141" s="15">
        <f t="shared" ca="1" si="28"/>
        <v>491.4</v>
      </c>
      <c r="N141" s="16">
        <f ca="1">SUM($M$9:M141)/A141</f>
        <v>337.12781954887214</v>
      </c>
    </row>
    <row r="142" spans="1:14" x14ac:dyDescent="0.25">
      <c r="A142" s="8">
        <v>134</v>
      </c>
      <c r="B142" s="9">
        <f t="shared" ca="1" si="32"/>
        <v>957</v>
      </c>
      <c r="C142" s="10">
        <f t="shared" ca="1" si="33"/>
        <v>0</v>
      </c>
      <c r="D142" s="11">
        <f t="shared" ca="1" si="29"/>
        <v>0.74138627679698332</v>
      </c>
      <c r="E142" s="9">
        <f t="shared" ca="1" si="30"/>
        <v>432</v>
      </c>
      <c r="F142" s="9">
        <f t="shared" ca="1" si="34"/>
        <v>525</v>
      </c>
      <c r="G142" s="12" t="str">
        <f t="shared" ca="1" si="35"/>
        <v>No</v>
      </c>
      <c r="H142" s="12">
        <f t="shared" ca="1" si="31"/>
        <v>0</v>
      </c>
      <c r="I142" s="10">
        <f t="shared" ca="1" si="24"/>
        <v>1</v>
      </c>
      <c r="J142" s="13">
        <f t="shared" ca="1" si="25"/>
        <v>0</v>
      </c>
      <c r="K142" s="14">
        <f t="shared" ca="1" si="26"/>
        <v>105</v>
      </c>
      <c r="L142" s="14">
        <f t="shared" ca="1" si="27"/>
        <v>0</v>
      </c>
      <c r="M142" s="15">
        <f t="shared" ca="1" si="28"/>
        <v>105</v>
      </c>
      <c r="N142" s="16">
        <f ca="1">SUM($M$9:M142)/A142</f>
        <v>335.39552238805965</v>
      </c>
    </row>
    <row r="143" spans="1:14" x14ac:dyDescent="0.25">
      <c r="A143" s="8">
        <v>135</v>
      </c>
      <c r="B143" s="9">
        <f t="shared" ca="1" si="32"/>
        <v>2325</v>
      </c>
      <c r="C143" s="10">
        <f t="shared" ca="1" si="33"/>
        <v>1800</v>
      </c>
      <c r="D143" s="11">
        <f t="shared" ca="1" si="29"/>
        <v>0.4819576808149999</v>
      </c>
      <c r="E143" s="9">
        <f t="shared" ca="1" si="30"/>
        <v>397</v>
      </c>
      <c r="F143" s="9">
        <f t="shared" ca="1" si="34"/>
        <v>1928</v>
      </c>
      <c r="G143" s="12" t="str">
        <f t="shared" ca="1" si="35"/>
        <v>No</v>
      </c>
      <c r="H143" s="12">
        <f t="shared" ca="1" si="31"/>
        <v>0</v>
      </c>
      <c r="I143" s="10">
        <f t="shared" ca="1" si="24"/>
        <v>0</v>
      </c>
      <c r="J143" s="13">
        <f t="shared" ca="1" si="25"/>
        <v>0</v>
      </c>
      <c r="K143" s="14">
        <f t="shared" ca="1" si="26"/>
        <v>385.6</v>
      </c>
      <c r="L143" s="14">
        <f t="shared" ca="1" si="27"/>
        <v>0</v>
      </c>
      <c r="M143" s="15">
        <f t="shared" ca="1" si="28"/>
        <v>385.6</v>
      </c>
      <c r="N143" s="16">
        <f ca="1">SUM($M$9:M143)/A143</f>
        <v>335.76740740740735</v>
      </c>
    </row>
    <row r="144" spans="1:14" x14ac:dyDescent="0.25">
      <c r="A144" s="8">
        <v>136</v>
      </c>
      <c r="B144" s="9">
        <f t="shared" ca="1" si="32"/>
        <v>1928</v>
      </c>
      <c r="C144" s="10">
        <f t="shared" ca="1" si="33"/>
        <v>0</v>
      </c>
      <c r="D144" s="11">
        <f t="shared" ca="1" si="29"/>
        <v>0.73750108057560126</v>
      </c>
      <c r="E144" s="9">
        <f t="shared" ca="1" si="30"/>
        <v>431</v>
      </c>
      <c r="F144" s="9">
        <f t="shared" ca="1" si="34"/>
        <v>1497</v>
      </c>
      <c r="G144" s="12" t="str">
        <f t="shared" ca="1" si="35"/>
        <v>No</v>
      </c>
      <c r="H144" s="12">
        <f t="shared" ca="1" si="31"/>
        <v>0</v>
      </c>
      <c r="I144" s="10">
        <f t="shared" ca="1" si="24"/>
        <v>0</v>
      </c>
      <c r="J144" s="13">
        <f t="shared" ca="1" si="25"/>
        <v>0</v>
      </c>
      <c r="K144" s="14">
        <f t="shared" ca="1" si="26"/>
        <v>299.40000000000003</v>
      </c>
      <c r="L144" s="14">
        <f t="shared" ca="1" si="27"/>
        <v>0</v>
      </c>
      <c r="M144" s="15">
        <f t="shared" ca="1" si="28"/>
        <v>299.40000000000003</v>
      </c>
      <c r="N144" s="16">
        <f ca="1">SUM($M$9:M144)/A144</f>
        <v>335.49999999999994</v>
      </c>
    </row>
    <row r="145" spans="1:14" x14ac:dyDescent="0.25">
      <c r="A145" s="8">
        <v>137</v>
      </c>
      <c r="B145" s="9">
        <f t="shared" ca="1" si="32"/>
        <v>1497</v>
      </c>
      <c r="C145" s="10">
        <f t="shared" ca="1" si="33"/>
        <v>0</v>
      </c>
      <c r="D145" s="11">
        <f t="shared" ca="1" si="29"/>
        <v>5.4732689854556593E-2</v>
      </c>
      <c r="E145" s="9">
        <f t="shared" ca="1" si="30"/>
        <v>319</v>
      </c>
      <c r="F145" s="9">
        <f t="shared" ca="1" si="34"/>
        <v>1178</v>
      </c>
      <c r="G145" s="12" t="str">
        <f t="shared" ca="1" si="35"/>
        <v>No</v>
      </c>
      <c r="H145" s="12">
        <f t="shared" ca="1" si="31"/>
        <v>0</v>
      </c>
      <c r="I145" s="10">
        <f t="shared" ca="1" si="24"/>
        <v>0</v>
      </c>
      <c r="J145" s="13">
        <f t="shared" ca="1" si="25"/>
        <v>0</v>
      </c>
      <c r="K145" s="14">
        <f t="shared" ca="1" si="26"/>
        <v>235.60000000000002</v>
      </c>
      <c r="L145" s="14">
        <f t="shared" ca="1" si="27"/>
        <v>0</v>
      </c>
      <c r="M145" s="15">
        <f t="shared" ca="1" si="28"/>
        <v>235.60000000000002</v>
      </c>
      <c r="N145" s="16">
        <f ca="1">SUM($M$9:M145)/A145</f>
        <v>334.77080291970799</v>
      </c>
    </row>
    <row r="146" spans="1:14" x14ac:dyDescent="0.25">
      <c r="A146" s="8">
        <v>138</v>
      </c>
      <c r="B146" s="9">
        <f t="shared" ca="1" si="32"/>
        <v>1178</v>
      </c>
      <c r="C146" s="10">
        <f t="shared" ca="1" si="33"/>
        <v>0</v>
      </c>
      <c r="D146" s="11">
        <f t="shared" ca="1" si="29"/>
        <v>0.96050442222579979</v>
      </c>
      <c r="E146" s="9">
        <f t="shared" ca="1" si="30"/>
        <v>487</v>
      </c>
      <c r="F146" s="9">
        <f t="shared" ca="1" si="34"/>
        <v>691</v>
      </c>
      <c r="G146" s="12" t="str">
        <f t="shared" ca="1" si="35"/>
        <v>Yes</v>
      </c>
      <c r="H146" s="12">
        <f t="shared" ca="1" si="31"/>
        <v>0.90623038752503415</v>
      </c>
      <c r="I146" s="10">
        <f t="shared" ca="1" si="24"/>
        <v>3</v>
      </c>
      <c r="J146" s="13">
        <f t="shared" ca="1" si="25"/>
        <v>300</v>
      </c>
      <c r="K146" s="14">
        <f t="shared" ca="1" si="26"/>
        <v>138.20000000000002</v>
      </c>
      <c r="L146" s="14">
        <f t="shared" ca="1" si="27"/>
        <v>0</v>
      </c>
      <c r="M146" s="15">
        <f t="shared" ca="1" si="28"/>
        <v>438.20000000000005</v>
      </c>
      <c r="N146" s="16">
        <f ca="1">SUM($M$9:M146)/A146</f>
        <v>335.52028985507241</v>
      </c>
    </row>
    <row r="147" spans="1:14" x14ac:dyDescent="0.25">
      <c r="A147" s="8">
        <v>139</v>
      </c>
      <c r="B147" s="9">
        <f t="shared" ca="1" si="32"/>
        <v>691</v>
      </c>
      <c r="C147" s="10">
        <f t="shared" ca="1" si="33"/>
        <v>0</v>
      </c>
      <c r="D147" s="11">
        <f t="shared" ca="1" si="29"/>
        <v>0.40716528058901047</v>
      </c>
      <c r="E147" s="9">
        <f t="shared" ca="1" si="30"/>
        <v>388</v>
      </c>
      <c r="F147" s="9">
        <f t="shared" ca="1" si="34"/>
        <v>303</v>
      </c>
      <c r="G147" s="12" t="str">
        <f t="shared" ca="1" si="35"/>
        <v>No</v>
      </c>
      <c r="H147" s="12">
        <f t="shared" ca="1" si="31"/>
        <v>0</v>
      </c>
      <c r="I147" s="10">
        <f t="shared" ca="1" si="24"/>
        <v>2</v>
      </c>
      <c r="J147" s="13">
        <f t="shared" ca="1" si="25"/>
        <v>0</v>
      </c>
      <c r="K147" s="14">
        <f t="shared" ca="1" si="26"/>
        <v>60.6</v>
      </c>
      <c r="L147" s="14">
        <f t="shared" ca="1" si="27"/>
        <v>0</v>
      </c>
      <c r="M147" s="15">
        <f t="shared" ca="1" si="28"/>
        <v>60.6</v>
      </c>
      <c r="N147" s="16">
        <f ca="1">SUM($M$9:M147)/A147</f>
        <v>333.5424460431654</v>
      </c>
    </row>
    <row r="148" spans="1:14" x14ac:dyDescent="0.25">
      <c r="A148" s="8">
        <v>140</v>
      </c>
      <c r="B148" s="9">
        <f t="shared" ca="1" si="32"/>
        <v>303</v>
      </c>
      <c r="C148" s="10">
        <f t="shared" ca="1" si="33"/>
        <v>0</v>
      </c>
      <c r="D148" s="11">
        <f t="shared" ca="1" si="29"/>
        <v>0.28984639495449149</v>
      </c>
      <c r="E148" s="9">
        <f t="shared" ca="1" si="30"/>
        <v>372</v>
      </c>
      <c r="F148" s="9">
        <f t="shared" ca="1" si="34"/>
        <v>0</v>
      </c>
      <c r="G148" s="12" t="str">
        <f t="shared" ca="1" si="35"/>
        <v>No</v>
      </c>
      <c r="H148" s="12">
        <f t="shared" ca="1" si="31"/>
        <v>0</v>
      </c>
      <c r="I148" s="10">
        <f t="shared" ca="1" si="24"/>
        <v>1</v>
      </c>
      <c r="J148" s="13">
        <f t="shared" ca="1" si="25"/>
        <v>0</v>
      </c>
      <c r="K148" s="14">
        <f t="shared" ca="1" si="26"/>
        <v>0</v>
      </c>
      <c r="L148" s="14">
        <f t="shared" ca="1" si="27"/>
        <v>138</v>
      </c>
      <c r="M148" s="15">
        <f t="shared" ca="1" si="28"/>
        <v>138</v>
      </c>
      <c r="N148" s="16">
        <f ca="1">SUM($M$9:M148)/A148</f>
        <v>332.14571428571418</v>
      </c>
    </row>
    <row r="149" spans="1:14" x14ac:dyDescent="0.25">
      <c r="A149" s="8">
        <v>141</v>
      </c>
      <c r="B149" s="9">
        <f t="shared" ca="1" si="32"/>
        <v>1800</v>
      </c>
      <c r="C149" s="10">
        <f t="shared" ca="1" si="33"/>
        <v>1800</v>
      </c>
      <c r="D149" s="11">
        <f t="shared" ca="1" si="29"/>
        <v>0.83665342214155658</v>
      </c>
      <c r="E149" s="9">
        <f t="shared" ca="1" si="30"/>
        <v>449</v>
      </c>
      <c r="F149" s="9">
        <f t="shared" ca="1" si="34"/>
        <v>1351</v>
      </c>
      <c r="G149" s="12" t="str">
        <f t="shared" ca="1" si="35"/>
        <v>No</v>
      </c>
      <c r="H149" s="12">
        <f t="shared" ca="1" si="31"/>
        <v>0</v>
      </c>
      <c r="I149" s="10">
        <f t="shared" ca="1" si="24"/>
        <v>0</v>
      </c>
      <c r="J149" s="13">
        <f t="shared" ca="1" si="25"/>
        <v>0</v>
      </c>
      <c r="K149" s="14">
        <f t="shared" ca="1" si="26"/>
        <v>270.2</v>
      </c>
      <c r="L149" s="14">
        <f t="shared" ca="1" si="27"/>
        <v>0</v>
      </c>
      <c r="M149" s="15">
        <f t="shared" ca="1" si="28"/>
        <v>270.2</v>
      </c>
      <c r="N149" s="16">
        <f ca="1">SUM($M$9:M149)/A149</f>
        <v>331.7063829787233</v>
      </c>
    </row>
    <row r="150" spans="1:14" x14ac:dyDescent="0.25">
      <c r="A150" s="8">
        <v>142</v>
      </c>
      <c r="B150" s="9">
        <f t="shared" ca="1" si="32"/>
        <v>1351</v>
      </c>
      <c r="C150" s="10">
        <f t="shared" ca="1" si="33"/>
        <v>0</v>
      </c>
      <c r="D150" s="11">
        <f t="shared" ca="1" si="29"/>
        <v>9.3388142370683269E-2</v>
      </c>
      <c r="E150" s="9">
        <f t="shared" ca="1" si="30"/>
        <v>333</v>
      </c>
      <c r="F150" s="9">
        <f t="shared" ca="1" si="34"/>
        <v>1018</v>
      </c>
      <c r="G150" s="12" t="str">
        <f t="shared" ca="1" si="35"/>
        <v>Yes</v>
      </c>
      <c r="H150" s="12">
        <f t="shared" ca="1" si="31"/>
        <v>0.4545914956003142</v>
      </c>
      <c r="I150" s="10">
        <f t="shared" ref="I150:I208" ca="1" si="36">IF(I149&gt;0,I149-1,(IF(G150="Yes",(VLOOKUP(H150,LTD,3)),0)))</f>
        <v>1</v>
      </c>
      <c r="J150" s="13">
        <f t="shared" ref="J150:J208" ca="1" si="37">IF(G150="Yes",Order_Cost,0)</f>
        <v>300</v>
      </c>
      <c r="K150" s="14">
        <f t="shared" ref="K150:K208" ca="1" si="38">F150*Holding_Cost</f>
        <v>203.60000000000002</v>
      </c>
      <c r="L150" s="14">
        <f t="shared" ref="L150:L208" ca="1" si="39">IF(B150+C150&lt;E150,Shortage_Cost*(E150-B150-C150),0)</f>
        <v>0</v>
      </c>
      <c r="M150" s="15">
        <f t="shared" ref="M150:M208" ca="1" si="40">SUM(J150:L150)</f>
        <v>503.6</v>
      </c>
      <c r="N150" s="16">
        <f ca="1">SUM($M$9:M150)/A150</f>
        <v>332.9169014084506</v>
      </c>
    </row>
    <row r="151" spans="1:14" x14ac:dyDescent="0.25">
      <c r="A151" s="8">
        <v>143</v>
      </c>
      <c r="B151" s="9">
        <f t="shared" ca="1" si="32"/>
        <v>2818</v>
      </c>
      <c r="C151" s="10">
        <f t="shared" ca="1" si="33"/>
        <v>1800</v>
      </c>
      <c r="D151" s="11">
        <f t="shared" ca="1" si="29"/>
        <v>0.70773097289408282</v>
      </c>
      <c r="E151" s="9">
        <f t="shared" ca="1" si="30"/>
        <v>427</v>
      </c>
      <c r="F151" s="9">
        <f t="shared" ca="1" si="34"/>
        <v>2391</v>
      </c>
      <c r="G151" s="12" t="str">
        <f t="shared" ca="1" si="35"/>
        <v>No</v>
      </c>
      <c r="H151" s="12">
        <f t="shared" ca="1" si="31"/>
        <v>0</v>
      </c>
      <c r="I151" s="10">
        <f t="shared" ca="1" si="36"/>
        <v>0</v>
      </c>
      <c r="J151" s="13">
        <f t="shared" ca="1" si="37"/>
        <v>0</v>
      </c>
      <c r="K151" s="14">
        <f t="shared" ca="1" si="38"/>
        <v>478.20000000000005</v>
      </c>
      <c r="L151" s="14">
        <f t="shared" ca="1" si="39"/>
        <v>0</v>
      </c>
      <c r="M151" s="15">
        <f t="shared" ca="1" si="40"/>
        <v>478.20000000000005</v>
      </c>
      <c r="N151" s="16">
        <f ca="1">SUM($M$9:M151)/A151</f>
        <v>333.93286713286699</v>
      </c>
    </row>
    <row r="152" spans="1:14" x14ac:dyDescent="0.25">
      <c r="A152" s="8">
        <v>144</v>
      </c>
      <c r="B152" s="9">
        <f t="shared" ca="1" si="32"/>
        <v>2391</v>
      </c>
      <c r="C152" s="10">
        <f t="shared" ca="1" si="33"/>
        <v>0</v>
      </c>
      <c r="D152" s="11">
        <f t="shared" ca="1" si="29"/>
        <v>0.9038494941669678</v>
      </c>
      <c r="E152" s="9">
        <f t="shared" ca="1" si="30"/>
        <v>465</v>
      </c>
      <c r="F152" s="9">
        <f t="shared" ca="1" si="34"/>
        <v>1926</v>
      </c>
      <c r="G152" s="12" t="str">
        <f t="shared" ca="1" si="35"/>
        <v>No</v>
      </c>
      <c r="H152" s="12">
        <f t="shared" ca="1" si="31"/>
        <v>0</v>
      </c>
      <c r="I152" s="10">
        <f t="shared" ca="1" si="36"/>
        <v>0</v>
      </c>
      <c r="J152" s="13">
        <f t="shared" ca="1" si="37"/>
        <v>0</v>
      </c>
      <c r="K152" s="14">
        <f t="shared" ca="1" si="38"/>
        <v>385.20000000000005</v>
      </c>
      <c r="L152" s="14">
        <f t="shared" ca="1" si="39"/>
        <v>0</v>
      </c>
      <c r="M152" s="15">
        <f t="shared" ca="1" si="40"/>
        <v>385.20000000000005</v>
      </c>
      <c r="N152" s="16">
        <f ca="1">SUM($M$9:M152)/A152</f>
        <v>334.28888888888872</v>
      </c>
    </row>
    <row r="153" spans="1:14" x14ac:dyDescent="0.25">
      <c r="A153" s="8">
        <v>145</v>
      </c>
      <c r="B153" s="9">
        <f t="shared" ca="1" si="32"/>
        <v>1926</v>
      </c>
      <c r="C153" s="10">
        <f t="shared" ca="1" si="33"/>
        <v>0</v>
      </c>
      <c r="D153" s="11">
        <f t="shared" ca="1" si="29"/>
        <v>0.90864934017346355</v>
      </c>
      <c r="E153" s="9">
        <f t="shared" ca="1" si="30"/>
        <v>466</v>
      </c>
      <c r="F153" s="9">
        <f t="shared" ca="1" si="34"/>
        <v>1460</v>
      </c>
      <c r="G153" s="12" t="str">
        <f t="shared" ca="1" si="35"/>
        <v>No</v>
      </c>
      <c r="H153" s="12">
        <f t="shared" ca="1" si="31"/>
        <v>0</v>
      </c>
      <c r="I153" s="10">
        <f t="shared" ca="1" si="36"/>
        <v>0</v>
      </c>
      <c r="J153" s="13">
        <f t="shared" ca="1" si="37"/>
        <v>0</v>
      </c>
      <c r="K153" s="14">
        <f t="shared" ca="1" si="38"/>
        <v>292</v>
      </c>
      <c r="L153" s="14">
        <f t="shared" ca="1" si="39"/>
        <v>0</v>
      </c>
      <c r="M153" s="15">
        <f t="shared" ca="1" si="40"/>
        <v>292</v>
      </c>
      <c r="N153" s="16">
        <f ca="1">SUM($M$9:M153)/A153</f>
        <v>333.9972413793102</v>
      </c>
    </row>
    <row r="154" spans="1:14" x14ac:dyDescent="0.25">
      <c r="A154" s="8">
        <v>146</v>
      </c>
      <c r="B154" s="9">
        <f t="shared" ca="1" si="32"/>
        <v>1460</v>
      </c>
      <c r="C154" s="10">
        <f t="shared" ca="1" si="33"/>
        <v>0</v>
      </c>
      <c r="D154" s="11">
        <f t="shared" ca="1" si="29"/>
        <v>9.1273823059548898E-2</v>
      </c>
      <c r="E154" s="9">
        <f t="shared" ca="1" si="30"/>
        <v>333</v>
      </c>
      <c r="F154" s="9">
        <f t="shared" ca="1" si="34"/>
        <v>1127</v>
      </c>
      <c r="G154" s="12" t="str">
        <f t="shared" ca="1" si="35"/>
        <v>No</v>
      </c>
      <c r="H154" s="12">
        <f t="shared" ca="1" si="31"/>
        <v>0</v>
      </c>
      <c r="I154" s="10">
        <f t="shared" ca="1" si="36"/>
        <v>0</v>
      </c>
      <c r="J154" s="13">
        <f t="shared" ca="1" si="37"/>
        <v>0</v>
      </c>
      <c r="K154" s="14">
        <f t="shared" ca="1" si="38"/>
        <v>225.4</v>
      </c>
      <c r="L154" s="14">
        <f t="shared" ca="1" si="39"/>
        <v>0</v>
      </c>
      <c r="M154" s="15">
        <f t="shared" ca="1" si="40"/>
        <v>225.4</v>
      </c>
      <c r="N154" s="16">
        <f ca="1">SUM($M$9:M154)/A154</f>
        <v>333.25342465753408</v>
      </c>
    </row>
    <row r="155" spans="1:14" x14ac:dyDescent="0.25">
      <c r="A155" s="8">
        <v>147</v>
      </c>
      <c r="B155" s="9">
        <f t="shared" ca="1" si="32"/>
        <v>1127</v>
      </c>
      <c r="C155" s="10">
        <f t="shared" ca="1" si="33"/>
        <v>0</v>
      </c>
      <c r="D155" s="11">
        <f t="shared" ca="1" si="29"/>
        <v>0.60120807077075511</v>
      </c>
      <c r="E155" s="9">
        <f t="shared" ca="1" si="30"/>
        <v>412</v>
      </c>
      <c r="F155" s="9">
        <f t="shared" ca="1" si="34"/>
        <v>715</v>
      </c>
      <c r="G155" s="12" t="str">
        <f t="shared" ca="1" si="35"/>
        <v>Yes</v>
      </c>
      <c r="H155" s="12">
        <f t="shared" ca="1" si="31"/>
        <v>0.33945381377190198</v>
      </c>
      <c r="I155" s="10">
        <f t="shared" ca="1" si="36"/>
        <v>1</v>
      </c>
      <c r="J155" s="13">
        <f t="shared" ca="1" si="37"/>
        <v>300</v>
      </c>
      <c r="K155" s="14">
        <f t="shared" ca="1" si="38"/>
        <v>143</v>
      </c>
      <c r="L155" s="14">
        <f t="shared" ca="1" si="39"/>
        <v>0</v>
      </c>
      <c r="M155" s="15">
        <f t="shared" ca="1" si="40"/>
        <v>443</v>
      </c>
      <c r="N155" s="16">
        <f ca="1">SUM($M$9:M155)/A155</f>
        <v>333.99999999999983</v>
      </c>
    </row>
    <row r="156" spans="1:14" x14ac:dyDescent="0.25">
      <c r="A156" s="8">
        <v>148</v>
      </c>
      <c r="B156" s="9">
        <f t="shared" ca="1" si="32"/>
        <v>2515</v>
      </c>
      <c r="C156" s="10">
        <f t="shared" ca="1" si="33"/>
        <v>1800</v>
      </c>
      <c r="D156" s="11">
        <f t="shared" ca="1" si="29"/>
        <v>7.197955442021553E-2</v>
      </c>
      <c r="E156" s="9">
        <f t="shared" ca="1" si="30"/>
        <v>326</v>
      </c>
      <c r="F156" s="9">
        <f t="shared" ca="1" si="34"/>
        <v>2189</v>
      </c>
      <c r="G156" s="12" t="str">
        <f t="shared" ca="1" si="35"/>
        <v>No</v>
      </c>
      <c r="H156" s="12">
        <f t="shared" ca="1" si="31"/>
        <v>0</v>
      </c>
      <c r="I156" s="10">
        <f t="shared" ca="1" si="36"/>
        <v>0</v>
      </c>
      <c r="J156" s="13">
        <f t="shared" ca="1" si="37"/>
        <v>0</v>
      </c>
      <c r="K156" s="14">
        <f t="shared" ca="1" si="38"/>
        <v>437.8</v>
      </c>
      <c r="L156" s="14">
        <f t="shared" ca="1" si="39"/>
        <v>0</v>
      </c>
      <c r="M156" s="15">
        <f t="shared" ca="1" si="40"/>
        <v>437.8</v>
      </c>
      <c r="N156" s="16">
        <f ca="1">SUM($M$9:M156)/A156</f>
        <v>334.70135135135121</v>
      </c>
    </row>
    <row r="157" spans="1:14" x14ac:dyDescent="0.25">
      <c r="A157" s="8">
        <v>149</v>
      </c>
      <c r="B157" s="9">
        <f t="shared" ca="1" si="32"/>
        <v>2189</v>
      </c>
      <c r="C157" s="10">
        <f t="shared" ca="1" si="33"/>
        <v>0</v>
      </c>
      <c r="D157" s="11">
        <f t="shared" ca="1" si="29"/>
        <v>0.5316423255762146</v>
      </c>
      <c r="E157" s="9">
        <f t="shared" ca="1" si="30"/>
        <v>403</v>
      </c>
      <c r="F157" s="9">
        <f t="shared" ca="1" si="34"/>
        <v>1786</v>
      </c>
      <c r="G157" s="12" t="str">
        <f t="shared" ca="1" si="35"/>
        <v>No</v>
      </c>
      <c r="H157" s="12">
        <f t="shared" ca="1" si="31"/>
        <v>0</v>
      </c>
      <c r="I157" s="10">
        <f t="shared" ca="1" si="36"/>
        <v>0</v>
      </c>
      <c r="J157" s="13">
        <f t="shared" ca="1" si="37"/>
        <v>0</v>
      </c>
      <c r="K157" s="14">
        <f t="shared" ca="1" si="38"/>
        <v>357.20000000000005</v>
      </c>
      <c r="L157" s="14">
        <f t="shared" ca="1" si="39"/>
        <v>0</v>
      </c>
      <c r="M157" s="15">
        <f t="shared" ca="1" si="40"/>
        <v>357.20000000000005</v>
      </c>
      <c r="N157" s="16">
        <f ca="1">SUM($M$9:M157)/A157</f>
        <v>334.85234899328844</v>
      </c>
    </row>
    <row r="158" spans="1:14" x14ac:dyDescent="0.25">
      <c r="A158" s="8">
        <v>150</v>
      </c>
      <c r="B158" s="9">
        <f t="shared" ca="1" si="32"/>
        <v>1786</v>
      </c>
      <c r="C158" s="10">
        <f t="shared" ca="1" si="33"/>
        <v>0</v>
      </c>
      <c r="D158" s="11">
        <f t="shared" ca="1" si="29"/>
        <v>0.84257628590736178</v>
      </c>
      <c r="E158" s="9">
        <f t="shared" ca="1" si="30"/>
        <v>450</v>
      </c>
      <c r="F158" s="9">
        <f t="shared" ca="1" si="34"/>
        <v>1336</v>
      </c>
      <c r="G158" s="12" t="str">
        <f t="shared" ca="1" si="35"/>
        <v>No</v>
      </c>
      <c r="H158" s="12">
        <f t="shared" ca="1" si="31"/>
        <v>0</v>
      </c>
      <c r="I158" s="10">
        <f t="shared" ca="1" si="36"/>
        <v>0</v>
      </c>
      <c r="J158" s="13">
        <f t="shared" ca="1" si="37"/>
        <v>0</v>
      </c>
      <c r="K158" s="14">
        <f t="shared" ca="1" si="38"/>
        <v>267.2</v>
      </c>
      <c r="L158" s="14">
        <f t="shared" ca="1" si="39"/>
        <v>0</v>
      </c>
      <c r="M158" s="15">
        <f t="shared" ca="1" si="40"/>
        <v>267.2</v>
      </c>
      <c r="N158" s="16">
        <f ca="1">SUM($M$9:M158)/A158</f>
        <v>334.40133333333318</v>
      </c>
    </row>
    <row r="159" spans="1:14" x14ac:dyDescent="0.25">
      <c r="A159" s="8">
        <v>151</v>
      </c>
      <c r="B159" s="9">
        <f t="shared" ca="1" si="32"/>
        <v>1336</v>
      </c>
      <c r="C159" s="10">
        <f t="shared" ca="1" si="33"/>
        <v>0</v>
      </c>
      <c r="D159" s="11">
        <f t="shared" ca="1" si="29"/>
        <v>0.25125983952178499</v>
      </c>
      <c r="E159" s="9">
        <f t="shared" ca="1" si="30"/>
        <v>366</v>
      </c>
      <c r="F159" s="9">
        <f t="shared" ca="1" si="34"/>
        <v>970</v>
      </c>
      <c r="G159" s="12" t="str">
        <f t="shared" ca="1" si="35"/>
        <v>Yes</v>
      </c>
      <c r="H159" s="12">
        <f t="shared" ca="1" si="31"/>
        <v>3.4325025305002588E-2</v>
      </c>
      <c r="I159" s="10">
        <f t="shared" ca="1" si="36"/>
        <v>1</v>
      </c>
      <c r="J159" s="13">
        <f t="shared" ca="1" si="37"/>
        <v>300</v>
      </c>
      <c r="K159" s="14">
        <f t="shared" ca="1" si="38"/>
        <v>194</v>
      </c>
      <c r="L159" s="14">
        <f t="shared" ca="1" si="39"/>
        <v>0</v>
      </c>
      <c r="M159" s="15">
        <f t="shared" ca="1" si="40"/>
        <v>494</v>
      </c>
      <c r="N159" s="16">
        <f ca="1">SUM($M$9:M159)/A159</f>
        <v>335.4582781456952</v>
      </c>
    </row>
    <row r="160" spans="1:14" x14ac:dyDescent="0.25">
      <c r="A160" s="8">
        <v>152</v>
      </c>
      <c r="B160" s="9">
        <f t="shared" ca="1" si="32"/>
        <v>2770</v>
      </c>
      <c r="C160" s="10">
        <f t="shared" ca="1" si="33"/>
        <v>1800</v>
      </c>
      <c r="D160" s="11">
        <f t="shared" ca="1" si="29"/>
        <v>0.15627173784318094</v>
      </c>
      <c r="E160" s="9">
        <f t="shared" ca="1" si="30"/>
        <v>349</v>
      </c>
      <c r="F160" s="9">
        <f t="shared" ca="1" si="34"/>
        <v>2421</v>
      </c>
      <c r="G160" s="12" t="str">
        <f t="shared" ca="1" si="35"/>
        <v>No</v>
      </c>
      <c r="H160" s="12">
        <f t="shared" ca="1" si="31"/>
        <v>0</v>
      </c>
      <c r="I160" s="10">
        <f t="shared" ca="1" si="36"/>
        <v>0</v>
      </c>
      <c r="J160" s="13">
        <f t="shared" ca="1" si="37"/>
        <v>0</v>
      </c>
      <c r="K160" s="14">
        <f t="shared" ca="1" si="38"/>
        <v>484.20000000000005</v>
      </c>
      <c r="L160" s="14">
        <f t="shared" ca="1" si="39"/>
        <v>0</v>
      </c>
      <c r="M160" s="15">
        <f t="shared" ca="1" si="40"/>
        <v>484.20000000000005</v>
      </c>
      <c r="N160" s="16">
        <f ca="1">SUM($M$9:M160)/A160</f>
        <v>336.436842105263</v>
      </c>
    </row>
    <row r="161" spans="1:14" x14ac:dyDescent="0.25">
      <c r="A161" s="8">
        <v>153</v>
      </c>
      <c r="B161" s="9">
        <f t="shared" ca="1" si="32"/>
        <v>2421</v>
      </c>
      <c r="C161" s="10">
        <f t="shared" ca="1" si="33"/>
        <v>0</v>
      </c>
      <c r="D161" s="11">
        <f t="shared" ca="1" si="29"/>
        <v>0.31637158237315455</v>
      </c>
      <c r="E161" s="9">
        <f t="shared" ca="1" si="30"/>
        <v>376</v>
      </c>
      <c r="F161" s="9">
        <f t="shared" ca="1" si="34"/>
        <v>2045</v>
      </c>
      <c r="G161" s="12" t="str">
        <f t="shared" ca="1" si="35"/>
        <v>No</v>
      </c>
      <c r="H161" s="12">
        <f t="shared" ca="1" si="31"/>
        <v>0</v>
      </c>
      <c r="I161" s="10">
        <f t="shared" ca="1" si="36"/>
        <v>0</v>
      </c>
      <c r="J161" s="13">
        <f t="shared" ca="1" si="37"/>
        <v>0</v>
      </c>
      <c r="K161" s="14">
        <f t="shared" ca="1" si="38"/>
        <v>409</v>
      </c>
      <c r="L161" s="14">
        <f t="shared" ca="1" si="39"/>
        <v>0</v>
      </c>
      <c r="M161" s="15">
        <f t="shared" ca="1" si="40"/>
        <v>409</v>
      </c>
      <c r="N161" s="16">
        <f ca="1">SUM($M$9:M161)/A161</f>
        <v>336.91111111111093</v>
      </c>
    </row>
    <row r="162" spans="1:14" x14ac:dyDescent="0.25">
      <c r="A162" s="8">
        <v>154</v>
      </c>
      <c r="B162" s="9">
        <f t="shared" ca="1" si="32"/>
        <v>2045</v>
      </c>
      <c r="C162" s="10">
        <f t="shared" ca="1" si="33"/>
        <v>0</v>
      </c>
      <c r="D162" s="11">
        <f t="shared" ca="1" si="29"/>
        <v>0.27508449995945972</v>
      </c>
      <c r="E162" s="9">
        <f t="shared" ca="1" si="30"/>
        <v>370</v>
      </c>
      <c r="F162" s="9">
        <f t="shared" ca="1" si="34"/>
        <v>1675</v>
      </c>
      <c r="G162" s="12" t="str">
        <f t="shared" ca="1" si="35"/>
        <v>No</v>
      </c>
      <c r="H162" s="12">
        <f t="shared" ca="1" si="31"/>
        <v>0</v>
      </c>
      <c r="I162" s="10">
        <f t="shared" ca="1" si="36"/>
        <v>0</v>
      </c>
      <c r="J162" s="13">
        <f t="shared" ca="1" si="37"/>
        <v>0</v>
      </c>
      <c r="K162" s="14">
        <f t="shared" ca="1" si="38"/>
        <v>335</v>
      </c>
      <c r="L162" s="14">
        <f t="shared" ca="1" si="39"/>
        <v>0</v>
      </c>
      <c r="M162" s="15">
        <f t="shared" ca="1" si="40"/>
        <v>335</v>
      </c>
      <c r="N162" s="16">
        <f ca="1">SUM($M$9:M162)/A162</f>
        <v>336.8987012987011</v>
      </c>
    </row>
    <row r="163" spans="1:14" x14ac:dyDescent="0.25">
      <c r="A163" s="8">
        <v>155</v>
      </c>
      <c r="B163" s="9">
        <f t="shared" ca="1" si="32"/>
        <v>1675</v>
      </c>
      <c r="C163" s="10">
        <f t="shared" ca="1" si="33"/>
        <v>0</v>
      </c>
      <c r="D163" s="11">
        <f t="shared" ca="1" si="29"/>
        <v>3.4937346095342714E-2</v>
      </c>
      <c r="E163" s="9">
        <f t="shared" ca="1" si="30"/>
        <v>309</v>
      </c>
      <c r="F163" s="9">
        <f t="shared" ca="1" si="34"/>
        <v>1366</v>
      </c>
      <c r="G163" s="12" t="str">
        <f t="shared" ca="1" si="35"/>
        <v>No</v>
      </c>
      <c r="H163" s="12">
        <f t="shared" ca="1" si="31"/>
        <v>0</v>
      </c>
      <c r="I163" s="10">
        <f t="shared" ca="1" si="36"/>
        <v>0</v>
      </c>
      <c r="J163" s="13">
        <f t="shared" ca="1" si="37"/>
        <v>0</v>
      </c>
      <c r="K163" s="14">
        <f t="shared" ca="1" si="38"/>
        <v>273.2</v>
      </c>
      <c r="L163" s="14">
        <f t="shared" ca="1" si="39"/>
        <v>0</v>
      </c>
      <c r="M163" s="15">
        <f t="shared" ca="1" si="40"/>
        <v>273.2</v>
      </c>
      <c r="N163" s="16">
        <f ca="1">SUM($M$9:M163)/A163</f>
        <v>336.48774193548365</v>
      </c>
    </row>
    <row r="164" spans="1:14" x14ac:dyDescent="0.25">
      <c r="A164" s="8">
        <v>156</v>
      </c>
      <c r="B164" s="9">
        <f t="shared" ca="1" si="32"/>
        <v>1366</v>
      </c>
      <c r="C164" s="10">
        <f t="shared" ca="1" si="33"/>
        <v>0</v>
      </c>
      <c r="D164" s="11">
        <f t="shared" ca="1" si="29"/>
        <v>0.75519288696082976</v>
      </c>
      <c r="E164" s="9">
        <f t="shared" ca="1" si="30"/>
        <v>434</v>
      </c>
      <c r="F164" s="9">
        <f t="shared" ca="1" si="34"/>
        <v>932</v>
      </c>
      <c r="G164" s="12" t="str">
        <f t="shared" ca="1" si="35"/>
        <v>Yes</v>
      </c>
      <c r="H164" s="12">
        <f t="shared" ca="1" si="31"/>
        <v>7.6314217135698525E-2</v>
      </c>
      <c r="I164" s="10">
        <f t="shared" ca="1" si="36"/>
        <v>1</v>
      </c>
      <c r="J164" s="13">
        <f t="shared" ca="1" si="37"/>
        <v>300</v>
      </c>
      <c r="K164" s="14">
        <f t="shared" ca="1" si="38"/>
        <v>186.4</v>
      </c>
      <c r="L164" s="14">
        <f t="shared" ca="1" si="39"/>
        <v>0</v>
      </c>
      <c r="M164" s="15">
        <f t="shared" ca="1" si="40"/>
        <v>486.4</v>
      </c>
      <c r="N164" s="16">
        <f ca="1">SUM($M$9:M164)/A164</f>
        <v>337.44871794871779</v>
      </c>
    </row>
    <row r="165" spans="1:14" x14ac:dyDescent="0.25">
      <c r="A165" s="8">
        <v>157</v>
      </c>
      <c r="B165" s="9">
        <f t="shared" ca="1" si="32"/>
        <v>2732</v>
      </c>
      <c r="C165" s="10">
        <f t="shared" ca="1" si="33"/>
        <v>1800</v>
      </c>
      <c r="D165" s="11">
        <f t="shared" ca="1" si="29"/>
        <v>0.67104223273666463</v>
      </c>
      <c r="E165" s="9">
        <f t="shared" ca="1" si="30"/>
        <v>422</v>
      </c>
      <c r="F165" s="9">
        <f t="shared" ca="1" si="34"/>
        <v>2310</v>
      </c>
      <c r="G165" s="12" t="str">
        <f t="shared" ca="1" si="35"/>
        <v>No</v>
      </c>
      <c r="H165" s="12">
        <f t="shared" ca="1" si="31"/>
        <v>0</v>
      </c>
      <c r="I165" s="10">
        <f t="shared" ca="1" si="36"/>
        <v>0</v>
      </c>
      <c r="J165" s="13">
        <f t="shared" ca="1" si="37"/>
        <v>0</v>
      </c>
      <c r="K165" s="14">
        <f t="shared" ca="1" si="38"/>
        <v>462</v>
      </c>
      <c r="L165" s="14">
        <f t="shared" ca="1" si="39"/>
        <v>0</v>
      </c>
      <c r="M165" s="15">
        <f t="shared" ca="1" si="40"/>
        <v>462</v>
      </c>
      <c r="N165" s="16">
        <f ca="1">SUM($M$9:M165)/A165</f>
        <v>338.24203821656033</v>
      </c>
    </row>
    <row r="166" spans="1:14" x14ac:dyDescent="0.25">
      <c r="A166" s="8">
        <v>158</v>
      </c>
      <c r="B166" s="9">
        <f t="shared" ca="1" si="32"/>
        <v>2310</v>
      </c>
      <c r="C166" s="10">
        <f t="shared" ca="1" si="33"/>
        <v>0</v>
      </c>
      <c r="D166" s="11">
        <f t="shared" ca="1" si="29"/>
        <v>0.13806812183408368</v>
      </c>
      <c r="E166" s="9">
        <f t="shared" ca="1" si="30"/>
        <v>345</v>
      </c>
      <c r="F166" s="9">
        <f t="shared" ca="1" si="34"/>
        <v>1965</v>
      </c>
      <c r="G166" s="12" t="str">
        <f t="shared" ca="1" si="35"/>
        <v>No</v>
      </c>
      <c r="H166" s="12">
        <f t="shared" ca="1" si="31"/>
        <v>0</v>
      </c>
      <c r="I166" s="10">
        <f t="shared" ca="1" si="36"/>
        <v>0</v>
      </c>
      <c r="J166" s="13">
        <f t="shared" ca="1" si="37"/>
        <v>0</v>
      </c>
      <c r="K166" s="14">
        <f t="shared" ca="1" si="38"/>
        <v>393</v>
      </c>
      <c r="L166" s="14">
        <f t="shared" ca="1" si="39"/>
        <v>0</v>
      </c>
      <c r="M166" s="15">
        <f t="shared" ca="1" si="40"/>
        <v>393</v>
      </c>
      <c r="N166" s="16">
        <f ca="1">SUM($M$9:M166)/A166</f>
        <v>338.58860759493655</v>
      </c>
    </row>
    <row r="167" spans="1:14" x14ac:dyDescent="0.25">
      <c r="A167" s="8">
        <v>159</v>
      </c>
      <c r="B167" s="9">
        <f t="shared" ca="1" si="32"/>
        <v>1965</v>
      </c>
      <c r="C167" s="10">
        <f t="shared" ca="1" si="33"/>
        <v>0</v>
      </c>
      <c r="D167" s="11">
        <f t="shared" ca="1" si="29"/>
        <v>6.9103975757238922E-2</v>
      </c>
      <c r="E167" s="9">
        <f t="shared" ca="1" si="30"/>
        <v>325</v>
      </c>
      <c r="F167" s="9">
        <f t="shared" ca="1" si="34"/>
        <v>1640</v>
      </c>
      <c r="G167" s="12" t="str">
        <f t="shared" ca="1" si="35"/>
        <v>No</v>
      </c>
      <c r="H167" s="12">
        <f t="shared" ca="1" si="31"/>
        <v>0</v>
      </c>
      <c r="I167" s="10">
        <f t="shared" ca="1" si="36"/>
        <v>0</v>
      </c>
      <c r="J167" s="13">
        <f t="shared" ca="1" si="37"/>
        <v>0</v>
      </c>
      <c r="K167" s="14">
        <f t="shared" ca="1" si="38"/>
        <v>328</v>
      </c>
      <c r="L167" s="14">
        <f t="shared" ca="1" si="39"/>
        <v>0</v>
      </c>
      <c r="M167" s="15">
        <f t="shared" ca="1" si="40"/>
        <v>328</v>
      </c>
      <c r="N167" s="16">
        <f ca="1">SUM($M$9:M167)/A167</f>
        <v>338.52201257861617</v>
      </c>
    </row>
    <row r="168" spans="1:14" x14ac:dyDescent="0.25">
      <c r="A168" s="8">
        <v>160</v>
      </c>
      <c r="B168" s="9">
        <f t="shared" ca="1" si="32"/>
        <v>1640</v>
      </c>
      <c r="C168" s="10">
        <f t="shared" ca="1" si="33"/>
        <v>0</v>
      </c>
      <c r="D168" s="11">
        <f t="shared" ca="1" si="29"/>
        <v>0.78956511810696928</v>
      </c>
      <c r="E168" s="9">
        <f t="shared" ca="1" si="30"/>
        <v>440</v>
      </c>
      <c r="F168" s="9">
        <f t="shared" ca="1" si="34"/>
        <v>1200</v>
      </c>
      <c r="G168" s="12" t="str">
        <f t="shared" ca="1" si="35"/>
        <v>No</v>
      </c>
      <c r="H168" s="12">
        <f t="shared" ca="1" si="31"/>
        <v>0</v>
      </c>
      <c r="I168" s="10">
        <f t="shared" ca="1" si="36"/>
        <v>0</v>
      </c>
      <c r="J168" s="13">
        <f t="shared" ca="1" si="37"/>
        <v>0</v>
      </c>
      <c r="K168" s="14">
        <f t="shared" ca="1" si="38"/>
        <v>240</v>
      </c>
      <c r="L168" s="14">
        <f t="shared" ca="1" si="39"/>
        <v>0</v>
      </c>
      <c r="M168" s="15">
        <f t="shared" ca="1" si="40"/>
        <v>240</v>
      </c>
      <c r="N168" s="16">
        <f ca="1">SUM($M$9:M168)/A168</f>
        <v>337.90624999999983</v>
      </c>
    </row>
    <row r="169" spans="1:14" x14ac:dyDescent="0.25">
      <c r="A169" s="8">
        <v>161</v>
      </c>
      <c r="B169" s="9">
        <f t="shared" ca="1" si="32"/>
        <v>1200</v>
      </c>
      <c r="C169" s="10">
        <f t="shared" ca="1" si="33"/>
        <v>0</v>
      </c>
      <c r="D169" s="11">
        <f t="shared" ca="1" si="29"/>
        <v>0.38662632484989656</v>
      </c>
      <c r="E169" s="9">
        <f t="shared" ca="1" si="30"/>
        <v>385</v>
      </c>
      <c r="F169" s="9">
        <f t="shared" ca="1" si="34"/>
        <v>815</v>
      </c>
      <c r="G169" s="12" t="str">
        <f t="shared" ca="1" si="35"/>
        <v>Yes</v>
      </c>
      <c r="H169" s="12">
        <f t="shared" ca="1" si="31"/>
        <v>0.45790571903270805</v>
      </c>
      <c r="I169" s="10">
        <f t="shared" ca="1" si="36"/>
        <v>1</v>
      </c>
      <c r="J169" s="13">
        <f t="shared" ca="1" si="37"/>
        <v>300</v>
      </c>
      <c r="K169" s="14">
        <f t="shared" ca="1" si="38"/>
        <v>163</v>
      </c>
      <c r="L169" s="14">
        <f t="shared" ca="1" si="39"/>
        <v>0</v>
      </c>
      <c r="M169" s="15">
        <f t="shared" ca="1" si="40"/>
        <v>463</v>
      </c>
      <c r="N169" s="16">
        <f ca="1">SUM($M$9:M169)/A169</f>
        <v>338.68322981366441</v>
      </c>
    </row>
    <row r="170" spans="1:14" x14ac:dyDescent="0.25">
      <c r="A170" s="8">
        <v>162</v>
      </c>
      <c r="B170" s="9">
        <f t="shared" ca="1" si="32"/>
        <v>2615</v>
      </c>
      <c r="C170" s="10">
        <f t="shared" ca="1" si="33"/>
        <v>1800</v>
      </c>
      <c r="D170" s="11">
        <f t="shared" ca="1" si="29"/>
        <v>0.1692058684030201</v>
      </c>
      <c r="E170" s="9">
        <f t="shared" ca="1" si="30"/>
        <v>352</v>
      </c>
      <c r="F170" s="9">
        <f t="shared" ca="1" si="34"/>
        <v>2263</v>
      </c>
      <c r="G170" s="12" t="str">
        <f t="shared" ca="1" si="35"/>
        <v>No</v>
      </c>
      <c r="H170" s="12">
        <f t="shared" ca="1" si="31"/>
        <v>0</v>
      </c>
      <c r="I170" s="10">
        <f t="shared" ca="1" si="36"/>
        <v>0</v>
      </c>
      <c r="J170" s="13">
        <f t="shared" ca="1" si="37"/>
        <v>0</v>
      </c>
      <c r="K170" s="14">
        <f t="shared" ca="1" si="38"/>
        <v>452.6</v>
      </c>
      <c r="L170" s="14">
        <f t="shared" ca="1" si="39"/>
        <v>0</v>
      </c>
      <c r="M170" s="15">
        <f t="shared" ca="1" si="40"/>
        <v>452.6</v>
      </c>
      <c r="N170" s="16">
        <f ca="1">SUM($M$9:M170)/A170</f>
        <v>339.38641975308622</v>
      </c>
    </row>
    <row r="171" spans="1:14" x14ac:dyDescent="0.25">
      <c r="A171" s="8">
        <v>163</v>
      </c>
      <c r="B171" s="9">
        <f t="shared" ca="1" si="32"/>
        <v>2263</v>
      </c>
      <c r="C171" s="10">
        <f t="shared" ca="1" si="33"/>
        <v>0</v>
      </c>
      <c r="D171" s="11">
        <f t="shared" ca="1" si="29"/>
        <v>5.5513494362891103E-2</v>
      </c>
      <c r="E171" s="9">
        <f t="shared" ca="1" si="30"/>
        <v>320</v>
      </c>
      <c r="F171" s="9">
        <f t="shared" ca="1" si="34"/>
        <v>1943</v>
      </c>
      <c r="G171" s="12" t="str">
        <f t="shared" ca="1" si="35"/>
        <v>No</v>
      </c>
      <c r="H171" s="12">
        <f t="shared" ca="1" si="31"/>
        <v>0</v>
      </c>
      <c r="I171" s="10">
        <f t="shared" ca="1" si="36"/>
        <v>0</v>
      </c>
      <c r="J171" s="13">
        <f t="shared" ca="1" si="37"/>
        <v>0</v>
      </c>
      <c r="K171" s="14">
        <f t="shared" ca="1" si="38"/>
        <v>388.6</v>
      </c>
      <c r="L171" s="14">
        <f t="shared" ca="1" si="39"/>
        <v>0</v>
      </c>
      <c r="M171" s="15">
        <f t="shared" ca="1" si="40"/>
        <v>388.6</v>
      </c>
      <c r="N171" s="16">
        <f ca="1">SUM($M$9:M171)/A171</f>
        <v>339.68834355828199</v>
      </c>
    </row>
    <row r="172" spans="1:14" x14ac:dyDescent="0.25">
      <c r="A172" s="8">
        <v>164</v>
      </c>
      <c r="B172" s="9">
        <f t="shared" ca="1" si="32"/>
        <v>1943</v>
      </c>
      <c r="C172" s="10">
        <f t="shared" ca="1" si="33"/>
        <v>0</v>
      </c>
      <c r="D172" s="11">
        <f t="shared" ca="1" si="29"/>
        <v>0.6645560649008927</v>
      </c>
      <c r="E172" s="9">
        <f t="shared" ca="1" si="30"/>
        <v>421</v>
      </c>
      <c r="F172" s="9">
        <f t="shared" ca="1" si="34"/>
        <v>1522</v>
      </c>
      <c r="G172" s="12" t="str">
        <f t="shared" ca="1" si="35"/>
        <v>No</v>
      </c>
      <c r="H172" s="12">
        <f t="shared" ca="1" si="31"/>
        <v>0</v>
      </c>
      <c r="I172" s="10">
        <f t="shared" ca="1" si="36"/>
        <v>0</v>
      </c>
      <c r="J172" s="13">
        <f t="shared" ca="1" si="37"/>
        <v>0</v>
      </c>
      <c r="K172" s="14">
        <f t="shared" ca="1" si="38"/>
        <v>304.40000000000003</v>
      </c>
      <c r="L172" s="14">
        <f t="shared" ca="1" si="39"/>
        <v>0</v>
      </c>
      <c r="M172" s="15">
        <f t="shared" ca="1" si="40"/>
        <v>304.40000000000003</v>
      </c>
      <c r="N172" s="16">
        <f ca="1">SUM($M$9:M172)/A172</f>
        <v>339.47317073170711</v>
      </c>
    </row>
    <row r="173" spans="1:14" x14ac:dyDescent="0.25">
      <c r="A173" s="8">
        <v>165</v>
      </c>
      <c r="B173" s="9">
        <f t="shared" ca="1" si="32"/>
        <v>1522</v>
      </c>
      <c r="C173" s="10">
        <f t="shared" ca="1" si="33"/>
        <v>0</v>
      </c>
      <c r="D173" s="11">
        <f t="shared" ca="1" si="29"/>
        <v>0.40138506042033006</v>
      </c>
      <c r="E173" s="9">
        <f t="shared" ca="1" si="30"/>
        <v>387</v>
      </c>
      <c r="F173" s="9">
        <f t="shared" ca="1" si="34"/>
        <v>1135</v>
      </c>
      <c r="G173" s="12" t="str">
        <f t="shared" ca="1" si="35"/>
        <v>No</v>
      </c>
      <c r="H173" s="12">
        <f t="shared" ca="1" si="31"/>
        <v>0</v>
      </c>
      <c r="I173" s="10">
        <f t="shared" ca="1" si="36"/>
        <v>0</v>
      </c>
      <c r="J173" s="13">
        <f t="shared" ca="1" si="37"/>
        <v>0</v>
      </c>
      <c r="K173" s="14">
        <f t="shared" ca="1" si="38"/>
        <v>227</v>
      </c>
      <c r="L173" s="14">
        <f t="shared" ca="1" si="39"/>
        <v>0</v>
      </c>
      <c r="M173" s="15">
        <f t="shared" ca="1" si="40"/>
        <v>227</v>
      </c>
      <c r="N173" s="16">
        <f ca="1">SUM($M$9:M173)/A173</f>
        <v>338.79151515151494</v>
      </c>
    </row>
    <row r="174" spans="1:14" x14ac:dyDescent="0.25">
      <c r="A174" s="8">
        <v>166</v>
      </c>
      <c r="B174" s="9">
        <f t="shared" ca="1" si="32"/>
        <v>1135</v>
      </c>
      <c r="C174" s="10">
        <f t="shared" ca="1" si="33"/>
        <v>0</v>
      </c>
      <c r="D174" s="11">
        <f t="shared" ca="1" si="29"/>
        <v>0.94305386541387815</v>
      </c>
      <c r="E174" s="9">
        <f t="shared" ca="1" si="30"/>
        <v>479</v>
      </c>
      <c r="F174" s="9">
        <f t="shared" ca="1" si="34"/>
        <v>656</v>
      </c>
      <c r="G174" s="12" t="str">
        <f t="shared" ca="1" si="35"/>
        <v>Yes</v>
      </c>
      <c r="H174" s="12">
        <f t="shared" ca="1" si="31"/>
        <v>0.23206437434859106</v>
      </c>
      <c r="I174" s="10">
        <f t="shared" ca="1" si="36"/>
        <v>1</v>
      </c>
      <c r="J174" s="13">
        <f t="shared" ca="1" si="37"/>
        <v>300</v>
      </c>
      <c r="K174" s="14">
        <f t="shared" ca="1" si="38"/>
        <v>131.20000000000002</v>
      </c>
      <c r="L174" s="14">
        <f t="shared" ca="1" si="39"/>
        <v>0</v>
      </c>
      <c r="M174" s="15">
        <f t="shared" ca="1" si="40"/>
        <v>431.20000000000005</v>
      </c>
      <c r="N174" s="16">
        <f ca="1">SUM($M$9:M174)/A174</f>
        <v>339.34819277108414</v>
      </c>
    </row>
    <row r="175" spans="1:14" x14ac:dyDescent="0.25">
      <c r="A175" s="8">
        <v>167</v>
      </c>
      <c r="B175" s="9">
        <f t="shared" ca="1" si="32"/>
        <v>2456</v>
      </c>
      <c r="C175" s="10">
        <f t="shared" ca="1" si="33"/>
        <v>1800</v>
      </c>
      <c r="D175" s="11">
        <f t="shared" ca="1" si="29"/>
        <v>0.6932597851219402</v>
      </c>
      <c r="E175" s="9">
        <f t="shared" ca="1" si="30"/>
        <v>425</v>
      </c>
      <c r="F175" s="9">
        <f t="shared" ca="1" si="34"/>
        <v>2031</v>
      </c>
      <c r="G175" s="12" t="str">
        <f t="shared" ca="1" si="35"/>
        <v>No</v>
      </c>
      <c r="H175" s="12">
        <f t="shared" ca="1" si="31"/>
        <v>0</v>
      </c>
      <c r="I175" s="10">
        <f t="shared" ca="1" si="36"/>
        <v>0</v>
      </c>
      <c r="J175" s="13">
        <f t="shared" ca="1" si="37"/>
        <v>0</v>
      </c>
      <c r="K175" s="14">
        <f t="shared" ca="1" si="38"/>
        <v>406.20000000000005</v>
      </c>
      <c r="L175" s="14">
        <f t="shared" ca="1" si="39"/>
        <v>0</v>
      </c>
      <c r="M175" s="15">
        <f t="shared" ca="1" si="40"/>
        <v>406.20000000000005</v>
      </c>
      <c r="N175" s="16">
        <f ca="1">SUM($M$9:M175)/A175</f>
        <v>339.74850299401174</v>
      </c>
    </row>
    <row r="176" spans="1:14" x14ac:dyDescent="0.25">
      <c r="A176" s="8">
        <v>168</v>
      </c>
      <c r="B176" s="9">
        <f t="shared" ca="1" si="32"/>
        <v>2031</v>
      </c>
      <c r="C176" s="10">
        <f t="shared" ca="1" si="33"/>
        <v>0</v>
      </c>
      <c r="D176" s="11">
        <f t="shared" ca="1" si="29"/>
        <v>0.30508158684246744</v>
      </c>
      <c r="E176" s="9">
        <f t="shared" ca="1" si="30"/>
        <v>374</v>
      </c>
      <c r="F176" s="9">
        <f t="shared" ca="1" si="34"/>
        <v>1657</v>
      </c>
      <c r="G176" s="12" t="str">
        <f t="shared" ca="1" si="35"/>
        <v>No</v>
      </c>
      <c r="H176" s="12">
        <f t="shared" ca="1" si="31"/>
        <v>0</v>
      </c>
      <c r="I176" s="10">
        <f t="shared" ca="1" si="36"/>
        <v>0</v>
      </c>
      <c r="J176" s="13">
        <f t="shared" ca="1" si="37"/>
        <v>0</v>
      </c>
      <c r="K176" s="14">
        <f t="shared" ca="1" si="38"/>
        <v>331.40000000000003</v>
      </c>
      <c r="L176" s="14">
        <f t="shared" ca="1" si="39"/>
        <v>0</v>
      </c>
      <c r="M176" s="15">
        <f t="shared" ca="1" si="40"/>
        <v>331.40000000000003</v>
      </c>
      <c r="N176" s="16">
        <f ca="1">SUM($M$9:M176)/A176</f>
        <v>339.6988095238093</v>
      </c>
    </row>
    <row r="177" spans="1:14" x14ac:dyDescent="0.25">
      <c r="A177" s="8">
        <v>169</v>
      </c>
      <c r="B177" s="9">
        <f t="shared" ca="1" si="32"/>
        <v>1657</v>
      </c>
      <c r="C177" s="10">
        <f t="shared" ca="1" si="33"/>
        <v>0</v>
      </c>
      <c r="D177" s="11">
        <f t="shared" ca="1" si="29"/>
        <v>0.3330480248759613</v>
      </c>
      <c r="E177" s="9">
        <f t="shared" ca="1" si="30"/>
        <v>378</v>
      </c>
      <c r="F177" s="9">
        <f t="shared" ca="1" si="34"/>
        <v>1279</v>
      </c>
      <c r="G177" s="12" t="str">
        <f t="shared" ca="1" si="35"/>
        <v>No</v>
      </c>
      <c r="H177" s="12">
        <f t="shared" ca="1" si="31"/>
        <v>0</v>
      </c>
      <c r="I177" s="10">
        <f t="shared" ca="1" si="36"/>
        <v>0</v>
      </c>
      <c r="J177" s="13">
        <f t="shared" ca="1" si="37"/>
        <v>0</v>
      </c>
      <c r="K177" s="14">
        <f t="shared" ca="1" si="38"/>
        <v>255.8</v>
      </c>
      <c r="L177" s="14">
        <f t="shared" ca="1" si="39"/>
        <v>0</v>
      </c>
      <c r="M177" s="15">
        <f t="shared" ca="1" si="40"/>
        <v>255.8</v>
      </c>
      <c r="N177" s="16">
        <f ca="1">SUM($M$9:M177)/A177</f>
        <v>339.20236686390513</v>
      </c>
    </row>
    <row r="178" spans="1:14" x14ac:dyDescent="0.25">
      <c r="A178" s="8">
        <v>170</v>
      </c>
      <c r="B178" s="9">
        <f t="shared" ca="1" si="32"/>
        <v>1279</v>
      </c>
      <c r="C178" s="10">
        <f t="shared" ca="1" si="33"/>
        <v>0</v>
      </c>
      <c r="D178" s="11">
        <f t="shared" ca="1" si="29"/>
        <v>0.45870320070508819</v>
      </c>
      <c r="E178" s="9">
        <f t="shared" ca="1" si="30"/>
        <v>394</v>
      </c>
      <c r="F178" s="9">
        <f t="shared" ca="1" si="34"/>
        <v>885</v>
      </c>
      <c r="G178" s="12" t="str">
        <f t="shared" ca="1" si="35"/>
        <v>Yes</v>
      </c>
      <c r="H178" s="12">
        <f t="shared" ca="1" si="31"/>
        <v>0.29594426862814027</v>
      </c>
      <c r="I178" s="10">
        <f t="shared" ca="1" si="36"/>
        <v>1</v>
      </c>
      <c r="J178" s="13">
        <f t="shared" ca="1" si="37"/>
        <v>300</v>
      </c>
      <c r="K178" s="14">
        <f t="shared" ca="1" si="38"/>
        <v>177</v>
      </c>
      <c r="L178" s="14">
        <f t="shared" ca="1" si="39"/>
        <v>0</v>
      </c>
      <c r="M178" s="15">
        <f t="shared" ca="1" si="40"/>
        <v>477</v>
      </c>
      <c r="N178" s="16">
        <f ca="1">SUM($M$9:M178)/A178</f>
        <v>340.01294117647041</v>
      </c>
    </row>
    <row r="179" spans="1:14" x14ac:dyDescent="0.25">
      <c r="A179" s="8">
        <v>171</v>
      </c>
      <c r="B179" s="9">
        <f t="shared" ca="1" si="32"/>
        <v>2685</v>
      </c>
      <c r="C179" s="10">
        <f t="shared" ca="1" si="33"/>
        <v>1800</v>
      </c>
      <c r="D179" s="11">
        <f t="shared" ca="1" si="29"/>
        <v>0.52937137432939341</v>
      </c>
      <c r="E179" s="9">
        <f t="shared" ca="1" si="30"/>
        <v>403</v>
      </c>
      <c r="F179" s="9">
        <f t="shared" ca="1" si="34"/>
        <v>2282</v>
      </c>
      <c r="G179" s="12" t="str">
        <f t="shared" ca="1" si="35"/>
        <v>No</v>
      </c>
      <c r="H179" s="12">
        <f t="shared" ca="1" si="31"/>
        <v>0</v>
      </c>
      <c r="I179" s="10">
        <f t="shared" ca="1" si="36"/>
        <v>0</v>
      </c>
      <c r="J179" s="13">
        <f t="shared" ca="1" si="37"/>
        <v>0</v>
      </c>
      <c r="K179" s="14">
        <f t="shared" ca="1" si="38"/>
        <v>456.40000000000003</v>
      </c>
      <c r="L179" s="14">
        <f t="shared" ca="1" si="39"/>
        <v>0</v>
      </c>
      <c r="M179" s="15">
        <f t="shared" ca="1" si="40"/>
        <v>456.40000000000003</v>
      </c>
      <c r="N179" s="16">
        <f ca="1">SUM($M$9:M179)/A179</f>
        <v>340.69356725146179</v>
      </c>
    </row>
    <row r="180" spans="1:14" x14ac:dyDescent="0.25">
      <c r="A180" s="8">
        <v>172</v>
      </c>
      <c r="B180" s="9">
        <f t="shared" ca="1" si="32"/>
        <v>2282</v>
      </c>
      <c r="C180" s="10">
        <f t="shared" ca="1" si="33"/>
        <v>0</v>
      </c>
      <c r="D180" s="11">
        <f t="shared" ca="1" si="29"/>
        <v>0.84988522126439903</v>
      </c>
      <c r="E180" s="9">
        <f t="shared" ca="1" si="30"/>
        <v>451</v>
      </c>
      <c r="F180" s="9">
        <f t="shared" ca="1" si="34"/>
        <v>1831</v>
      </c>
      <c r="G180" s="12" t="str">
        <f t="shared" ca="1" si="35"/>
        <v>No</v>
      </c>
      <c r="H180" s="12">
        <f t="shared" ca="1" si="31"/>
        <v>0</v>
      </c>
      <c r="I180" s="10">
        <f t="shared" ca="1" si="36"/>
        <v>0</v>
      </c>
      <c r="J180" s="13">
        <f t="shared" ca="1" si="37"/>
        <v>0</v>
      </c>
      <c r="K180" s="14">
        <f t="shared" ca="1" si="38"/>
        <v>366.20000000000005</v>
      </c>
      <c r="L180" s="14">
        <f t="shared" ca="1" si="39"/>
        <v>0</v>
      </c>
      <c r="M180" s="15">
        <f t="shared" ca="1" si="40"/>
        <v>366.20000000000005</v>
      </c>
      <c r="N180" s="16">
        <f ca="1">SUM($M$9:M180)/A180</f>
        <v>340.8418604651161</v>
      </c>
    </row>
    <row r="181" spans="1:14" x14ac:dyDescent="0.25">
      <c r="A181" s="8">
        <v>173</v>
      </c>
      <c r="B181" s="9">
        <f t="shared" ca="1" si="32"/>
        <v>1831</v>
      </c>
      <c r="C181" s="10">
        <f t="shared" ca="1" si="33"/>
        <v>0</v>
      </c>
      <c r="D181" s="11">
        <f t="shared" ca="1" si="29"/>
        <v>0.50245948322106382</v>
      </c>
      <c r="E181" s="9">
        <f t="shared" ca="1" si="30"/>
        <v>400</v>
      </c>
      <c r="F181" s="9">
        <f t="shared" ca="1" si="34"/>
        <v>1431</v>
      </c>
      <c r="G181" s="12" t="str">
        <f t="shared" ca="1" si="35"/>
        <v>No</v>
      </c>
      <c r="H181" s="12">
        <f t="shared" ca="1" si="31"/>
        <v>0</v>
      </c>
      <c r="I181" s="10">
        <f t="shared" ca="1" si="36"/>
        <v>0</v>
      </c>
      <c r="J181" s="13">
        <f t="shared" ca="1" si="37"/>
        <v>0</v>
      </c>
      <c r="K181" s="14">
        <f t="shared" ca="1" si="38"/>
        <v>286.2</v>
      </c>
      <c r="L181" s="14">
        <f t="shared" ca="1" si="39"/>
        <v>0</v>
      </c>
      <c r="M181" s="15">
        <f t="shared" ca="1" si="40"/>
        <v>286.2</v>
      </c>
      <c r="N181" s="16">
        <f ca="1">SUM($M$9:M181)/A181</f>
        <v>340.52601156069341</v>
      </c>
    </row>
    <row r="182" spans="1:14" x14ac:dyDescent="0.25">
      <c r="A182" s="8">
        <v>174</v>
      </c>
      <c r="B182" s="9">
        <f t="shared" ca="1" si="32"/>
        <v>1431</v>
      </c>
      <c r="C182" s="10">
        <f t="shared" ca="1" si="33"/>
        <v>0</v>
      </c>
      <c r="D182" s="11">
        <f t="shared" ca="1" si="29"/>
        <v>2.5996134848312535E-2</v>
      </c>
      <c r="E182" s="9">
        <f t="shared" ca="1" si="30"/>
        <v>302</v>
      </c>
      <c r="F182" s="9">
        <f t="shared" ca="1" si="34"/>
        <v>1129</v>
      </c>
      <c r="G182" s="12" t="str">
        <f t="shared" ca="1" si="35"/>
        <v>No</v>
      </c>
      <c r="H182" s="12">
        <f t="shared" ca="1" si="31"/>
        <v>0</v>
      </c>
      <c r="I182" s="10">
        <f t="shared" ca="1" si="36"/>
        <v>0</v>
      </c>
      <c r="J182" s="13">
        <f t="shared" ca="1" si="37"/>
        <v>0</v>
      </c>
      <c r="K182" s="14">
        <f t="shared" ca="1" si="38"/>
        <v>225.8</v>
      </c>
      <c r="L182" s="14">
        <f t="shared" ca="1" si="39"/>
        <v>0</v>
      </c>
      <c r="M182" s="15">
        <f t="shared" ca="1" si="40"/>
        <v>225.8</v>
      </c>
      <c r="N182" s="16">
        <f ca="1">SUM($M$9:M182)/A182</f>
        <v>339.86666666666645</v>
      </c>
    </row>
    <row r="183" spans="1:14" x14ac:dyDescent="0.25">
      <c r="A183" s="8">
        <v>175</v>
      </c>
      <c r="B183" s="9">
        <f t="shared" ca="1" si="32"/>
        <v>1129</v>
      </c>
      <c r="C183" s="10">
        <f t="shared" ca="1" si="33"/>
        <v>0</v>
      </c>
      <c r="D183" s="11">
        <f t="shared" ca="1" si="29"/>
        <v>4.9910162119177981E-2</v>
      </c>
      <c r="E183" s="9">
        <f t="shared" ca="1" si="30"/>
        <v>317</v>
      </c>
      <c r="F183" s="9">
        <f t="shared" ca="1" si="34"/>
        <v>812</v>
      </c>
      <c r="G183" s="12" t="str">
        <f t="shared" ca="1" si="35"/>
        <v>Yes</v>
      </c>
      <c r="H183" s="12">
        <f t="shared" ca="1" si="31"/>
        <v>0.70156265550473729</v>
      </c>
      <c r="I183" s="10">
        <f t="shared" ca="1" si="36"/>
        <v>2</v>
      </c>
      <c r="J183" s="13">
        <f t="shared" ca="1" si="37"/>
        <v>300</v>
      </c>
      <c r="K183" s="14">
        <f t="shared" ca="1" si="38"/>
        <v>162.4</v>
      </c>
      <c r="L183" s="14">
        <f t="shared" ca="1" si="39"/>
        <v>0</v>
      </c>
      <c r="M183" s="15">
        <f t="shared" ca="1" si="40"/>
        <v>462.4</v>
      </c>
      <c r="N183" s="16">
        <f ca="1">SUM($M$9:M183)/A183</f>
        <v>340.56685714285697</v>
      </c>
    </row>
    <row r="184" spans="1:14" x14ac:dyDescent="0.25">
      <c r="A184" s="8">
        <v>176</v>
      </c>
      <c r="B184" s="9">
        <f t="shared" ca="1" si="32"/>
        <v>812</v>
      </c>
      <c r="C184" s="10">
        <f t="shared" ca="1" si="33"/>
        <v>0</v>
      </c>
      <c r="D184" s="11">
        <f t="shared" ca="1" si="29"/>
        <v>0.9682344942567721</v>
      </c>
      <c r="E184" s="9">
        <f t="shared" ca="1" si="30"/>
        <v>492</v>
      </c>
      <c r="F184" s="9">
        <f t="shared" ca="1" si="34"/>
        <v>320</v>
      </c>
      <c r="G184" s="12" t="str">
        <f t="shared" ca="1" si="35"/>
        <v>No</v>
      </c>
      <c r="H184" s="12">
        <f t="shared" ca="1" si="31"/>
        <v>0</v>
      </c>
      <c r="I184" s="10">
        <f t="shared" ca="1" si="36"/>
        <v>1</v>
      </c>
      <c r="J184" s="13">
        <f t="shared" ca="1" si="37"/>
        <v>0</v>
      </c>
      <c r="K184" s="14">
        <f t="shared" ca="1" si="38"/>
        <v>64</v>
      </c>
      <c r="L184" s="14">
        <f t="shared" ca="1" si="39"/>
        <v>0</v>
      </c>
      <c r="M184" s="15">
        <f t="shared" ca="1" si="40"/>
        <v>64</v>
      </c>
      <c r="N184" s="16">
        <f ca="1">SUM($M$9:M184)/A184</f>
        <v>338.99545454545438</v>
      </c>
    </row>
    <row r="185" spans="1:14" x14ac:dyDescent="0.25">
      <c r="A185" s="8">
        <v>177</v>
      </c>
      <c r="B185" s="9">
        <f t="shared" ca="1" si="32"/>
        <v>2120</v>
      </c>
      <c r="C185" s="10">
        <f t="shared" ca="1" si="33"/>
        <v>1800</v>
      </c>
      <c r="D185" s="11">
        <f t="shared" ca="1" si="29"/>
        <v>0.65701808971963527</v>
      </c>
      <c r="E185" s="9">
        <f t="shared" ca="1" si="30"/>
        <v>420</v>
      </c>
      <c r="F185" s="9">
        <f t="shared" ca="1" si="34"/>
        <v>1700</v>
      </c>
      <c r="G185" s="12" t="str">
        <f t="shared" ca="1" si="35"/>
        <v>No</v>
      </c>
      <c r="H185" s="12">
        <f t="shared" ca="1" si="31"/>
        <v>0</v>
      </c>
      <c r="I185" s="10">
        <f t="shared" ca="1" si="36"/>
        <v>0</v>
      </c>
      <c r="J185" s="13">
        <f t="shared" ca="1" si="37"/>
        <v>0</v>
      </c>
      <c r="K185" s="14">
        <f t="shared" ca="1" si="38"/>
        <v>340</v>
      </c>
      <c r="L185" s="14">
        <f t="shared" ca="1" si="39"/>
        <v>0</v>
      </c>
      <c r="M185" s="15">
        <f t="shared" ca="1" si="40"/>
        <v>340</v>
      </c>
      <c r="N185" s="16">
        <f ca="1">SUM($M$9:M185)/A185</f>
        <v>339.00112994350263</v>
      </c>
    </row>
    <row r="186" spans="1:14" x14ac:dyDescent="0.25">
      <c r="A186" s="8">
        <v>178</v>
      </c>
      <c r="B186" s="9">
        <f t="shared" ca="1" si="32"/>
        <v>1700</v>
      </c>
      <c r="C186" s="10">
        <f t="shared" ca="1" si="33"/>
        <v>0</v>
      </c>
      <c r="D186" s="11">
        <f t="shared" ca="1" si="29"/>
        <v>0.39652152706412758</v>
      </c>
      <c r="E186" s="9">
        <f t="shared" ca="1" si="30"/>
        <v>386</v>
      </c>
      <c r="F186" s="9">
        <f t="shared" ca="1" si="34"/>
        <v>1314</v>
      </c>
      <c r="G186" s="12" t="str">
        <f t="shared" ca="1" si="35"/>
        <v>No</v>
      </c>
      <c r="H186" s="12">
        <f t="shared" ca="1" si="31"/>
        <v>0</v>
      </c>
      <c r="I186" s="10">
        <f t="shared" ca="1" si="36"/>
        <v>0</v>
      </c>
      <c r="J186" s="13">
        <f t="shared" ca="1" si="37"/>
        <v>0</v>
      </c>
      <c r="K186" s="14">
        <f t="shared" ca="1" si="38"/>
        <v>262.8</v>
      </c>
      <c r="L186" s="14">
        <f t="shared" ca="1" si="39"/>
        <v>0</v>
      </c>
      <c r="M186" s="15">
        <f t="shared" ca="1" si="40"/>
        <v>262.8</v>
      </c>
      <c r="N186" s="16">
        <f ca="1">SUM($M$9:M186)/A186</f>
        <v>338.57303370786502</v>
      </c>
    </row>
    <row r="187" spans="1:14" x14ac:dyDescent="0.25">
      <c r="A187" s="8">
        <v>179</v>
      </c>
      <c r="B187" s="9">
        <f t="shared" ca="1" si="32"/>
        <v>1314</v>
      </c>
      <c r="C187" s="10">
        <f t="shared" ca="1" si="33"/>
        <v>0</v>
      </c>
      <c r="D187" s="11">
        <f t="shared" ca="1" si="29"/>
        <v>0.15675526135006046</v>
      </c>
      <c r="E187" s="9">
        <f t="shared" ca="1" si="30"/>
        <v>349</v>
      </c>
      <c r="F187" s="9">
        <f t="shared" ca="1" si="34"/>
        <v>965</v>
      </c>
      <c r="G187" s="12" t="str">
        <f t="shared" ca="1" si="35"/>
        <v>Yes</v>
      </c>
      <c r="H187" s="12">
        <f t="shared" ca="1" si="31"/>
        <v>0.86348902326435184</v>
      </c>
      <c r="I187" s="10">
        <f t="shared" ca="1" si="36"/>
        <v>2</v>
      </c>
      <c r="J187" s="13">
        <f t="shared" ca="1" si="37"/>
        <v>300</v>
      </c>
      <c r="K187" s="14">
        <f t="shared" ca="1" si="38"/>
        <v>193</v>
      </c>
      <c r="L187" s="14">
        <f t="shared" ca="1" si="39"/>
        <v>0</v>
      </c>
      <c r="M187" s="15">
        <f t="shared" ca="1" si="40"/>
        <v>493</v>
      </c>
      <c r="N187" s="16">
        <f ca="1">SUM($M$9:M187)/A187</f>
        <v>339.43575418994396</v>
      </c>
    </row>
    <row r="188" spans="1:14" x14ac:dyDescent="0.25">
      <c r="A188" s="8">
        <v>180</v>
      </c>
      <c r="B188" s="9">
        <f t="shared" ca="1" si="32"/>
        <v>965</v>
      </c>
      <c r="C188" s="10">
        <f t="shared" ca="1" si="33"/>
        <v>0</v>
      </c>
      <c r="D188" s="11">
        <f t="shared" ca="1" si="29"/>
        <v>5.2057436779569422E-2</v>
      </c>
      <c r="E188" s="9">
        <f t="shared" ca="1" si="30"/>
        <v>318</v>
      </c>
      <c r="F188" s="9">
        <f t="shared" ca="1" si="34"/>
        <v>647</v>
      </c>
      <c r="G188" s="12" t="str">
        <f t="shared" ca="1" si="35"/>
        <v>No</v>
      </c>
      <c r="H188" s="12">
        <f t="shared" ca="1" si="31"/>
        <v>0</v>
      </c>
      <c r="I188" s="10">
        <f t="shared" ca="1" si="36"/>
        <v>1</v>
      </c>
      <c r="J188" s="13">
        <f t="shared" ca="1" si="37"/>
        <v>0</v>
      </c>
      <c r="K188" s="14">
        <f t="shared" ca="1" si="38"/>
        <v>129.4</v>
      </c>
      <c r="L188" s="14">
        <f t="shared" ca="1" si="39"/>
        <v>0</v>
      </c>
      <c r="M188" s="15">
        <f t="shared" ca="1" si="40"/>
        <v>129.4</v>
      </c>
      <c r="N188" s="16">
        <f ca="1">SUM($M$9:M188)/A188</f>
        <v>338.26888888888874</v>
      </c>
    </row>
    <row r="189" spans="1:14" x14ac:dyDescent="0.25">
      <c r="A189" s="8">
        <v>181</v>
      </c>
      <c r="B189" s="9">
        <f t="shared" ca="1" si="32"/>
        <v>2447</v>
      </c>
      <c r="C189" s="10">
        <f t="shared" ca="1" si="33"/>
        <v>1800</v>
      </c>
      <c r="D189" s="11">
        <f t="shared" ca="1" si="29"/>
        <v>0.81015110241216359</v>
      </c>
      <c r="E189" s="9">
        <f t="shared" ca="1" si="30"/>
        <v>443</v>
      </c>
      <c r="F189" s="9">
        <f t="shared" ca="1" si="34"/>
        <v>2004</v>
      </c>
      <c r="G189" s="12" t="str">
        <f t="shared" ca="1" si="35"/>
        <v>No</v>
      </c>
      <c r="H189" s="12">
        <f t="shared" ca="1" si="31"/>
        <v>0</v>
      </c>
      <c r="I189" s="10">
        <f t="shared" ca="1" si="36"/>
        <v>0</v>
      </c>
      <c r="J189" s="13">
        <f t="shared" ca="1" si="37"/>
        <v>0</v>
      </c>
      <c r="K189" s="14">
        <f t="shared" ca="1" si="38"/>
        <v>400.8</v>
      </c>
      <c r="L189" s="14">
        <f t="shared" ca="1" si="39"/>
        <v>0</v>
      </c>
      <c r="M189" s="15">
        <f t="shared" ca="1" si="40"/>
        <v>400.8</v>
      </c>
      <c r="N189" s="16">
        <f ca="1">SUM($M$9:M189)/A189</f>
        <v>338.61436464088382</v>
      </c>
    </row>
    <row r="190" spans="1:14" x14ac:dyDescent="0.25">
      <c r="A190" s="8">
        <v>182</v>
      </c>
      <c r="B190" s="9">
        <f t="shared" ca="1" si="32"/>
        <v>2004</v>
      </c>
      <c r="C190" s="10">
        <f t="shared" ca="1" si="33"/>
        <v>0</v>
      </c>
      <c r="D190" s="11">
        <f t="shared" ca="1" si="29"/>
        <v>0.39085111392291139</v>
      </c>
      <c r="E190" s="9">
        <f t="shared" ca="1" si="30"/>
        <v>386</v>
      </c>
      <c r="F190" s="9">
        <f t="shared" ca="1" si="34"/>
        <v>1618</v>
      </c>
      <c r="G190" s="12" t="str">
        <f t="shared" ca="1" si="35"/>
        <v>No</v>
      </c>
      <c r="H190" s="12">
        <f t="shared" ca="1" si="31"/>
        <v>0</v>
      </c>
      <c r="I190" s="10">
        <f t="shared" ca="1" si="36"/>
        <v>0</v>
      </c>
      <c r="J190" s="13">
        <f t="shared" ca="1" si="37"/>
        <v>0</v>
      </c>
      <c r="K190" s="14">
        <f t="shared" ca="1" si="38"/>
        <v>323.60000000000002</v>
      </c>
      <c r="L190" s="14">
        <f t="shared" ca="1" si="39"/>
        <v>0</v>
      </c>
      <c r="M190" s="15">
        <f t="shared" ca="1" si="40"/>
        <v>323.60000000000002</v>
      </c>
      <c r="N190" s="16">
        <f ca="1">SUM($M$9:M190)/A190</f>
        <v>338.53186813186801</v>
      </c>
    </row>
    <row r="191" spans="1:14" x14ac:dyDescent="0.25">
      <c r="A191" s="8">
        <v>183</v>
      </c>
      <c r="B191" s="9">
        <f t="shared" ca="1" si="32"/>
        <v>1618</v>
      </c>
      <c r="C191" s="10">
        <f t="shared" ca="1" si="33"/>
        <v>0</v>
      </c>
      <c r="D191" s="11">
        <f t="shared" ca="1" si="29"/>
        <v>0.89919132806601831</v>
      </c>
      <c r="E191" s="9">
        <f t="shared" ca="1" si="30"/>
        <v>463</v>
      </c>
      <c r="F191" s="9">
        <f t="shared" ca="1" si="34"/>
        <v>1155</v>
      </c>
      <c r="G191" s="12" t="str">
        <f t="shared" ca="1" si="35"/>
        <v>No</v>
      </c>
      <c r="H191" s="12">
        <f t="shared" ca="1" si="31"/>
        <v>0</v>
      </c>
      <c r="I191" s="10">
        <f t="shared" ca="1" si="36"/>
        <v>0</v>
      </c>
      <c r="J191" s="13">
        <f t="shared" ca="1" si="37"/>
        <v>0</v>
      </c>
      <c r="K191" s="14">
        <f t="shared" ca="1" si="38"/>
        <v>231</v>
      </c>
      <c r="L191" s="14">
        <f t="shared" ca="1" si="39"/>
        <v>0</v>
      </c>
      <c r="M191" s="15">
        <f t="shared" ca="1" si="40"/>
        <v>231</v>
      </c>
      <c r="N191" s="16">
        <f ca="1">SUM($M$9:M191)/A191</f>
        <v>337.94426229508184</v>
      </c>
    </row>
    <row r="192" spans="1:14" x14ac:dyDescent="0.25">
      <c r="A192" s="8">
        <v>184</v>
      </c>
      <c r="B192" s="9">
        <f t="shared" ca="1" si="32"/>
        <v>1155</v>
      </c>
      <c r="C192" s="10">
        <f t="shared" ca="1" si="33"/>
        <v>0</v>
      </c>
      <c r="D192" s="11">
        <f t="shared" ca="1" si="29"/>
        <v>0.39483087558972729</v>
      </c>
      <c r="E192" s="9">
        <f t="shared" ca="1" si="30"/>
        <v>386</v>
      </c>
      <c r="F192" s="9">
        <f t="shared" ca="1" si="34"/>
        <v>769</v>
      </c>
      <c r="G192" s="12" t="str">
        <f t="shared" ca="1" si="35"/>
        <v>Yes</v>
      </c>
      <c r="H192" s="12">
        <f t="shared" ca="1" si="31"/>
        <v>0.73741600662460782</v>
      </c>
      <c r="I192" s="10">
        <f t="shared" ca="1" si="36"/>
        <v>2</v>
      </c>
      <c r="J192" s="13">
        <f t="shared" ca="1" si="37"/>
        <v>300</v>
      </c>
      <c r="K192" s="14">
        <f t="shared" ca="1" si="38"/>
        <v>153.80000000000001</v>
      </c>
      <c r="L192" s="14">
        <f t="shared" ca="1" si="39"/>
        <v>0</v>
      </c>
      <c r="M192" s="15">
        <f t="shared" ca="1" si="40"/>
        <v>453.8</v>
      </c>
      <c r="N192" s="16">
        <f ca="1">SUM($M$9:M192)/A192</f>
        <v>338.57391304347811</v>
      </c>
    </row>
    <row r="193" spans="1:14" x14ac:dyDescent="0.25">
      <c r="A193" s="8">
        <v>185</v>
      </c>
      <c r="B193" s="9">
        <f t="shared" ca="1" si="32"/>
        <v>769</v>
      </c>
      <c r="C193" s="10">
        <f t="shared" ca="1" si="33"/>
        <v>0</v>
      </c>
      <c r="D193" s="11">
        <f t="shared" ca="1" si="29"/>
        <v>0.18332979222704793</v>
      </c>
      <c r="E193" s="9">
        <f t="shared" ca="1" si="30"/>
        <v>354</v>
      </c>
      <c r="F193" s="9">
        <f t="shared" ca="1" si="34"/>
        <v>415</v>
      </c>
      <c r="G193" s="12" t="str">
        <f t="shared" ca="1" si="35"/>
        <v>No</v>
      </c>
      <c r="H193" s="12">
        <f t="shared" ca="1" si="31"/>
        <v>0</v>
      </c>
      <c r="I193" s="10">
        <f t="shared" ca="1" si="36"/>
        <v>1</v>
      </c>
      <c r="J193" s="13">
        <f t="shared" ca="1" si="37"/>
        <v>0</v>
      </c>
      <c r="K193" s="14">
        <f t="shared" ca="1" si="38"/>
        <v>83</v>
      </c>
      <c r="L193" s="14">
        <f t="shared" ca="1" si="39"/>
        <v>0</v>
      </c>
      <c r="M193" s="15">
        <f t="shared" ca="1" si="40"/>
        <v>83</v>
      </c>
      <c r="N193" s="16">
        <f ca="1">SUM($M$9:M193)/A193</f>
        <v>337.19243243243233</v>
      </c>
    </row>
    <row r="194" spans="1:14" x14ac:dyDescent="0.25">
      <c r="A194" s="8">
        <v>186</v>
      </c>
      <c r="B194" s="9">
        <f t="shared" ca="1" si="32"/>
        <v>2215</v>
      </c>
      <c r="C194" s="10">
        <f t="shared" ca="1" si="33"/>
        <v>1800</v>
      </c>
      <c r="D194" s="11">
        <f t="shared" ca="1" si="29"/>
        <v>0.19721328277819972</v>
      </c>
      <c r="E194" s="9">
        <f t="shared" ca="1" si="30"/>
        <v>357</v>
      </c>
      <c r="F194" s="9">
        <f t="shared" ca="1" si="34"/>
        <v>1858</v>
      </c>
      <c r="G194" s="12" t="str">
        <f t="shared" ca="1" si="35"/>
        <v>No</v>
      </c>
      <c r="H194" s="12">
        <f t="shared" ca="1" si="31"/>
        <v>0</v>
      </c>
      <c r="I194" s="10">
        <f t="shared" ca="1" si="36"/>
        <v>0</v>
      </c>
      <c r="J194" s="13">
        <f t="shared" ca="1" si="37"/>
        <v>0</v>
      </c>
      <c r="K194" s="14">
        <f t="shared" ca="1" si="38"/>
        <v>371.6</v>
      </c>
      <c r="L194" s="14">
        <f t="shared" ca="1" si="39"/>
        <v>0</v>
      </c>
      <c r="M194" s="15">
        <f t="shared" ca="1" si="40"/>
        <v>371.6</v>
      </c>
      <c r="N194" s="16">
        <f ca="1">SUM($M$9:M194)/A194</f>
        <v>337.37741935483859</v>
      </c>
    </row>
    <row r="195" spans="1:14" x14ac:dyDescent="0.25">
      <c r="A195" s="8">
        <v>187</v>
      </c>
      <c r="B195" s="9">
        <f t="shared" ca="1" si="32"/>
        <v>1858</v>
      </c>
      <c r="C195" s="10">
        <f t="shared" ca="1" si="33"/>
        <v>0</v>
      </c>
      <c r="D195" s="11">
        <f t="shared" ca="1" si="29"/>
        <v>0.71833593007169594</v>
      </c>
      <c r="E195" s="9">
        <f t="shared" ca="1" si="30"/>
        <v>428</v>
      </c>
      <c r="F195" s="9">
        <f t="shared" ca="1" si="34"/>
        <v>1430</v>
      </c>
      <c r="G195" s="12" t="str">
        <f t="shared" ca="1" si="35"/>
        <v>No</v>
      </c>
      <c r="H195" s="12">
        <f t="shared" ca="1" si="31"/>
        <v>0</v>
      </c>
      <c r="I195" s="10">
        <f t="shared" ca="1" si="36"/>
        <v>0</v>
      </c>
      <c r="J195" s="13">
        <f t="shared" ca="1" si="37"/>
        <v>0</v>
      </c>
      <c r="K195" s="14">
        <f t="shared" ca="1" si="38"/>
        <v>286</v>
      </c>
      <c r="L195" s="14">
        <f t="shared" ca="1" si="39"/>
        <v>0</v>
      </c>
      <c r="M195" s="15">
        <f t="shared" ca="1" si="40"/>
        <v>286</v>
      </c>
      <c r="N195" s="16">
        <f ca="1">SUM($M$9:M195)/A195</f>
        <v>337.10267379679129</v>
      </c>
    </row>
    <row r="196" spans="1:14" x14ac:dyDescent="0.25">
      <c r="A196" s="8">
        <v>188</v>
      </c>
      <c r="B196" s="9">
        <f t="shared" ca="1" si="32"/>
        <v>1430</v>
      </c>
      <c r="C196" s="10">
        <f t="shared" ca="1" si="33"/>
        <v>0</v>
      </c>
      <c r="D196" s="11">
        <f t="shared" ca="1" si="29"/>
        <v>0.59667635741911507</v>
      </c>
      <c r="E196" s="9">
        <f t="shared" ca="1" si="30"/>
        <v>412</v>
      </c>
      <c r="F196" s="9">
        <f t="shared" ca="1" si="34"/>
        <v>1018</v>
      </c>
      <c r="G196" s="12" t="str">
        <f t="shared" ca="1" si="35"/>
        <v>No</v>
      </c>
      <c r="H196" s="12">
        <f t="shared" ca="1" si="31"/>
        <v>0</v>
      </c>
      <c r="I196" s="10">
        <f t="shared" ca="1" si="36"/>
        <v>0</v>
      </c>
      <c r="J196" s="13">
        <f t="shared" ca="1" si="37"/>
        <v>0</v>
      </c>
      <c r="K196" s="14">
        <f t="shared" ca="1" si="38"/>
        <v>203.60000000000002</v>
      </c>
      <c r="L196" s="14">
        <f t="shared" ca="1" si="39"/>
        <v>0</v>
      </c>
      <c r="M196" s="15">
        <f t="shared" ca="1" si="40"/>
        <v>203.60000000000002</v>
      </c>
      <c r="N196" s="16">
        <f ca="1">SUM($M$9:M196)/A196</f>
        <v>336.39255319148924</v>
      </c>
    </row>
    <row r="197" spans="1:14" x14ac:dyDescent="0.25">
      <c r="A197" s="8">
        <v>189</v>
      </c>
      <c r="B197" s="9">
        <f t="shared" ca="1" si="32"/>
        <v>1018</v>
      </c>
      <c r="C197" s="10">
        <f t="shared" ca="1" si="33"/>
        <v>0</v>
      </c>
      <c r="D197" s="11">
        <f t="shared" ca="1" si="29"/>
        <v>0.2106320622666723</v>
      </c>
      <c r="E197" s="9">
        <f t="shared" ca="1" si="30"/>
        <v>359</v>
      </c>
      <c r="F197" s="9">
        <f t="shared" ca="1" si="34"/>
        <v>659</v>
      </c>
      <c r="G197" s="12" t="str">
        <f t="shared" ca="1" si="35"/>
        <v>Yes</v>
      </c>
      <c r="H197" s="12">
        <f t="shared" ca="1" si="31"/>
        <v>0.1203154642716795</v>
      </c>
      <c r="I197" s="10">
        <f t="shared" ca="1" si="36"/>
        <v>1</v>
      </c>
      <c r="J197" s="13">
        <f t="shared" ca="1" si="37"/>
        <v>300</v>
      </c>
      <c r="K197" s="14">
        <f t="shared" ca="1" si="38"/>
        <v>131.80000000000001</v>
      </c>
      <c r="L197" s="14">
        <f t="shared" ca="1" si="39"/>
        <v>0</v>
      </c>
      <c r="M197" s="15">
        <f t="shared" ca="1" si="40"/>
        <v>431.8</v>
      </c>
      <c r="N197" s="16">
        <f ca="1">SUM($M$9:M197)/A197</f>
        <v>336.8973544973544</v>
      </c>
    </row>
    <row r="198" spans="1:14" x14ac:dyDescent="0.25">
      <c r="A198" s="8">
        <v>190</v>
      </c>
      <c r="B198" s="9">
        <f t="shared" ca="1" si="32"/>
        <v>2459</v>
      </c>
      <c r="C198" s="10">
        <f t="shared" ca="1" si="33"/>
        <v>1800</v>
      </c>
      <c r="D198" s="11">
        <f t="shared" ca="1" si="29"/>
        <v>0.63856388693079846</v>
      </c>
      <c r="E198" s="9">
        <f t="shared" ca="1" si="30"/>
        <v>417</v>
      </c>
      <c r="F198" s="9">
        <f t="shared" ca="1" si="34"/>
        <v>2042</v>
      </c>
      <c r="G198" s="12" t="str">
        <f t="shared" ca="1" si="35"/>
        <v>No</v>
      </c>
      <c r="H198" s="12">
        <f t="shared" ca="1" si="31"/>
        <v>0</v>
      </c>
      <c r="I198" s="10">
        <f t="shared" ca="1" si="36"/>
        <v>0</v>
      </c>
      <c r="J198" s="13">
        <f t="shared" ca="1" si="37"/>
        <v>0</v>
      </c>
      <c r="K198" s="14">
        <f t="shared" ca="1" si="38"/>
        <v>408.40000000000003</v>
      </c>
      <c r="L198" s="14">
        <f t="shared" ca="1" si="39"/>
        <v>0</v>
      </c>
      <c r="M198" s="15">
        <f t="shared" ca="1" si="40"/>
        <v>408.40000000000003</v>
      </c>
      <c r="N198" s="16">
        <f ca="1">SUM($M$9:M198)/A198</f>
        <v>337.2736842105262</v>
      </c>
    </row>
    <row r="199" spans="1:14" x14ac:dyDescent="0.25">
      <c r="A199" s="8">
        <v>191</v>
      </c>
      <c r="B199" s="9">
        <f t="shared" ca="1" si="32"/>
        <v>2042</v>
      </c>
      <c r="C199" s="10">
        <f t="shared" ca="1" si="33"/>
        <v>0</v>
      </c>
      <c r="D199" s="11">
        <f t="shared" ca="1" si="29"/>
        <v>0.33353697945252525</v>
      </c>
      <c r="E199" s="9">
        <f t="shared" ca="1" si="30"/>
        <v>378</v>
      </c>
      <c r="F199" s="9">
        <f t="shared" ca="1" si="34"/>
        <v>1664</v>
      </c>
      <c r="G199" s="12" t="str">
        <f t="shared" ca="1" si="35"/>
        <v>No</v>
      </c>
      <c r="H199" s="12">
        <f t="shared" ca="1" si="31"/>
        <v>0</v>
      </c>
      <c r="I199" s="10">
        <f t="shared" ca="1" si="36"/>
        <v>0</v>
      </c>
      <c r="J199" s="13">
        <f t="shared" ca="1" si="37"/>
        <v>0</v>
      </c>
      <c r="K199" s="14">
        <f t="shared" ca="1" si="38"/>
        <v>332.8</v>
      </c>
      <c r="L199" s="14">
        <f t="shared" ca="1" si="39"/>
        <v>0</v>
      </c>
      <c r="M199" s="15">
        <f t="shared" ca="1" si="40"/>
        <v>332.8</v>
      </c>
      <c r="N199" s="16">
        <f ca="1">SUM($M$9:M199)/A199</f>
        <v>337.25026178010461</v>
      </c>
    </row>
    <row r="200" spans="1:14" x14ac:dyDescent="0.25">
      <c r="A200" s="8">
        <v>192</v>
      </c>
      <c r="B200" s="9">
        <f t="shared" ca="1" si="32"/>
        <v>1664</v>
      </c>
      <c r="C200" s="10">
        <f t="shared" ca="1" si="33"/>
        <v>0</v>
      </c>
      <c r="D200" s="11">
        <f t="shared" ca="1" si="29"/>
        <v>0.34578916549667615</v>
      </c>
      <c r="E200" s="9">
        <f t="shared" ca="1" si="30"/>
        <v>380</v>
      </c>
      <c r="F200" s="9">
        <f t="shared" ca="1" si="34"/>
        <v>1284</v>
      </c>
      <c r="G200" s="12" t="str">
        <f t="shared" ca="1" si="35"/>
        <v>No</v>
      </c>
      <c r="H200" s="12">
        <f t="shared" ca="1" si="31"/>
        <v>0</v>
      </c>
      <c r="I200" s="10">
        <f t="shared" ca="1" si="36"/>
        <v>0</v>
      </c>
      <c r="J200" s="13">
        <f t="shared" ca="1" si="37"/>
        <v>0</v>
      </c>
      <c r="K200" s="14">
        <f t="shared" ca="1" si="38"/>
        <v>256.8</v>
      </c>
      <c r="L200" s="14">
        <f t="shared" ca="1" si="39"/>
        <v>0</v>
      </c>
      <c r="M200" s="15">
        <f t="shared" ca="1" si="40"/>
        <v>256.8</v>
      </c>
      <c r="N200" s="16">
        <f ca="1">SUM($M$9:M200)/A200</f>
        <v>336.8312499999999</v>
      </c>
    </row>
    <row r="201" spans="1:14" x14ac:dyDescent="0.25">
      <c r="A201" s="8">
        <v>193</v>
      </c>
      <c r="B201" s="9">
        <f t="shared" ca="1" si="32"/>
        <v>1284</v>
      </c>
      <c r="C201" s="10">
        <f t="shared" ca="1" si="33"/>
        <v>0</v>
      </c>
      <c r="D201" s="11">
        <f t="shared" ca="1" si="29"/>
        <v>0.20083502561377276</v>
      </c>
      <c r="E201" s="9">
        <f t="shared" ca="1" si="30"/>
        <v>358</v>
      </c>
      <c r="F201" s="9">
        <f t="shared" ca="1" si="34"/>
        <v>926</v>
      </c>
      <c r="G201" s="12" t="str">
        <f t="shared" ca="1" si="35"/>
        <v>Yes</v>
      </c>
      <c r="H201" s="12">
        <f t="shared" ca="1" si="31"/>
        <v>0.84118118526226326</v>
      </c>
      <c r="I201" s="10">
        <f t="shared" ca="1" si="36"/>
        <v>2</v>
      </c>
      <c r="J201" s="13">
        <f t="shared" ca="1" si="37"/>
        <v>300</v>
      </c>
      <c r="K201" s="14">
        <f t="shared" ca="1" si="38"/>
        <v>185.20000000000002</v>
      </c>
      <c r="L201" s="14">
        <f t="shared" ca="1" si="39"/>
        <v>0</v>
      </c>
      <c r="M201" s="15">
        <f t="shared" ca="1" si="40"/>
        <v>485.20000000000005</v>
      </c>
      <c r="N201" s="16">
        <f ca="1">SUM($M$9:M201)/A201</f>
        <v>337.59999999999991</v>
      </c>
    </row>
    <row r="202" spans="1:14" x14ac:dyDescent="0.25">
      <c r="A202" s="8">
        <v>194</v>
      </c>
      <c r="B202" s="9">
        <f t="shared" ca="1" si="32"/>
        <v>926</v>
      </c>
      <c r="C202" s="10">
        <f t="shared" ca="1" si="33"/>
        <v>0</v>
      </c>
      <c r="D202" s="11">
        <f t="shared" ref="D202:D265" ca="1" si="41">RAND()</f>
        <v>4.5512241295081579E-2</v>
      </c>
      <c r="E202" s="9">
        <f t="shared" ref="E202:E265" ca="1" si="42">INT(NORMINV(D202,D_Mean,D_StdDev))</f>
        <v>315</v>
      </c>
      <c r="F202" s="9">
        <f t="shared" ca="1" si="34"/>
        <v>611</v>
      </c>
      <c r="G202" s="12" t="str">
        <f t="shared" ca="1" si="35"/>
        <v>No</v>
      </c>
      <c r="H202" s="12">
        <f t="shared" ref="H202:H265" ca="1" si="43">IF(G202="Yes",RAND(),0)</f>
        <v>0</v>
      </c>
      <c r="I202" s="10">
        <f t="shared" ca="1" si="36"/>
        <v>1</v>
      </c>
      <c r="J202" s="13">
        <f t="shared" ca="1" si="37"/>
        <v>0</v>
      </c>
      <c r="K202" s="14">
        <f t="shared" ca="1" si="38"/>
        <v>122.2</v>
      </c>
      <c r="L202" s="14">
        <f t="shared" ca="1" si="39"/>
        <v>0</v>
      </c>
      <c r="M202" s="15">
        <f t="shared" ca="1" si="40"/>
        <v>122.2</v>
      </c>
      <c r="N202" s="16">
        <f ca="1">SUM($M$9:M202)/A202</f>
        <v>336.48969072164937</v>
      </c>
    </row>
    <row r="203" spans="1:14" x14ac:dyDescent="0.25">
      <c r="A203" s="8">
        <v>195</v>
      </c>
      <c r="B203" s="9">
        <f t="shared" ref="B203:B208" ca="1" si="44">IF(I202=1,F202+Quantity,F202)</f>
        <v>2411</v>
      </c>
      <c r="C203" s="10">
        <f t="shared" ref="C203:C208" ca="1" si="45">IF(I202=1,Quantity,0)</f>
        <v>1800</v>
      </c>
      <c r="D203" s="11">
        <f t="shared" ca="1" si="41"/>
        <v>0.6246393773998844</v>
      </c>
      <c r="E203" s="9">
        <f t="shared" ca="1" si="42"/>
        <v>415</v>
      </c>
      <c r="F203" s="9">
        <f t="shared" ref="F203:F266" ca="1" si="46">IF(B203+C203-E203&lt;0,0,B203-E203)</f>
        <v>1996</v>
      </c>
      <c r="G203" s="12" t="str">
        <f t="shared" ca="1" si="35"/>
        <v>No</v>
      </c>
      <c r="H203" s="12">
        <f t="shared" ca="1" si="43"/>
        <v>0</v>
      </c>
      <c r="I203" s="10">
        <f t="shared" ca="1" si="36"/>
        <v>0</v>
      </c>
      <c r="J203" s="13">
        <f t="shared" ca="1" si="37"/>
        <v>0</v>
      </c>
      <c r="K203" s="14">
        <f t="shared" ca="1" si="38"/>
        <v>399.20000000000005</v>
      </c>
      <c r="L203" s="14">
        <f t="shared" ca="1" si="39"/>
        <v>0</v>
      </c>
      <c r="M203" s="15">
        <f t="shared" ca="1" si="40"/>
        <v>399.20000000000005</v>
      </c>
      <c r="N203" s="16">
        <f ca="1">SUM($M$9:M203)/A203</f>
        <v>336.81128205128198</v>
      </c>
    </row>
    <row r="204" spans="1:14" x14ac:dyDescent="0.25">
      <c r="A204" s="8">
        <v>196</v>
      </c>
      <c r="B204" s="9">
        <f t="shared" ca="1" si="44"/>
        <v>1996</v>
      </c>
      <c r="C204" s="10">
        <f t="shared" ca="1" si="45"/>
        <v>0</v>
      </c>
      <c r="D204" s="11">
        <f t="shared" ca="1" si="41"/>
        <v>0.13157406022225626</v>
      </c>
      <c r="E204" s="9">
        <f t="shared" ca="1" si="42"/>
        <v>344</v>
      </c>
      <c r="F204" s="9">
        <f t="shared" ca="1" si="46"/>
        <v>1652</v>
      </c>
      <c r="G204" s="12" t="str">
        <f t="shared" ref="G204:G267" ca="1" si="47">IF(B204&lt;Point,IF(I203=0,"Yes","No"),"No")</f>
        <v>No</v>
      </c>
      <c r="H204" s="12">
        <f t="shared" ca="1" si="43"/>
        <v>0</v>
      </c>
      <c r="I204" s="10">
        <f t="shared" ca="1" si="36"/>
        <v>0</v>
      </c>
      <c r="J204" s="13">
        <f t="shared" ca="1" si="37"/>
        <v>0</v>
      </c>
      <c r="K204" s="14">
        <f t="shared" ca="1" si="38"/>
        <v>330.40000000000003</v>
      </c>
      <c r="L204" s="14">
        <f t="shared" ca="1" si="39"/>
        <v>0</v>
      </c>
      <c r="M204" s="15">
        <f t="shared" ca="1" si="40"/>
        <v>330.40000000000003</v>
      </c>
      <c r="N204" s="16">
        <f ca="1">SUM($M$9:M204)/A204</f>
        <v>336.7785714285713</v>
      </c>
    </row>
    <row r="205" spans="1:14" x14ac:dyDescent="0.25">
      <c r="A205" s="8">
        <v>197</v>
      </c>
      <c r="B205" s="9">
        <f t="shared" ca="1" si="44"/>
        <v>1652</v>
      </c>
      <c r="C205" s="10">
        <f t="shared" ca="1" si="45"/>
        <v>0</v>
      </c>
      <c r="D205" s="11">
        <f t="shared" ca="1" si="41"/>
        <v>9.2883429748476076E-2</v>
      </c>
      <c r="E205" s="9">
        <f t="shared" ca="1" si="42"/>
        <v>333</v>
      </c>
      <c r="F205" s="9">
        <f t="shared" ca="1" si="46"/>
        <v>1319</v>
      </c>
      <c r="G205" s="12" t="str">
        <f t="shared" ca="1" si="47"/>
        <v>No</v>
      </c>
      <c r="H205" s="12">
        <f t="shared" ca="1" si="43"/>
        <v>0</v>
      </c>
      <c r="I205" s="10">
        <f t="shared" ca="1" si="36"/>
        <v>0</v>
      </c>
      <c r="J205" s="13">
        <f t="shared" ca="1" si="37"/>
        <v>0</v>
      </c>
      <c r="K205" s="14">
        <f t="shared" ca="1" si="38"/>
        <v>263.8</v>
      </c>
      <c r="L205" s="14">
        <f t="shared" ca="1" si="39"/>
        <v>0</v>
      </c>
      <c r="M205" s="15">
        <f t="shared" ca="1" si="40"/>
        <v>263.8</v>
      </c>
      <c r="N205" s="16">
        <f ca="1">SUM($M$9:M205)/A205</f>
        <v>336.40812182741104</v>
      </c>
    </row>
    <row r="206" spans="1:14" x14ac:dyDescent="0.25">
      <c r="A206" s="8">
        <v>198</v>
      </c>
      <c r="B206" s="9">
        <f t="shared" ca="1" si="44"/>
        <v>1319</v>
      </c>
      <c r="C206" s="10">
        <f t="shared" ca="1" si="45"/>
        <v>0</v>
      </c>
      <c r="D206" s="11">
        <f t="shared" ca="1" si="41"/>
        <v>0.99406874200230266</v>
      </c>
      <c r="E206" s="9">
        <f t="shared" ca="1" si="42"/>
        <v>525</v>
      </c>
      <c r="F206" s="9">
        <f t="shared" ca="1" si="46"/>
        <v>794</v>
      </c>
      <c r="G206" s="12" t="str">
        <f t="shared" ca="1" si="47"/>
        <v>Yes</v>
      </c>
      <c r="H206" s="12">
        <f t="shared" ca="1" si="43"/>
        <v>8.0939360684563755E-2</v>
      </c>
      <c r="I206" s="10">
        <f t="shared" ca="1" si="36"/>
        <v>1</v>
      </c>
      <c r="J206" s="13">
        <f t="shared" ca="1" si="37"/>
        <v>300</v>
      </c>
      <c r="K206" s="14">
        <f t="shared" ca="1" si="38"/>
        <v>158.80000000000001</v>
      </c>
      <c r="L206" s="14">
        <f t="shared" ca="1" si="39"/>
        <v>0</v>
      </c>
      <c r="M206" s="15">
        <f t="shared" ca="1" si="40"/>
        <v>458.8</v>
      </c>
      <c r="N206" s="16">
        <f ca="1">SUM($M$9:M206)/A206</f>
        <v>337.02626262626256</v>
      </c>
    </row>
    <row r="207" spans="1:14" x14ac:dyDescent="0.25">
      <c r="A207" s="8">
        <v>199</v>
      </c>
      <c r="B207" s="9">
        <f t="shared" ca="1" si="44"/>
        <v>2594</v>
      </c>
      <c r="C207" s="10">
        <f t="shared" ca="1" si="45"/>
        <v>1800</v>
      </c>
      <c r="D207" s="11">
        <f t="shared" ca="1" si="41"/>
        <v>0.7586602194717017</v>
      </c>
      <c r="E207" s="9">
        <f t="shared" ca="1" si="42"/>
        <v>435</v>
      </c>
      <c r="F207" s="9">
        <f t="shared" ca="1" si="46"/>
        <v>2159</v>
      </c>
      <c r="G207" s="12" t="str">
        <f t="shared" ca="1" si="47"/>
        <v>No</v>
      </c>
      <c r="H207" s="12">
        <f t="shared" ca="1" si="43"/>
        <v>0</v>
      </c>
      <c r="I207" s="10">
        <f t="shared" ca="1" si="36"/>
        <v>0</v>
      </c>
      <c r="J207" s="13">
        <f t="shared" ca="1" si="37"/>
        <v>0</v>
      </c>
      <c r="K207" s="14">
        <f t="shared" ca="1" si="38"/>
        <v>431.8</v>
      </c>
      <c r="L207" s="14">
        <f t="shared" ca="1" si="39"/>
        <v>0</v>
      </c>
      <c r="M207" s="15">
        <f t="shared" ca="1" si="40"/>
        <v>431.8</v>
      </c>
      <c r="N207" s="16">
        <f ca="1">SUM($M$9:M207)/A207</f>
        <v>337.50251256281399</v>
      </c>
    </row>
    <row r="208" spans="1:14" x14ac:dyDescent="0.25">
      <c r="A208" s="8">
        <v>200</v>
      </c>
      <c r="B208" s="9">
        <f t="shared" ca="1" si="44"/>
        <v>2159</v>
      </c>
      <c r="C208" s="10">
        <f t="shared" ca="1" si="45"/>
        <v>0</v>
      </c>
      <c r="D208" s="11">
        <f t="shared" ca="1" si="41"/>
        <v>0.22746548527425914</v>
      </c>
      <c r="E208" s="9">
        <f t="shared" ca="1" si="42"/>
        <v>362</v>
      </c>
      <c r="F208" s="9">
        <f t="shared" ca="1" si="46"/>
        <v>1797</v>
      </c>
      <c r="G208" s="12" t="str">
        <f t="shared" ca="1" si="47"/>
        <v>No</v>
      </c>
      <c r="H208" s="12">
        <f t="shared" ca="1" si="43"/>
        <v>0</v>
      </c>
      <c r="I208" s="10">
        <f t="shared" ca="1" si="36"/>
        <v>0</v>
      </c>
      <c r="J208" s="13">
        <f t="shared" ca="1" si="37"/>
        <v>0</v>
      </c>
      <c r="K208" s="14">
        <f t="shared" ca="1" si="38"/>
        <v>359.40000000000003</v>
      </c>
      <c r="L208" s="14">
        <f t="shared" ca="1" si="39"/>
        <v>0</v>
      </c>
      <c r="M208" s="15">
        <f t="shared" ca="1" si="40"/>
        <v>359.40000000000003</v>
      </c>
      <c r="N208" s="16">
        <f ca="1">SUM($M$9:M208)/A208</f>
        <v>337.61199999999991</v>
      </c>
    </row>
    <row r="209" spans="1:14" x14ac:dyDescent="0.25">
      <c r="A209" s="8">
        <v>201</v>
      </c>
      <c r="B209" s="9">
        <f t="shared" ref="B209:B258" ca="1" si="48">IF(I208=1,F208+Quantity,F208)</f>
        <v>1797</v>
      </c>
      <c r="C209" s="10">
        <f t="shared" ref="C209:C258" ca="1" si="49">IF(I208=1,Quantity,0)</f>
        <v>0</v>
      </c>
      <c r="D209" s="11">
        <f t="shared" ca="1" si="41"/>
        <v>0.30415153531183148</v>
      </c>
      <c r="E209" s="9">
        <f t="shared" ca="1" si="42"/>
        <v>374</v>
      </c>
      <c r="F209" s="9">
        <f t="shared" ca="1" si="46"/>
        <v>1423</v>
      </c>
      <c r="G209" s="12" t="str">
        <f t="shared" ca="1" si="47"/>
        <v>No</v>
      </c>
      <c r="H209" s="12">
        <f t="shared" ca="1" si="43"/>
        <v>0</v>
      </c>
      <c r="I209" s="10">
        <f t="shared" ref="I209:I258" ca="1" si="50">IF(I208&gt;0,I208-1,(IF(G209="Yes",(VLOOKUP(H209,LTD,3)),0)))</f>
        <v>0</v>
      </c>
      <c r="J209" s="13">
        <f t="shared" ref="J209:J258" ca="1" si="51">IF(G209="Yes",Order_Cost,0)</f>
        <v>0</v>
      </c>
      <c r="K209" s="14">
        <f t="shared" ref="K209:K258" ca="1" si="52">F209*Holding_Cost</f>
        <v>284.60000000000002</v>
      </c>
      <c r="L209" s="14">
        <f t="shared" ref="L209:L258" ca="1" si="53">IF(B209+C209&lt;E209,Shortage_Cost*(E209-B209-C209),0)</f>
        <v>0</v>
      </c>
      <c r="M209" s="15">
        <f t="shared" ref="M209:M258" ca="1" si="54">SUM(J209:L209)</f>
        <v>284.60000000000002</v>
      </c>
      <c r="N209" s="16">
        <f ca="1">SUM($M$9:M209)/A209</f>
        <v>337.34825870646756</v>
      </c>
    </row>
    <row r="210" spans="1:14" x14ac:dyDescent="0.25">
      <c r="A210" s="8">
        <v>202</v>
      </c>
      <c r="B210" s="9">
        <f t="shared" ca="1" si="48"/>
        <v>1423</v>
      </c>
      <c r="C210" s="10">
        <f t="shared" ca="1" si="49"/>
        <v>0</v>
      </c>
      <c r="D210" s="11">
        <f t="shared" ca="1" si="41"/>
        <v>0.53208869408006298</v>
      </c>
      <c r="E210" s="9">
        <f t="shared" ca="1" si="42"/>
        <v>404</v>
      </c>
      <c r="F210" s="9">
        <f t="shared" ca="1" si="46"/>
        <v>1019</v>
      </c>
      <c r="G210" s="12" t="str">
        <f t="shared" ca="1" si="47"/>
        <v>No</v>
      </c>
      <c r="H210" s="12">
        <f t="shared" ca="1" si="43"/>
        <v>0</v>
      </c>
      <c r="I210" s="10">
        <f t="shared" ca="1" si="50"/>
        <v>0</v>
      </c>
      <c r="J210" s="13">
        <f t="shared" ca="1" si="51"/>
        <v>0</v>
      </c>
      <c r="K210" s="14">
        <f t="shared" ca="1" si="52"/>
        <v>203.8</v>
      </c>
      <c r="L210" s="14">
        <f t="shared" ca="1" si="53"/>
        <v>0</v>
      </c>
      <c r="M210" s="15">
        <f t="shared" ca="1" si="54"/>
        <v>203.8</v>
      </c>
      <c r="N210" s="16">
        <f ca="1">SUM($M$9:M210)/A210</f>
        <v>336.68712871287124</v>
      </c>
    </row>
    <row r="211" spans="1:14" x14ac:dyDescent="0.25">
      <c r="A211" s="8">
        <v>203</v>
      </c>
      <c r="B211" s="9">
        <f t="shared" ca="1" si="48"/>
        <v>1019</v>
      </c>
      <c r="C211" s="10">
        <f t="shared" ca="1" si="49"/>
        <v>0</v>
      </c>
      <c r="D211" s="11">
        <f t="shared" ca="1" si="41"/>
        <v>0.2375903808268981</v>
      </c>
      <c r="E211" s="9">
        <f t="shared" ca="1" si="42"/>
        <v>364</v>
      </c>
      <c r="F211" s="9">
        <f t="shared" ca="1" si="46"/>
        <v>655</v>
      </c>
      <c r="G211" s="12" t="str">
        <f t="shared" ca="1" si="47"/>
        <v>Yes</v>
      </c>
      <c r="H211" s="12">
        <f t="shared" ca="1" si="43"/>
        <v>0.93914139268518881</v>
      </c>
      <c r="I211" s="10">
        <f t="shared" ca="1" si="50"/>
        <v>3</v>
      </c>
      <c r="J211" s="13">
        <f t="shared" ca="1" si="51"/>
        <v>300</v>
      </c>
      <c r="K211" s="14">
        <f t="shared" ca="1" si="52"/>
        <v>131</v>
      </c>
      <c r="L211" s="14">
        <f t="shared" ca="1" si="53"/>
        <v>0</v>
      </c>
      <c r="M211" s="15">
        <f t="shared" ca="1" si="54"/>
        <v>431</v>
      </c>
      <c r="N211" s="16">
        <f ca="1">SUM($M$9:M211)/A211</f>
        <v>337.15172413793096</v>
      </c>
    </row>
    <row r="212" spans="1:14" x14ac:dyDescent="0.25">
      <c r="A212" s="8">
        <v>204</v>
      </c>
      <c r="B212" s="9">
        <f t="shared" ca="1" si="48"/>
        <v>655</v>
      </c>
      <c r="C212" s="10">
        <f t="shared" ca="1" si="49"/>
        <v>0</v>
      </c>
      <c r="D212" s="11">
        <f t="shared" ca="1" si="41"/>
        <v>0.84831507638187753</v>
      </c>
      <c r="E212" s="9">
        <f t="shared" ca="1" si="42"/>
        <v>451</v>
      </c>
      <c r="F212" s="9">
        <f t="shared" ca="1" si="46"/>
        <v>204</v>
      </c>
      <c r="G212" s="12" t="str">
        <f t="shared" ca="1" si="47"/>
        <v>No</v>
      </c>
      <c r="H212" s="12">
        <f t="shared" ca="1" si="43"/>
        <v>0</v>
      </c>
      <c r="I212" s="10">
        <f t="shared" ca="1" si="50"/>
        <v>2</v>
      </c>
      <c r="J212" s="13">
        <f t="shared" ca="1" si="51"/>
        <v>0</v>
      </c>
      <c r="K212" s="14">
        <f t="shared" ca="1" si="52"/>
        <v>40.800000000000004</v>
      </c>
      <c r="L212" s="14">
        <f t="shared" ca="1" si="53"/>
        <v>0</v>
      </c>
      <c r="M212" s="15">
        <f t="shared" ca="1" si="54"/>
        <v>40.800000000000004</v>
      </c>
      <c r="N212" s="16">
        <f ca="1">SUM($M$9:M212)/A212</f>
        <v>335.69901960784307</v>
      </c>
    </row>
    <row r="213" spans="1:14" x14ac:dyDescent="0.25">
      <c r="A213" s="8">
        <v>205</v>
      </c>
      <c r="B213" s="9">
        <f t="shared" ca="1" si="48"/>
        <v>204</v>
      </c>
      <c r="C213" s="10">
        <f t="shared" ca="1" si="49"/>
        <v>0</v>
      </c>
      <c r="D213" s="11">
        <f t="shared" ca="1" si="41"/>
        <v>9.7152704431945458E-2</v>
      </c>
      <c r="E213" s="9">
        <f t="shared" ca="1" si="42"/>
        <v>335</v>
      </c>
      <c r="F213" s="9">
        <f t="shared" ca="1" si="46"/>
        <v>0</v>
      </c>
      <c r="G213" s="12" t="str">
        <f t="shared" ca="1" si="47"/>
        <v>No</v>
      </c>
      <c r="H213" s="12">
        <f t="shared" ca="1" si="43"/>
        <v>0</v>
      </c>
      <c r="I213" s="10">
        <f t="shared" ca="1" si="50"/>
        <v>1</v>
      </c>
      <c r="J213" s="13">
        <f t="shared" ca="1" si="51"/>
        <v>0</v>
      </c>
      <c r="K213" s="14">
        <f t="shared" ca="1" si="52"/>
        <v>0</v>
      </c>
      <c r="L213" s="14">
        <f t="shared" ca="1" si="53"/>
        <v>262</v>
      </c>
      <c r="M213" s="15">
        <f t="shared" ca="1" si="54"/>
        <v>262</v>
      </c>
      <c r="N213" s="16">
        <f ca="1">SUM($M$9:M213)/A213</f>
        <v>335.33951219512193</v>
      </c>
    </row>
    <row r="214" spans="1:14" x14ac:dyDescent="0.25">
      <c r="A214" s="8">
        <v>206</v>
      </c>
      <c r="B214" s="9">
        <f t="shared" ca="1" si="48"/>
        <v>1800</v>
      </c>
      <c r="C214" s="10">
        <f t="shared" ca="1" si="49"/>
        <v>1800</v>
      </c>
      <c r="D214" s="11">
        <f t="shared" ca="1" si="41"/>
        <v>0.96236406210494907</v>
      </c>
      <c r="E214" s="9">
        <f t="shared" ca="1" si="42"/>
        <v>488</v>
      </c>
      <c r="F214" s="9">
        <f t="shared" ca="1" si="46"/>
        <v>1312</v>
      </c>
      <c r="G214" s="12" t="str">
        <f t="shared" ca="1" si="47"/>
        <v>No</v>
      </c>
      <c r="H214" s="12">
        <f t="shared" ca="1" si="43"/>
        <v>0</v>
      </c>
      <c r="I214" s="10">
        <f t="shared" ca="1" si="50"/>
        <v>0</v>
      </c>
      <c r="J214" s="13">
        <f t="shared" ca="1" si="51"/>
        <v>0</v>
      </c>
      <c r="K214" s="14">
        <f t="shared" ca="1" si="52"/>
        <v>262.40000000000003</v>
      </c>
      <c r="L214" s="14">
        <f t="shared" ca="1" si="53"/>
        <v>0</v>
      </c>
      <c r="M214" s="15">
        <f t="shared" ca="1" si="54"/>
        <v>262.40000000000003</v>
      </c>
      <c r="N214" s="16">
        <f ca="1">SUM($M$9:M214)/A214</f>
        <v>334.98543689320383</v>
      </c>
    </row>
    <row r="215" spans="1:14" x14ac:dyDescent="0.25">
      <c r="A215" s="8">
        <v>207</v>
      </c>
      <c r="B215" s="9">
        <f t="shared" ca="1" si="48"/>
        <v>1312</v>
      </c>
      <c r="C215" s="10">
        <f t="shared" ca="1" si="49"/>
        <v>0</v>
      </c>
      <c r="D215" s="11">
        <f t="shared" ca="1" si="41"/>
        <v>0.40251963417512604</v>
      </c>
      <c r="E215" s="9">
        <f t="shared" ca="1" si="42"/>
        <v>387</v>
      </c>
      <c r="F215" s="9">
        <f t="shared" ca="1" si="46"/>
        <v>925</v>
      </c>
      <c r="G215" s="12" t="str">
        <f t="shared" ca="1" si="47"/>
        <v>Yes</v>
      </c>
      <c r="H215" s="12">
        <f t="shared" ca="1" si="43"/>
        <v>0.46527197819786359</v>
      </c>
      <c r="I215" s="10">
        <f t="shared" ca="1" si="50"/>
        <v>1</v>
      </c>
      <c r="J215" s="13">
        <f t="shared" ca="1" si="51"/>
        <v>300</v>
      </c>
      <c r="K215" s="14">
        <f t="shared" ca="1" si="52"/>
        <v>185</v>
      </c>
      <c r="L215" s="14">
        <f t="shared" ca="1" si="53"/>
        <v>0</v>
      </c>
      <c r="M215" s="15">
        <f t="shared" ca="1" si="54"/>
        <v>485</v>
      </c>
      <c r="N215" s="16">
        <f ca="1">SUM($M$9:M215)/A215</f>
        <v>335.71014492753613</v>
      </c>
    </row>
    <row r="216" spans="1:14" x14ac:dyDescent="0.25">
      <c r="A216" s="8">
        <v>208</v>
      </c>
      <c r="B216" s="9">
        <f t="shared" ca="1" si="48"/>
        <v>2725</v>
      </c>
      <c r="C216" s="10">
        <f t="shared" ca="1" si="49"/>
        <v>1800</v>
      </c>
      <c r="D216" s="11">
        <f t="shared" ca="1" si="41"/>
        <v>0.21445335175750202</v>
      </c>
      <c r="E216" s="9">
        <f t="shared" ca="1" si="42"/>
        <v>360</v>
      </c>
      <c r="F216" s="9">
        <f t="shared" ca="1" si="46"/>
        <v>2365</v>
      </c>
      <c r="G216" s="12" t="str">
        <f t="shared" ca="1" si="47"/>
        <v>No</v>
      </c>
      <c r="H216" s="12">
        <f t="shared" ca="1" si="43"/>
        <v>0</v>
      </c>
      <c r="I216" s="10">
        <f t="shared" ca="1" si="50"/>
        <v>0</v>
      </c>
      <c r="J216" s="13">
        <f t="shared" ca="1" si="51"/>
        <v>0</v>
      </c>
      <c r="K216" s="14">
        <f t="shared" ca="1" si="52"/>
        <v>473</v>
      </c>
      <c r="L216" s="14">
        <f t="shared" ca="1" si="53"/>
        <v>0</v>
      </c>
      <c r="M216" s="15">
        <f t="shared" ca="1" si="54"/>
        <v>473</v>
      </c>
      <c r="N216" s="16">
        <f ca="1">SUM($M$9:M216)/A216</f>
        <v>336.37019230769226</v>
      </c>
    </row>
    <row r="217" spans="1:14" x14ac:dyDescent="0.25">
      <c r="A217" s="8">
        <v>209</v>
      </c>
      <c r="B217" s="9">
        <f t="shared" ca="1" si="48"/>
        <v>2365</v>
      </c>
      <c r="C217" s="10">
        <f t="shared" ca="1" si="49"/>
        <v>0</v>
      </c>
      <c r="D217" s="11">
        <f t="shared" ca="1" si="41"/>
        <v>0.92424973426955326</v>
      </c>
      <c r="E217" s="9">
        <f t="shared" ca="1" si="42"/>
        <v>471</v>
      </c>
      <c r="F217" s="9">
        <f t="shared" ca="1" si="46"/>
        <v>1894</v>
      </c>
      <c r="G217" s="12" t="str">
        <f t="shared" ca="1" si="47"/>
        <v>No</v>
      </c>
      <c r="H217" s="12">
        <f t="shared" ca="1" si="43"/>
        <v>0</v>
      </c>
      <c r="I217" s="10">
        <f t="shared" ca="1" si="50"/>
        <v>0</v>
      </c>
      <c r="J217" s="13">
        <f t="shared" ca="1" si="51"/>
        <v>0</v>
      </c>
      <c r="K217" s="14">
        <f t="shared" ca="1" si="52"/>
        <v>378.8</v>
      </c>
      <c r="L217" s="14">
        <f t="shared" ca="1" si="53"/>
        <v>0</v>
      </c>
      <c r="M217" s="15">
        <f t="shared" ca="1" si="54"/>
        <v>378.8</v>
      </c>
      <c r="N217" s="16">
        <f ca="1">SUM($M$9:M217)/A217</f>
        <v>336.57320574162674</v>
      </c>
    </row>
    <row r="218" spans="1:14" x14ac:dyDescent="0.25">
      <c r="A218" s="8">
        <v>210</v>
      </c>
      <c r="B218" s="9">
        <f t="shared" ca="1" si="48"/>
        <v>1894</v>
      </c>
      <c r="C218" s="10">
        <f t="shared" ca="1" si="49"/>
        <v>0</v>
      </c>
      <c r="D218" s="11">
        <f t="shared" ca="1" si="41"/>
        <v>0.76893759919643268</v>
      </c>
      <c r="E218" s="9">
        <f t="shared" ca="1" si="42"/>
        <v>436</v>
      </c>
      <c r="F218" s="9">
        <f t="shared" ca="1" si="46"/>
        <v>1458</v>
      </c>
      <c r="G218" s="12" t="str">
        <f t="shared" ca="1" si="47"/>
        <v>No</v>
      </c>
      <c r="H218" s="12">
        <f t="shared" ca="1" si="43"/>
        <v>0</v>
      </c>
      <c r="I218" s="10">
        <f t="shared" ca="1" si="50"/>
        <v>0</v>
      </c>
      <c r="J218" s="13">
        <f t="shared" ca="1" si="51"/>
        <v>0</v>
      </c>
      <c r="K218" s="14">
        <f t="shared" ca="1" si="52"/>
        <v>291.60000000000002</v>
      </c>
      <c r="L218" s="14">
        <f t="shared" ca="1" si="53"/>
        <v>0</v>
      </c>
      <c r="M218" s="15">
        <f t="shared" ca="1" si="54"/>
        <v>291.60000000000002</v>
      </c>
      <c r="N218" s="16">
        <f ca="1">SUM($M$9:M218)/A218</f>
        <v>336.3590476190476</v>
      </c>
    </row>
    <row r="219" spans="1:14" x14ac:dyDescent="0.25">
      <c r="A219" s="8">
        <v>211</v>
      </c>
      <c r="B219" s="9">
        <f t="shared" ca="1" si="48"/>
        <v>1458</v>
      </c>
      <c r="C219" s="10">
        <f t="shared" ca="1" si="49"/>
        <v>0</v>
      </c>
      <c r="D219" s="11">
        <f t="shared" ca="1" si="41"/>
        <v>0.6694208229031674</v>
      </c>
      <c r="E219" s="9">
        <f t="shared" ca="1" si="42"/>
        <v>421</v>
      </c>
      <c r="F219" s="9">
        <f t="shared" ca="1" si="46"/>
        <v>1037</v>
      </c>
      <c r="G219" s="12" t="str">
        <f t="shared" ca="1" si="47"/>
        <v>No</v>
      </c>
      <c r="H219" s="12">
        <f t="shared" ca="1" si="43"/>
        <v>0</v>
      </c>
      <c r="I219" s="10">
        <f t="shared" ca="1" si="50"/>
        <v>0</v>
      </c>
      <c r="J219" s="13">
        <f t="shared" ca="1" si="51"/>
        <v>0</v>
      </c>
      <c r="K219" s="14">
        <f t="shared" ca="1" si="52"/>
        <v>207.4</v>
      </c>
      <c r="L219" s="14">
        <f t="shared" ca="1" si="53"/>
        <v>0</v>
      </c>
      <c r="M219" s="15">
        <f t="shared" ca="1" si="54"/>
        <v>207.4</v>
      </c>
      <c r="N219" s="16">
        <f ca="1">SUM($M$9:M219)/A219</f>
        <v>335.74786729857817</v>
      </c>
    </row>
    <row r="220" spans="1:14" x14ac:dyDescent="0.25">
      <c r="A220" s="8">
        <v>212</v>
      </c>
      <c r="B220" s="9">
        <f t="shared" ca="1" si="48"/>
        <v>1037</v>
      </c>
      <c r="C220" s="10">
        <f t="shared" ca="1" si="49"/>
        <v>0</v>
      </c>
      <c r="D220" s="11">
        <f t="shared" ca="1" si="41"/>
        <v>0.29079445575767937</v>
      </c>
      <c r="E220" s="9">
        <f t="shared" ca="1" si="42"/>
        <v>372</v>
      </c>
      <c r="F220" s="9">
        <f t="shared" ca="1" si="46"/>
        <v>665</v>
      </c>
      <c r="G220" s="12" t="str">
        <f t="shared" ca="1" si="47"/>
        <v>Yes</v>
      </c>
      <c r="H220" s="12">
        <f t="shared" ca="1" si="43"/>
        <v>0.11750437417933302</v>
      </c>
      <c r="I220" s="10">
        <f t="shared" ca="1" si="50"/>
        <v>1</v>
      </c>
      <c r="J220" s="13">
        <f t="shared" ca="1" si="51"/>
        <v>300</v>
      </c>
      <c r="K220" s="14">
        <f t="shared" ca="1" si="52"/>
        <v>133</v>
      </c>
      <c r="L220" s="14">
        <f t="shared" ca="1" si="53"/>
        <v>0</v>
      </c>
      <c r="M220" s="15">
        <f t="shared" ca="1" si="54"/>
        <v>433</v>
      </c>
      <c r="N220" s="16">
        <f ca="1">SUM($M$9:M220)/A220</f>
        <v>336.20660377358485</v>
      </c>
    </row>
    <row r="221" spans="1:14" x14ac:dyDescent="0.25">
      <c r="A221" s="8">
        <v>213</v>
      </c>
      <c r="B221" s="9">
        <f t="shared" ca="1" si="48"/>
        <v>2465</v>
      </c>
      <c r="C221" s="10">
        <f t="shared" ca="1" si="49"/>
        <v>1800</v>
      </c>
      <c r="D221" s="11">
        <f t="shared" ca="1" si="41"/>
        <v>0.15106508470197677</v>
      </c>
      <c r="E221" s="9">
        <f t="shared" ca="1" si="42"/>
        <v>348</v>
      </c>
      <c r="F221" s="9">
        <f t="shared" ca="1" si="46"/>
        <v>2117</v>
      </c>
      <c r="G221" s="12" t="str">
        <f t="shared" ca="1" si="47"/>
        <v>No</v>
      </c>
      <c r="H221" s="12">
        <f t="shared" ca="1" si="43"/>
        <v>0</v>
      </c>
      <c r="I221" s="10">
        <f t="shared" ca="1" si="50"/>
        <v>0</v>
      </c>
      <c r="J221" s="13">
        <f t="shared" ca="1" si="51"/>
        <v>0</v>
      </c>
      <c r="K221" s="14">
        <f t="shared" ca="1" si="52"/>
        <v>423.40000000000003</v>
      </c>
      <c r="L221" s="14">
        <f t="shared" ca="1" si="53"/>
        <v>0</v>
      </c>
      <c r="M221" s="15">
        <f t="shared" ca="1" si="54"/>
        <v>423.40000000000003</v>
      </c>
      <c r="N221" s="16">
        <f ca="1">SUM($M$9:M221)/A221</f>
        <v>336.61596244131448</v>
      </c>
    </row>
    <row r="222" spans="1:14" x14ac:dyDescent="0.25">
      <c r="A222" s="8">
        <v>214</v>
      </c>
      <c r="B222" s="9">
        <f t="shared" ca="1" si="48"/>
        <v>2117</v>
      </c>
      <c r="C222" s="10">
        <f t="shared" ca="1" si="49"/>
        <v>0</v>
      </c>
      <c r="D222" s="11">
        <f t="shared" ca="1" si="41"/>
        <v>0.44836971982902718</v>
      </c>
      <c r="E222" s="9">
        <f t="shared" ca="1" si="42"/>
        <v>393</v>
      </c>
      <c r="F222" s="9">
        <f t="shared" ca="1" si="46"/>
        <v>1724</v>
      </c>
      <c r="G222" s="12" t="str">
        <f t="shared" ca="1" si="47"/>
        <v>No</v>
      </c>
      <c r="H222" s="12">
        <f t="shared" ca="1" si="43"/>
        <v>0</v>
      </c>
      <c r="I222" s="10">
        <f t="shared" ca="1" si="50"/>
        <v>0</v>
      </c>
      <c r="J222" s="13">
        <f t="shared" ca="1" si="51"/>
        <v>0</v>
      </c>
      <c r="K222" s="14">
        <f t="shared" ca="1" si="52"/>
        <v>344.8</v>
      </c>
      <c r="L222" s="14">
        <f t="shared" ca="1" si="53"/>
        <v>0</v>
      </c>
      <c r="M222" s="15">
        <f t="shared" ca="1" si="54"/>
        <v>344.8</v>
      </c>
      <c r="N222" s="16">
        <f ca="1">SUM($M$9:M222)/A222</f>
        <v>336.65420560747657</v>
      </c>
    </row>
    <row r="223" spans="1:14" x14ac:dyDescent="0.25">
      <c r="A223" s="8">
        <v>215</v>
      </c>
      <c r="B223" s="9">
        <f t="shared" ca="1" si="48"/>
        <v>1724</v>
      </c>
      <c r="C223" s="10">
        <f t="shared" ca="1" si="49"/>
        <v>0</v>
      </c>
      <c r="D223" s="11">
        <f t="shared" ca="1" si="41"/>
        <v>0.67540271487346992</v>
      </c>
      <c r="E223" s="9">
        <f t="shared" ca="1" si="42"/>
        <v>422</v>
      </c>
      <c r="F223" s="9">
        <f t="shared" ca="1" si="46"/>
        <v>1302</v>
      </c>
      <c r="G223" s="12" t="str">
        <f t="shared" ca="1" si="47"/>
        <v>No</v>
      </c>
      <c r="H223" s="12">
        <f t="shared" ca="1" si="43"/>
        <v>0</v>
      </c>
      <c r="I223" s="10">
        <f t="shared" ca="1" si="50"/>
        <v>0</v>
      </c>
      <c r="J223" s="13">
        <f t="shared" ca="1" si="51"/>
        <v>0</v>
      </c>
      <c r="K223" s="14">
        <f t="shared" ca="1" si="52"/>
        <v>260.40000000000003</v>
      </c>
      <c r="L223" s="14">
        <f t="shared" ca="1" si="53"/>
        <v>0</v>
      </c>
      <c r="M223" s="15">
        <f t="shared" ca="1" si="54"/>
        <v>260.40000000000003</v>
      </c>
      <c r="N223" s="16">
        <f ca="1">SUM($M$9:M223)/A223</f>
        <v>336.29953488372081</v>
      </c>
    </row>
    <row r="224" spans="1:14" x14ac:dyDescent="0.25">
      <c r="A224" s="8">
        <v>216</v>
      </c>
      <c r="B224" s="9">
        <f t="shared" ca="1" si="48"/>
        <v>1302</v>
      </c>
      <c r="C224" s="10">
        <f t="shared" ca="1" si="49"/>
        <v>0</v>
      </c>
      <c r="D224" s="11">
        <f t="shared" ca="1" si="41"/>
        <v>0.84510319919911547</v>
      </c>
      <c r="E224" s="9">
        <f t="shared" ca="1" si="42"/>
        <v>450</v>
      </c>
      <c r="F224" s="9">
        <f t="shared" ca="1" si="46"/>
        <v>852</v>
      </c>
      <c r="G224" s="12" t="str">
        <f t="shared" ca="1" si="47"/>
        <v>Yes</v>
      </c>
      <c r="H224" s="12">
        <f t="shared" ca="1" si="43"/>
        <v>0.82455665395208833</v>
      </c>
      <c r="I224" s="10">
        <f t="shared" ca="1" si="50"/>
        <v>2</v>
      </c>
      <c r="J224" s="13">
        <f t="shared" ca="1" si="51"/>
        <v>300</v>
      </c>
      <c r="K224" s="14">
        <f t="shared" ca="1" si="52"/>
        <v>170.4</v>
      </c>
      <c r="L224" s="14">
        <f t="shared" ca="1" si="53"/>
        <v>0</v>
      </c>
      <c r="M224" s="15">
        <f t="shared" ca="1" si="54"/>
        <v>470.4</v>
      </c>
      <c r="N224" s="16">
        <f ca="1">SUM($M$9:M224)/A224</f>
        <v>336.92037037037022</v>
      </c>
    </row>
    <row r="225" spans="1:14" x14ac:dyDescent="0.25">
      <c r="A225" s="8">
        <v>217</v>
      </c>
      <c r="B225" s="9">
        <f t="shared" ca="1" si="48"/>
        <v>852</v>
      </c>
      <c r="C225" s="10">
        <f t="shared" ca="1" si="49"/>
        <v>0</v>
      </c>
      <c r="D225" s="11">
        <f t="shared" ca="1" si="41"/>
        <v>0.20286896107240127</v>
      </c>
      <c r="E225" s="9">
        <f t="shared" ca="1" si="42"/>
        <v>358</v>
      </c>
      <c r="F225" s="9">
        <f t="shared" ca="1" si="46"/>
        <v>494</v>
      </c>
      <c r="G225" s="12" t="str">
        <f t="shared" ca="1" si="47"/>
        <v>No</v>
      </c>
      <c r="H225" s="12">
        <f t="shared" ca="1" si="43"/>
        <v>0</v>
      </c>
      <c r="I225" s="10">
        <f t="shared" ca="1" si="50"/>
        <v>1</v>
      </c>
      <c r="J225" s="13">
        <f t="shared" ca="1" si="51"/>
        <v>0</v>
      </c>
      <c r="K225" s="14">
        <f t="shared" ca="1" si="52"/>
        <v>98.800000000000011</v>
      </c>
      <c r="L225" s="14">
        <f t="shared" ca="1" si="53"/>
        <v>0</v>
      </c>
      <c r="M225" s="15">
        <f t="shared" ca="1" si="54"/>
        <v>98.800000000000011</v>
      </c>
      <c r="N225" s="16">
        <f ca="1">SUM($M$9:M225)/A225</f>
        <v>335.82304147465425</v>
      </c>
    </row>
    <row r="226" spans="1:14" x14ac:dyDescent="0.25">
      <c r="A226" s="8">
        <v>218</v>
      </c>
      <c r="B226" s="9">
        <f t="shared" ca="1" si="48"/>
        <v>2294</v>
      </c>
      <c r="C226" s="10">
        <f t="shared" ca="1" si="49"/>
        <v>1800</v>
      </c>
      <c r="D226" s="11">
        <f t="shared" ca="1" si="41"/>
        <v>0.15309039524456813</v>
      </c>
      <c r="E226" s="9">
        <f t="shared" ca="1" si="42"/>
        <v>348</v>
      </c>
      <c r="F226" s="9">
        <f t="shared" ca="1" si="46"/>
        <v>1946</v>
      </c>
      <c r="G226" s="12" t="str">
        <f t="shared" ca="1" si="47"/>
        <v>No</v>
      </c>
      <c r="H226" s="12">
        <f t="shared" ca="1" si="43"/>
        <v>0</v>
      </c>
      <c r="I226" s="10">
        <f t="shared" ca="1" si="50"/>
        <v>0</v>
      </c>
      <c r="J226" s="13">
        <f t="shared" ca="1" si="51"/>
        <v>0</v>
      </c>
      <c r="K226" s="14">
        <f t="shared" ca="1" si="52"/>
        <v>389.20000000000005</v>
      </c>
      <c r="L226" s="14">
        <f t="shared" ca="1" si="53"/>
        <v>0</v>
      </c>
      <c r="M226" s="15">
        <f t="shared" ca="1" si="54"/>
        <v>389.20000000000005</v>
      </c>
      <c r="N226" s="16">
        <f ca="1">SUM($M$9:M226)/A226</f>
        <v>336.06788990825675</v>
      </c>
    </row>
    <row r="227" spans="1:14" x14ac:dyDescent="0.25">
      <c r="A227" s="8">
        <v>219</v>
      </c>
      <c r="B227" s="9">
        <f t="shared" ca="1" si="48"/>
        <v>1946</v>
      </c>
      <c r="C227" s="10">
        <f t="shared" ca="1" si="49"/>
        <v>0</v>
      </c>
      <c r="D227" s="11">
        <f t="shared" ca="1" si="41"/>
        <v>0.92253059963537087</v>
      </c>
      <c r="E227" s="9">
        <f t="shared" ca="1" si="42"/>
        <v>471</v>
      </c>
      <c r="F227" s="9">
        <f t="shared" ca="1" si="46"/>
        <v>1475</v>
      </c>
      <c r="G227" s="12" t="str">
        <f t="shared" ca="1" si="47"/>
        <v>No</v>
      </c>
      <c r="H227" s="12">
        <f t="shared" ca="1" si="43"/>
        <v>0</v>
      </c>
      <c r="I227" s="10">
        <f t="shared" ca="1" si="50"/>
        <v>0</v>
      </c>
      <c r="J227" s="13">
        <f t="shared" ca="1" si="51"/>
        <v>0</v>
      </c>
      <c r="K227" s="14">
        <f t="shared" ca="1" si="52"/>
        <v>295</v>
      </c>
      <c r="L227" s="14">
        <f t="shared" ca="1" si="53"/>
        <v>0</v>
      </c>
      <c r="M227" s="15">
        <f t="shared" ca="1" si="54"/>
        <v>295</v>
      </c>
      <c r="N227" s="16">
        <f ca="1">SUM($M$9:M227)/A227</f>
        <v>335.88036529680352</v>
      </c>
    </row>
    <row r="228" spans="1:14" x14ac:dyDescent="0.25">
      <c r="A228" s="8">
        <v>220</v>
      </c>
      <c r="B228" s="9">
        <f t="shared" ca="1" si="48"/>
        <v>1475</v>
      </c>
      <c r="C228" s="10">
        <f t="shared" ca="1" si="49"/>
        <v>0</v>
      </c>
      <c r="D228" s="11">
        <f t="shared" ca="1" si="41"/>
        <v>0.19231317144490134</v>
      </c>
      <c r="E228" s="9">
        <f t="shared" ca="1" si="42"/>
        <v>356</v>
      </c>
      <c r="F228" s="9">
        <f t="shared" ca="1" si="46"/>
        <v>1119</v>
      </c>
      <c r="G228" s="12" t="str">
        <f t="shared" ca="1" si="47"/>
        <v>No</v>
      </c>
      <c r="H228" s="12">
        <f t="shared" ca="1" si="43"/>
        <v>0</v>
      </c>
      <c r="I228" s="10">
        <f t="shared" ca="1" si="50"/>
        <v>0</v>
      </c>
      <c r="J228" s="13">
        <f t="shared" ca="1" si="51"/>
        <v>0</v>
      </c>
      <c r="K228" s="14">
        <f t="shared" ca="1" si="52"/>
        <v>223.8</v>
      </c>
      <c r="L228" s="14">
        <f t="shared" ca="1" si="53"/>
        <v>0</v>
      </c>
      <c r="M228" s="15">
        <f t="shared" ca="1" si="54"/>
        <v>223.8</v>
      </c>
      <c r="N228" s="16">
        <f ca="1">SUM($M$9:M228)/A228</f>
        <v>335.37090909090898</v>
      </c>
    </row>
    <row r="229" spans="1:14" x14ac:dyDescent="0.25">
      <c r="A229" s="8">
        <v>221</v>
      </c>
      <c r="B229" s="9">
        <f t="shared" ca="1" si="48"/>
        <v>1119</v>
      </c>
      <c r="C229" s="10">
        <f t="shared" ca="1" si="49"/>
        <v>0</v>
      </c>
      <c r="D229" s="11">
        <f t="shared" ca="1" si="41"/>
        <v>0.76724229360817897</v>
      </c>
      <c r="E229" s="9">
        <f t="shared" ca="1" si="42"/>
        <v>436</v>
      </c>
      <c r="F229" s="9">
        <f t="shared" ca="1" si="46"/>
        <v>683</v>
      </c>
      <c r="G229" s="12" t="str">
        <f t="shared" ca="1" si="47"/>
        <v>Yes</v>
      </c>
      <c r="H229" s="12">
        <f t="shared" ca="1" si="43"/>
        <v>0.3098707222843865</v>
      </c>
      <c r="I229" s="10">
        <f t="shared" ca="1" si="50"/>
        <v>1</v>
      </c>
      <c r="J229" s="13">
        <f t="shared" ca="1" si="51"/>
        <v>300</v>
      </c>
      <c r="K229" s="14">
        <f t="shared" ca="1" si="52"/>
        <v>136.6</v>
      </c>
      <c r="L229" s="14">
        <f t="shared" ca="1" si="53"/>
        <v>0</v>
      </c>
      <c r="M229" s="15">
        <f t="shared" ca="1" si="54"/>
        <v>436.6</v>
      </c>
      <c r="N229" s="16">
        <f ca="1">SUM($M$9:M229)/A229</f>
        <v>335.828959276018</v>
      </c>
    </row>
    <row r="230" spans="1:14" x14ac:dyDescent="0.25">
      <c r="A230" s="8">
        <v>222</v>
      </c>
      <c r="B230" s="9">
        <f t="shared" ca="1" si="48"/>
        <v>2483</v>
      </c>
      <c r="C230" s="10">
        <f t="shared" ca="1" si="49"/>
        <v>1800</v>
      </c>
      <c r="D230" s="11">
        <f t="shared" ca="1" si="41"/>
        <v>7.4088697797962899E-2</v>
      </c>
      <c r="E230" s="9">
        <f t="shared" ca="1" si="42"/>
        <v>327</v>
      </c>
      <c r="F230" s="9">
        <f t="shared" ca="1" si="46"/>
        <v>2156</v>
      </c>
      <c r="G230" s="12" t="str">
        <f t="shared" ca="1" si="47"/>
        <v>No</v>
      </c>
      <c r="H230" s="12">
        <f t="shared" ca="1" si="43"/>
        <v>0</v>
      </c>
      <c r="I230" s="10">
        <f t="shared" ca="1" si="50"/>
        <v>0</v>
      </c>
      <c r="J230" s="13">
        <f t="shared" ca="1" si="51"/>
        <v>0</v>
      </c>
      <c r="K230" s="14">
        <f t="shared" ca="1" si="52"/>
        <v>431.20000000000005</v>
      </c>
      <c r="L230" s="14">
        <f t="shared" ca="1" si="53"/>
        <v>0</v>
      </c>
      <c r="M230" s="15">
        <f t="shared" ca="1" si="54"/>
        <v>431.20000000000005</v>
      </c>
      <c r="N230" s="16">
        <f ca="1">SUM($M$9:M230)/A230</f>
        <v>336.25855855855849</v>
      </c>
    </row>
    <row r="231" spans="1:14" x14ac:dyDescent="0.25">
      <c r="A231" s="8">
        <v>223</v>
      </c>
      <c r="B231" s="9">
        <f t="shared" ca="1" si="48"/>
        <v>2156</v>
      </c>
      <c r="C231" s="10">
        <f t="shared" ca="1" si="49"/>
        <v>0</v>
      </c>
      <c r="D231" s="11">
        <f t="shared" ca="1" si="41"/>
        <v>0.32732804878113086</v>
      </c>
      <c r="E231" s="9">
        <f t="shared" ca="1" si="42"/>
        <v>377</v>
      </c>
      <c r="F231" s="9">
        <f t="shared" ca="1" si="46"/>
        <v>1779</v>
      </c>
      <c r="G231" s="12" t="str">
        <f t="shared" ca="1" si="47"/>
        <v>No</v>
      </c>
      <c r="H231" s="12">
        <f t="shared" ca="1" si="43"/>
        <v>0</v>
      </c>
      <c r="I231" s="10">
        <f t="shared" ca="1" si="50"/>
        <v>0</v>
      </c>
      <c r="J231" s="13">
        <f t="shared" ca="1" si="51"/>
        <v>0</v>
      </c>
      <c r="K231" s="14">
        <f t="shared" ca="1" si="52"/>
        <v>355.8</v>
      </c>
      <c r="L231" s="14">
        <f t="shared" ca="1" si="53"/>
        <v>0</v>
      </c>
      <c r="M231" s="15">
        <f t="shared" ca="1" si="54"/>
        <v>355.8</v>
      </c>
      <c r="N231" s="16">
        <f ca="1">SUM($M$9:M231)/A231</f>
        <v>336.34618834080709</v>
      </c>
    </row>
    <row r="232" spans="1:14" x14ac:dyDescent="0.25">
      <c r="A232" s="8">
        <v>224</v>
      </c>
      <c r="B232" s="9">
        <f t="shared" ca="1" si="48"/>
        <v>1779</v>
      </c>
      <c r="C232" s="10">
        <f t="shared" ca="1" si="49"/>
        <v>0</v>
      </c>
      <c r="D232" s="11">
        <f t="shared" ca="1" si="41"/>
        <v>3.1405997681914433E-2</v>
      </c>
      <c r="E232" s="9">
        <f t="shared" ca="1" si="42"/>
        <v>306</v>
      </c>
      <c r="F232" s="9">
        <f t="shared" ca="1" si="46"/>
        <v>1473</v>
      </c>
      <c r="G232" s="12" t="str">
        <f t="shared" ca="1" si="47"/>
        <v>No</v>
      </c>
      <c r="H232" s="12">
        <f t="shared" ca="1" si="43"/>
        <v>0</v>
      </c>
      <c r="I232" s="10">
        <f t="shared" ca="1" si="50"/>
        <v>0</v>
      </c>
      <c r="J232" s="13">
        <f t="shared" ca="1" si="51"/>
        <v>0</v>
      </c>
      <c r="K232" s="14">
        <f t="shared" ca="1" si="52"/>
        <v>294.60000000000002</v>
      </c>
      <c r="L232" s="14">
        <f t="shared" ca="1" si="53"/>
        <v>0</v>
      </c>
      <c r="M232" s="15">
        <f t="shared" ca="1" si="54"/>
        <v>294.60000000000002</v>
      </c>
      <c r="N232" s="16">
        <f ca="1">SUM($M$9:M232)/A232</f>
        <v>336.15982142857138</v>
      </c>
    </row>
    <row r="233" spans="1:14" x14ac:dyDescent="0.25">
      <c r="A233" s="8">
        <v>225</v>
      </c>
      <c r="B233" s="9">
        <f t="shared" ca="1" si="48"/>
        <v>1473</v>
      </c>
      <c r="C233" s="10">
        <f t="shared" ca="1" si="49"/>
        <v>0</v>
      </c>
      <c r="D233" s="11">
        <f t="shared" ca="1" si="41"/>
        <v>0.58601207227443186</v>
      </c>
      <c r="E233" s="9">
        <f t="shared" ca="1" si="42"/>
        <v>410</v>
      </c>
      <c r="F233" s="9">
        <f t="shared" ca="1" si="46"/>
        <v>1063</v>
      </c>
      <c r="G233" s="12" t="str">
        <f t="shared" ca="1" si="47"/>
        <v>No</v>
      </c>
      <c r="H233" s="12">
        <f t="shared" ca="1" si="43"/>
        <v>0</v>
      </c>
      <c r="I233" s="10">
        <f t="shared" ca="1" si="50"/>
        <v>0</v>
      </c>
      <c r="J233" s="13">
        <f t="shared" ca="1" si="51"/>
        <v>0</v>
      </c>
      <c r="K233" s="14">
        <f t="shared" ca="1" si="52"/>
        <v>212.60000000000002</v>
      </c>
      <c r="L233" s="14">
        <f t="shared" ca="1" si="53"/>
        <v>0</v>
      </c>
      <c r="M233" s="15">
        <f t="shared" ca="1" si="54"/>
        <v>212.60000000000002</v>
      </c>
      <c r="N233" s="16">
        <f ca="1">SUM($M$9:M233)/A233</f>
        <v>335.61066666666665</v>
      </c>
    </row>
    <row r="234" spans="1:14" x14ac:dyDescent="0.25">
      <c r="A234" s="8">
        <v>226</v>
      </c>
      <c r="B234" s="9">
        <f t="shared" ca="1" si="48"/>
        <v>1063</v>
      </c>
      <c r="C234" s="10">
        <f t="shared" ca="1" si="49"/>
        <v>0</v>
      </c>
      <c r="D234" s="11">
        <f t="shared" ca="1" si="41"/>
        <v>0.31673548358932135</v>
      </c>
      <c r="E234" s="9">
        <f t="shared" ca="1" si="42"/>
        <v>376</v>
      </c>
      <c r="F234" s="9">
        <f t="shared" ca="1" si="46"/>
        <v>687</v>
      </c>
      <c r="G234" s="12" t="str">
        <f t="shared" ca="1" si="47"/>
        <v>Yes</v>
      </c>
      <c r="H234" s="12">
        <f t="shared" ca="1" si="43"/>
        <v>0.15885816448267198</v>
      </c>
      <c r="I234" s="10">
        <f t="shared" ca="1" si="50"/>
        <v>1</v>
      </c>
      <c r="J234" s="13">
        <f t="shared" ca="1" si="51"/>
        <v>300</v>
      </c>
      <c r="K234" s="14">
        <f t="shared" ca="1" si="52"/>
        <v>137.4</v>
      </c>
      <c r="L234" s="14">
        <f t="shared" ca="1" si="53"/>
        <v>0</v>
      </c>
      <c r="M234" s="15">
        <f t="shared" ca="1" si="54"/>
        <v>437.4</v>
      </c>
      <c r="N234" s="16">
        <f ca="1">SUM($M$9:M234)/A234</f>
        <v>336.06106194690261</v>
      </c>
    </row>
    <row r="235" spans="1:14" x14ac:dyDescent="0.25">
      <c r="A235" s="8">
        <v>227</v>
      </c>
      <c r="B235" s="9">
        <f t="shared" ca="1" si="48"/>
        <v>2487</v>
      </c>
      <c r="C235" s="10">
        <f t="shared" ca="1" si="49"/>
        <v>1800</v>
      </c>
      <c r="D235" s="11">
        <f t="shared" ca="1" si="41"/>
        <v>0.8813248308019771</v>
      </c>
      <c r="E235" s="9">
        <f t="shared" ca="1" si="42"/>
        <v>459</v>
      </c>
      <c r="F235" s="9">
        <f t="shared" ca="1" si="46"/>
        <v>2028</v>
      </c>
      <c r="G235" s="12" t="str">
        <f t="shared" ca="1" si="47"/>
        <v>No</v>
      </c>
      <c r="H235" s="12">
        <f t="shared" ca="1" si="43"/>
        <v>0</v>
      </c>
      <c r="I235" s="10">
        <f t="shared" ca="1" si="50"/>
        <v>0</v>
      </c>
      <c r="J235" s="13">
        <f t="shared" ca="1" si="51"/>
        <v>0</v>
      </c>
      <c r="K235" s="14">
        <f t="shared" ca="1" si="52"/>
        <v>405.6</v>
      </c>
      <c r="L235" s="14">
        <f t="shared" ca="1" si="53"/>
        <v>0</v>
      </c>
      <c r="M235" s="15">
        <f t="shared" ca="1" si="54"/>
        <v>405.6</v>
      </c>
      <c r="N235" s="16">
        <f ca="1">SUM($M$9:M235)/A235</f>
        <v>336.36740088105722</v>
      </c>
    </row>
    <row r="236" spans="1:14" x14ac:dyDescent="0.25">
      <c r="A236" s="8">
        <v>228</v>
      </c>
      <c r="B236" s="9">
        <f t="shared" ca="1" si="48"/>
        <v>2028</v>
      </c>
      <c r="C236" s="10">
        <f t="shared" ca="1" si="49"/>
        <v>0</v>
      </c>
      <c r="D236" s="11">
        <f t="shared" ca="1" si="41"/>
        <v>0.24870806934971978</v>
      </c>
      <c r="E236" s="9">
        <f t="shared" ca="1" si="42"/>
        <v>366</v>
      </c>
      <c r="F236" s="9">
        <f t="shared" ca="1" si="46"/>
        <v>1662</v>
      </c>
      <c r="G236" s="12" t="str">
        <f t="shared" ca="1" si="47"/>
        <v>No</v>
      </c>
      <c r="H236" s="12">
        <f t="shared" ca="1" si="43"/>
        <v>0</v>
      </c>
      <c r="I236" s="10">
        <f t="shared" ca="1" si="50"/>
        <v>0</v>
      </c>
      <c r="J236" s="13">
        <f t="shared" ca="1" si="51"/>
        <v>0</v>
      </c>
      <c r="K236" s="14">
        <f t="shared" ca="1" si="52"/>
        <v>332.40000000000003</v>
      </c>
      <c r="L236" s="14">
        <f t="shared" ca="1" si="53"/>
        <v>0</v>
      </c>
      <c r="M236" s="15">
        <f t="shared" ca="1" si="54"/>
        <v>332.40000000000003</v>
      </c>
      <c r="N236" s="16">
        <f ca="1">SUM($M$9:M236)/A236</f>
        <v>336.34999999999997</v>
      </c>
    </row>
    <row r="237" spans="1:14" x14ac:dyDescent="0.25">
      <c r="A237" s="8">
        <v>229</v>
      </c>
      <c r="B237" s="9">
        <f t="shared" ca="1" si="48"/>
        <v>1662</v>
      </c>
      <c r="C237" s="10">
        <f t="shared" ca="1" si="49"/>
        <v>0</v>
      </c>
      <c r="D237" s="11">
        <f t="shared" ca="1" si="41"/>
        <v>0.47957021440364256</v>
      </c>
      <c r="E237" s="9">
        <f t="shared" ca="1" si="42"/>
        <v>397</v>
      </c>
      <c r="F237" s="9">
        <f t="shared" ca="1" si="46"/>
        <v>1265</v>
      </c>
      <c r="G237" s="12" t="str">
        <f t="shared" ca="1" si="47"/>
        <v>No</v>
      </c>
      <c r="H237" s="12">
        <f t="shared" ca="1" si="43"/>
        <v>0</v>
      </c>
      <c r="I237" s="10">
        <f t="shared" ca="1" si="50"/>
        <v>0</v>
      </c>
      <c r="J237" s="13">
        <f t="shared" ca="1" si="51"/>
        <v>0</v>
      </c>
      <c r="K237" s="14">
        <f t="shared" ca="1" si="52"/>
        <v>253</v>
      </c>
      <c r="L237" s="14">
        <f t="shared" ca="1" si="53"/>
        <v>0</v>
      </c>
      <c r="M237" s="15">
        <f t="shared" ca="1" si="54"/>
        <v>253</v>
      </c>
      <c r="N237" s="16">
        <f ca="1">SUM($M$9:M237)/A237</f>
        <v>335.98602620087331</v>
      </c>
    </row>
    <row r="238" spans="1:14" x14ac:dyDescent="0.25">
      <c r="A238" s="8">
        <v>230</v>
      </c>
      <c r="B238" s="9">
        <f t="shared" ca="1" si="48"/>
        <v>1265</v>
      </c>
      <c r="C238" s="10">
        <f t="shared" ca="1" si="49"/>
        <v>0</v>
      </c>
      <c r="D238" s="11">
        <f t="shared" ca="1" si="41"/>
        <v>0.45102462261548371</v>
      </c>
      <c r="E238" s="9">
        <f t="shared" ca="1" si="42"/>
        <v>393</v>
      </c>
      <c r="F238" s="9">
        <f t="shared" ca="1" si="46"/>
        <v>872</v>
      </c>
      <c r="G238" s="12" t="str">
        <f t="shared" ca="1" si="47"/>
        <v>Yes</v>
      </c>
      <c r="H238" s="12">
        <f t="shared" ca="1" si="43"/>
        <v>1.2007557816530845E-2</v>
      </c>
      <c r="I238" s="10">
        <f t="shared" ca="1" si="50"/>
        <v>1</v>
      </c>
      <c r="J238" s="13">
        <f t="shared" ca="1" si="51"/>
        <v>300</v>
      </c>
      <c r="K238" s="14">
        <f t="shared" ca="1" si="52"/>
        <v>174.4</v>
      </c>
      <c r="L238" s="14">
        <f t="shared" ca="1" si="53"/>
        <v>0</v>
      </c>
      <c r="M238" s="15">
        <f t="shared" ca="1" si="54"/>
        <v>474.4</v>
      </c>
      <c r="N238" s="16">
        <f ca="1">SUM($M$9:M238)/A238</f>
        <v>336.58782608695645</v>
      </c>
    </row>
    <row r="239" spans="1:14" x14ac:dyDescent="0.25">
      <c r="A239" s="8">
        <v>231</v>
      </c>
      <c r="B239" s="9">
        <f t="shared" ca="1" si="48"/>
        <v>2672</v>
      </c>
      <c r="C239" s="10">
        <f t="shared" ca="1" si="49"/>
        <v>1800</v>
      </c>
      <c r="D239" s="11">
        <f t="shared" ca="1" si="41"/>
        <v>1.4785921268233859E-2</v>
      </c>
      <c r="E239" s="9">
        <f t="shared" ca="1" si="42"/>
        <v>291</v>
      </c>
      <c r="F239" s="9">
        <f t="shared" ca="1" si="46"/>
        <v>2381</v>
      </c>
      <c r="G239" s="12" t="str">
        <f t="shared" ca="1" si="47"/>
        <v>No</v>
      </c>
      <c r="H239" s="12">
        <f t="shared" ca="1" si="43"/>
        <v>0</v>
      </c>
      <c r="I239" s="10">
        <f t="shared" ca="1" si="50"/>
        <v>0</v>
      </c>
      <c r="J239" s="13">
        <f t="shared" ca="1" si="51"/>
        <v>0</v>
      </c>
      <c r="K239" s="14">
        <f t="shared" ca="1" si="52"/>
        <v>476.20000000000005</v>
      </c>
      <c r="L239" s="14">
        <f t="shared" ca="1" si="53"/>
        <v>0</v>
      </c>
      <c r="M239" s="15">
        <f t="shared" ca="1" si="54"/>
        <v>476.20000000000005</v>
      </c>
      <c r="N239" s="16">
        <f ca="1">SUM($M$9:M239)/A239</f>
        <v>337.19220779220768</v>
      </c>
    </row>
    <row r="240" spans="1:14" x14ac:dyDescent="0.25">
      <c r="A240" s="8">
        <v>232</v>
      </c>
      <c r="B240" s="9">
        <f t="shared" ca="1" si="48"/>
        <v>2381</v>
      </c>
      <c r="C240" s="10">
        <f t="shared" ca="1" si="49"/>
        <v>0</v>
      </c>
      <c r="D240" s="11">
        <f t="shared" ca="1" si="41"/>
        <v>0.75067308372531616</v>
      </c>
      <c r="E240" s="9">
        <f t="shared" ca="1" si="42"/>
        <v>433</v>
      </c>
      <c r="F240" s="9">
        <f t="shared" ca="1" si="46"/>
        <v>1948</v>
      </c>
      <c r="G240" s="12" t="str">
        <f t="shared" ca="1" si="47"/>
        <v>No</v>
      </c>
      <c r="H240" s="12">
        <f t="shared" ca="1" si="43"/>
        <v>0</v>
      </c>
      <c r="I240" s="10">
        <f t="shared" ca="1" si="50"/>
        <v>0</v>
      </c>
      <c r="J240" s="13">
        <f t="shared" ca="1" si="51"/>
        <v>0</v>
      </c>
      <c r="K240" s="14">
        <f t="shared" ca="1" si="52"/>
        <v>389.6</v>
      </c>
      <c r="L240" s="14">
        <f t="shared" ca="1" si="53"/>
        <v>0</v>
      </c>
      <c r="M240" s="15">
        <f t="shared" ca="1" si="54"/>
        <v>389.6</v>
      </c>
      <c r="N240" s="16">
        <f ca="1">SUM($M$9:M240)/A240</f>
        <v>337.41810344827582</v>
      </c>
    </row>
    <row r="241" spans="1:14" x14ac:dyDescent="0.25">
      <c r="A241" s="8">
        <v>233</v>
      </c>
      <c r="B241" s="9">
        <f t="shared" ca="1" si="48"/>
        <v>1948</v>
      </c>
      <c r="C241" s="10">
        <f t="shared" ca="1" si="49"/>
        <v>0</v>
      </c>
      <c r="D241" s="11">
        <f t="shared" ca="1" si="41"/>
        <v>0.78934473812282557</v>
      </c>
      <c r="E241" s="9">
        <f t="shared" ca="1" si="42"/>
        <v>440</v>
      </c>
      <c r="F241" s="9">
        <f t="shared" ca="1" si="46"/>
        <v>1508</v>
      </c>
      <c r="G241" s="12" t="str">
        <f t="shared" ca="1" si="47"/>
        <v>No</v>
      </c>
      <c r="H241" s="12">
        <f t="shared" ca="1" si="43"/>
        <v>0</v>
      </c>
      <c r="I241" s="10">
        <f t="shared" ca="1" si="50"/>
        <v>0</v>
      </c>
      <c r="J241" s="13">
        <f t="shared" ca="1" si="51"/>
        <v>0</v>
      </c>
      <c r="K241" s="14">
        <f t="shared" ca="1" si="52"/>
        <v>301.60000000000002</v>
      </c>
      <c r="L241" s="14">
        <f t="shared" ca="1" si="53"/>
        <v>0</v>
      </c>
      <c r="M241" s="15">
        <f t="shared" ca="1" si="54"/>
        <v>301.60000000000002</v>
      </c>
      <c r="N241" s="16">
        <f ca="1">SUM($M$9:M241)/A241</f>
        <v>337.26437768240339</v>
      </c>
    </row>
    <row r="242" spans="1:14" x14ac:dyDescent="0.25">
      <c r="A242" s="8">
        <v>234</v>
      </c>
      <c r="B242" s="9">
        <f t="shared" ca="1" si="48"/>
        <v>1508</v>
      </c>
      <c r="C242" s="10">
        <f t="shared" ca="1" si="49"/>
        <v>0</v>
      </c>
      <c r="D242" s="11">
        <f t="shared" ca="1" si="41"/>
        <v>0.14262022560753262</v>
      </c>
      <c r="E242" s="9">
        <f t="shared" ca="1" si="42"/>
        <v>346</v>
      </c>
      <c r="F242" s="9">
        <f t="shared" ca="1" si="46"/>
        <v>1162</v>
      </c>
      <c r="G242" s="12" t="str">
        <f t="shared" ca="1" si="47"/>
        <v>No</v>
      </c>
      <c r="H242" s="12">
        <f t="shared" ca="1" si="43"/>
        <v>0</v>
      </c>
      <c r="I242" s="10">
        <f t="shared" ca="1" si="50"/>
        <v>0</v>
      </c>
      <c r="J242" s="13">
        <f t="shared" ca="1" si="51"/>
        <v>0</v>
      </c>
      <c r="K242" s="14">
        <f t="shared" ca="1" si="52"/>
        <v>232.4</v>
      </c>
      <c r="L242" s="14">
        <f t="shared" ca="1" si="53"/>
        <v>0</v>
      </c>
      <c r="M242" s="15">
        <f t="shared" ca="1" si="54"/>
        <v>232.4</v>
      </c>
      <c r="N242" s="16">
        <f ca="1">SUM($M$9:M242)/A242</f>
        <v>336.81623931623926</v>
      </c>
    </row>
    <row r="243" spans="1:14" x14ac:dyDescent="0.25">
      <c r="A243" s="8">
        <v>235</v>
      </c>
      <c r="B243" s="9">
        <f t="shared" ca="1" si="48"/>
        <v>1162</v>
      </c>
      <c r="C243" s="10">
        <f t="shared" ca="1" si="49"/>
        <v>0</v>
      </c>
      <c r="D243" s="11">
        <f t="shared" ca="1" si="41"/>
        <v>0.32968651557935913</v>
      </c>
      <c r="E243" s="9">
        <f t="shared" ca="1" si="42"/>
        <v>377</v>
      </c>
      <c r="F243" s="9">
        <f t="shared" ca="1" si="46"/>
        <v>785</v>
      </c>
      <c r="G243" s="12" t="str">
        <f t="shared" ca="1" si="47"/>
        <v>Yes</v>
      </c>
      <c r="H243" s="12">
        <f t="shared" ca="1" si="43"/>
        <v>0.59918404489311983</v>
      </c>
      <c r="I243" s="10">
        <f t="shared" ca="1" si="50"/>
        <v>1</v>
      </c>
      <c r="J243" s="13">
        <f t="shared" ca="1" si="51"/>
        <v>300</v>
      </c>
      <c r="K243" s="14">
        <f t="shared" ca="1" si="52"/>
        <v>157</v>
      </c>
      <c r="L243" s="14">
        <f t="shared" ca="1" si="53"/>
        <v>0</v>
      </c>
      <c r="M243" s="15">
        <f t="shared" ca="1" si="54"/>
        <v>457</v>
      </c>
      <c r="N243" s="16">
        <f ca="1">SUM($M$9:M243)/A243</f>
        <v>337.32765957446804</v>
      </c>
    </row>
    <row r="244" spans="1:14" x14ac:dyDescent="0.25">
      <c r="A244" s="8">
        <v>236</v>
      </c>
      <c r="B244" s="9">
        <f t="shared" ca="1" si="48"/>
        <v>2585</v>
      </c>
      <c r="C244" s="10">
        <f t="shared" ca="1" si="49"/>
        <v>1800</v>
      </c>
      <c r="D244" s="11">
        <f t="shared" ca="1" si="41"/>
        <v>0.56573950542033902</v>
      </c>
      <c r="E244" s="9">
        <f t="shared" ca="1" si="42"/>
        <v>408</v>
      </c>
      <c r="F244" s="9">
        <f t="shared" ca="1" si="46"/>
        <v>2177</v>
      </c>
      <c r="G244" s="12" t="str">
        <f t="shared" ca="1" si="47"/>
        <v>No</v>
      </c>
      <c r="H244" s="12">
        <f t="shared" ca="1" si="43"/>
        <v>0</v>
      </c>
      <c r="I244" s="10">
        <f t="shared" ca="1" si="50"/>
        <v>0</v>
      </c>
      <c r="J244" s="13">
        <f t="shared" ca="1" si="51"/>
        <v>0</v>
      </c>
      <c r="K244" s="14">
        <f t="shared" ca="1" si="52"/>
        <v>435.40000000000003</v>
      </c>
      <c r="L244" s="14">
        <f t="shared" ca="1" si="53"/>
        <v>0</v>
      </c>
      <c r="M244" s="15">
        <f t="shared" ca="1" si="54"/>
        <v>435.40000000000003</v>
      </c>
      <c r="N244" s="16">
        <f ca="1">SUM($M$9:M244)/A244</f>
        <v>337.74322033898295</v>
      </c>
    </row>
    <row r="245" spans="1:14" x14ac:dyDescent="0.25">
      <c r="A245" s="8">
        <v>237</v>
      </c>
      <c r="B245" s="9">
        <f t="shared" ca="1" si="48"/>
        <v>2177</v>
      </c>
      <c r="C245" s="10">
        <f t="shared" ca="1" si="49"/>
        <v>0</v>
      </c>
      <c r="D245" s="11">
        <f t="shared" ca="1" si="41"/>
        <v>0.93095105500872632</v>
      </c>
      <c r="E245" s="9">
        <f t="shared" ca="1" si="42"/>
        <v>474</v>
      </c>
      <c r="F245" s="9">
        <f t="shared" ca="1" si="46"/>
        <v>1703</v>
      </c>
      <c r="G245" s="12" t="str">
        <f t="shared" ca="1" si="47"/>
        <v>No</v>
      </c>
      <c r="H245" s="12">
        <f t="shared" ca="1" si="43"/>
        <v>0</v>
      </c>
      <c r="I245" s="10">
        <f t="shared" ca="1" si="50"/>
        <v>0</v>
      </c>
      <c r="J245" s="13">
        <f t="shared" ca="1" si="51"/>
        <v>0</v>
      </c>
      <c r="K245" s="14">
        <f t="shared" ca="1" si="52"/>
        <v>340.6</v>
      </c>
      <c r="L245" s="14">
        <f t="shared" ca="1" si="53"/>
        <v>0</v>
      </c>
      <c r="M245" s="15">
        <f t="shared" ca="1" si="54"/>
        <v>340.6</v>
      </c>
      <c r="N245" s="16">
        <f ca="1">SUM($M$9:M245)/A245</f>
        <v>337.75527426160329</v>
      </c>
    </row>
    <row r="246" spans="1:14" x14ac:dyDescent="0.25">
      <c r="A246" s="8">
        <v>238</v>
      </c>
      <c r="B246" s="9">
        <f t="shared" ca="1" si="48"/>
        <v>1703</v>
      </c>
      <c r="C246" s="10">
        <f t="shared" ca="1" si="49"/>
        <v>0</v>
      </c>
      <c r="D246" s="11">
        <f t="shared" ca="1" si="41"/>
        <v>0.72913563272287973</v>
      </c>
      <c r="E246" s="9">
        <f t="shared" ca="1" si="42"/>
        <v>430</v>
      </c>
      <c r="F246" s="9">
        <f t="shared" ca="1" si="46"/>
        <v>1273</v>
      </c>
      <c r="G246" s="12" t="str">
        <f t="shared" ca="1" si="47"/>
        <v>No</v>
      </c>
      <c r="H246" s="12">
        <f t="shared" ca="1" si="43"/>
        <v>0</v>
      </c>
      <c r="I246" s="10">
        <f t="shared" ca="1" si="50"/>
        <v>0</v>
      </c>
      <c r="J246" s="13">
        <f t="shared" ca="1" si="51"/>
        <v>0</v>
      </c>
      <c r="K246" s="14">
        <f t="shared" ca="1" si="52"/>
        <v>254.60000000000002</v>
      </c>
      <c r="L246" s="14">
        <f t="shared" ca="1" si="53"/>
        <v>0</v>
      </c>
      <c r="M246" s="15">
        <f t="shared" ca="1" si="54"/>
        <v>254.60000000000002</v>
      </c>
      <c r="N246" s="16">
        <f ca="1">SUM($M$9:M246)/A246</f>
        <v>337.40588235294115</v>
      </c>
    </row>
    <row r="247" spans="1:14" x14ac:dyDescent="0.25">
      <c r="A247" s="8">
        <v>239</v>
      </c>
      <c r="B247" s="9">
        <f t="shared" ca="1" si="48"/>
        <v>1273</v>
      </c>
      <c r="C247" s="10">
        <f t="shared" ca="1" si="49"/>
        <v>0</v>
      </c>
      <c r="D247" s="11">
        <f t="shared" ca="1" si="41"/>
        <v>0.96533346280369903</v>
      </c>
      <c r="E247" s="9">
        <f t="shared" ca="1" si="42"/>
        <v>490</v>
      </c>
      <c r="F247" s="9">
        <f t="shared" ca="1" si="46"/>
        <v>783</v>
      </c>
      <c r="G247" s="12" t="str">
        <f t="shared" ca="1" si="47"/>
        <v>Yes</v>
      </c>
      <c r="H247" s="12">
        <f t="shared" ca="1" si="43"/>
        <v>0.21732571189242755</v>
      </c>
      <c r="I247" s="10">
        <f t="shared" ca="1" si="50"/>
        <v>1</v>
      </c>
      <c r="J247" s="13">
        <f t="shared" ca="1" si="51"/>
        <v>300</v>
      </c>
      <c r="K247" s="14">
        <f t="shared" ca="1" si="52"/>
        <v>156.60000000000002</v>
      </c>
      <c r="L247" s="14">
        <f t="shared" ca="1" si="53"/>
        <v>0</v>
      </c>
      <c r="M247" s="15">
        <f t="shared" ca="1" si="54"/>
        <v>456.6</v>
      </c>
      <c r="N247" s="16">
        <f ca="1">SUM($M$9:M247)/A247</f>
        <v>337.90460251046022</v>
      </c>
    </row>
    <row r="248" spans="1:14" x14ac:dyDescent="0.25">
      <c r="A248" s="8">
        <v>240</v>
      </c>
      <c r="B248" s="9">
        <f t="shared" ca="1" si="48"/>
        <v>2583</v>
      </c>
      <c r="C248" s="10">
        <f t="shared" ca="1" si="49"/>
        <v>1800</v>
      </c>
      <c r="D248" s="11">
        <f t="shared" ca="1" si="41"/>
        <v>0.71231264760714885</v>
      </c>
      <c r="E248" s="9">
        <f t="shared" ca="1" si="42"/>
        <v>428</v>
      </c>
      <c r="F248" s="9">
        <f t="shared" ca="1" si="46"/>
        <v>2155</v>
      </c>
      <c r="G248" s="12" t="str">
        <f t="shared" ca="1" si="47"/>
        <v>No</v>
      </c>
      <c r="H248" s="12">
        <f t="shared" ca="1" si="43"/>
        <v>0</v>
      </c>
      <c r="I248" s="10">
        <f t="shared" ca="1" si="50"/>
        <v>0</v>
      </c>
      <c r="J248" s="13">
        <f t="shared" ca="1" si="51"/>
        <v>0</v>
      </c>
      <c r="K248" s="14">
        <f t="shared" ca="1" si="52"/>
        <v>431</v>
      </c>
      <c r="L248" s="14">
        <f t="shared" ca="1" si="53"/>
        <v>0</v>
      </c>
      <c r="M248" s="15">
        <f t="shared" ca="1" si="54"/>
        <v>431</v>
      </c>
      <c r="N248" s="16">
        <f ca="1">SUM($M$9:M248)/A248</f>
        <v>338.29249999999996</v>
      </c>
    </row>
    <row r="249" spans="1:14" x14ac:dyDescent="0.25">
      <c r="A249" s="8">
        <v>241</v>
      </c>
      <c r="B249" s="9">
        <f t="shared" ca="1" si="48"/>
        <v>2155</v>
      </c>
      <c r="C249" s="10">
        <f t="shared" ca="1" si="49"/>
        <v>0</v>
      </c>
      <c r="D249" s="11">
        <f t="shared" ca="1" si="41"/>
        <v>0.78308886280059531</v>
      </c>
      <c r="E249" s="9">
        <f t="shared" ca="1" si="42"/>
        <v>439</v>
      </c>
      <c r="F249" s="9">
        <f t="shared" ca="1" si="46"/>
        <v>1716</v>
      </c>
      <c r="G249" s="12" t="str">
        <f t="shared" ca="1" si="47"/>
        <v>No</v>
      </c>
      <c r="H249" s="12">
        <f t="shared" ca="1" si="43"/>
        <v>0</v>
      </c>
      <c r="I249" s="10">
        <f t="shared" ca="1" si="50"/>
        <v>0</v>
      </c>
      <c r="J249" s="13">
        <f t="shared" ca="1" si="51"/>
        <v>0</v>
      </c>
      <c r="K249" s="14">
        <f t="shared" ca="1" si="52"/>
        <v>343.20000000000005</v>
      </c>
      <c r="L249" s="14">
        <f t="shared" ca="1" si="53"/>
        <v>0</v>
      </c>
      <c r="M249" s="15">
        <f t="shared" ca="1" si="54"/>
        <v>343.20000000000005</v>
      </c>
      <c r="N249" s="16">
        <f ca="1">SUM($M$9:M249)/A249</f>
        <v>338.31286307053938</v>
      </c>
    </row>
    <row r="250" spans="1:14" x14ac:dyDescent="0.25">
      <c r="A250" s="8">
        <v>242</v>
      </c>
      <c r="B250" s="9">
        <f t="shared" ca="1" si="48"/>
        <v>1716</v>
      </c>
      <c r="C250" s="10">
        <f t="shared" ca="1" si="49"/>
        <v>0</v>
      </c>
      <c r="D250" s="11">
        <f t="shared" ca="1" si="41"/>
        <v>0.41977448908984472</v>
      </c>
      <c r="E250" s="9">
        <f t="shared" ca="1" si="42"/>
        <v>389</v>
      </c>
      <c r="F250" s="9">
        <f t="shared" ca="1" si="46"/>
        <v>1327</v>
      </c>
      <c r="G250" s="12" t="str">
        <f t="shared" ca="1" si="47"/>
        <v>No</v>
      </c>
      <c r="H250" s="12">
        <f t="shared" ca="1" si="43"/>
        <v>0</v>
      </c>
      <c r="I250" s="10">
        <f t="shared" ca="1" si="50"/>
        <v>0</v>
      </c>
      <c r="J250" s="13">
        <f t="shared" ca="1" si="51"/>
        <v>0</v>
      </c>
      <c r="K250" s="14">
        <f t="shared" ca="1" si="52"/>
        <v>265.40000000000003</v>
      </c>
      <c r="L250" s="14">
        <f t="shared" ca="1" si="53"/>
        <v>0</v>
      </c>
      <c r="M250" s="15">
        <f t="shared" ca="1" si="54"/>
        <v>265.40000000000003</v>
      </c>
      <c r="N250" s="16">
        <f ca="1">SUM($M$9:M250)/A250</f>
        <v>338.01157024793383</v>
      </c>
    </row>
    <row r="251" spans="1:14" x14ac:dyDescent="0.25">
      <c r="A251" s="8">
        <v>243</v>
      </c>
      <c r="B251" s="9">
        <f t="shared" ca="1" si="48"/>
        <v>1327</v>
      </c>
      <c r="C251" s="10">
        <f t="shared" ca="1" si="49"/>
        <v>0</v>
      </c>
      <c r="D251" s="11">
        <f t="shared" ca="1" si="41"/>
        <v>0.63363556806447285</v>
      </c>
      <c r="E251" s="9">
        <f t="shared" ca="1" si="42"/>
        <v>417</v>
      </c>
      <c r="F251" s="9">
        <f t="shared" ca="1" si="46"/>
        <v>910</v>
      </c>
      <c r="G251" s="12" t="str">
        <f t="shared" ca="1" si="47"/>
        <v>Yes</v>
      </c>
      <c r="H251" s="12">
        <f t="shared" ca="1" si="43"/>
        <v>0.95717001571394633</v>
      </c>
      <c r="I251" s="10">
        <f t="shared" ca="1" si="50"/>
        <v>3</v>
      </c>
      <c r="J251" s="13">
        <f t="shared" ca="1" si="51"/>
        <v>300</v>
      </c>
      <c r="K251" s="14">
        <f t="shared" ca="1" si="52"/>
        <v>182</v>
      </c>
      <c r="L251" s="14">
        <f t="shared" ca="1" si="53"/>
        <v>0</v>
      </c>
      <c r="M251" s="15">
        <f t="shared" ca="1" si="54"/>
        <v>482</v>
      </c>
      <c r="N251" s="16">
        <f ca="1">SUM($M$9:M251)/A251</f>
        <v>338.6041152263374</v>
      </c>
    </row>
    <row r="252" spans="1:14" x14ac:dyDescent="0.25">
      <c r="A252" s="8">
        <v>244</v>
      </c>
      <c r="B252" s="9">
        <f t="shared" ca="1" si="48"/>
        <v>910</v>
      </c>
      <c r="C252" s="10">
        <f t="shared" ca="1" si="49"/>
        <v>0</v>
      </c>
      <c r="D252" s="11">
        <f t="shared" ca="1" si="41"/>
        <v>0.6885349980743507</v>
      </c>
      <c r="E252" s="9">
        <f t="shared" ca="1" si="42"/>
        <v>424</v>
      </c>
      <c r="F252" s="9">
        <f t="shared" ca="1" si="46"/>
        <v>486</v>
      </c>
      <c r="G252" s="12" t="str">
        <f t="shared" ca="1" si="47"/>
        <v>No</v>
      </c>
      <c r="H252" s="12">
        <f t="shared" ca="1" si="43"/>
        <v>0</v>
      </c>
      <c r="I252" s="10">
        <f t="shared" ca="1" si="50"/>
        <v>2</v>
      </c>
      <c r="J252" s="13">
        <f t="shared" ca="1" si="51"/>
        <v>0</v>
      </c>
      <c r="K252" s="14">
        <f t="shared" ca="1" si="52"/>
        <v>97.2</v>
      </c>
      <c r="L252" s="14">
        <f t="shared" ca="1" si="53"/>
        <v>0</v>
      </c>
      <c r="M252" s="15">
        <f t="shared" ca="1" si="54"/>
        <v>97.2</v>
      </c>
      <c r="N252" s="16">
        <f ca="1">SUM($M$9:M252)/A252</f>
        <v>337.61475409836061</v>
      </c>
    </row>
    <row r="253" spans="1:14" x14ac:dyDescent="0.25">
      <c r="A253" s="8">
        <v>245</v>
      </c>
      <c r="B253" s="9">
        <f t="shared" ca="1" si="48"/>
        <v>486</v>
      </c>
      <c r="C253" s="10">
        <f t="shared" ca="1" si="49"/>
        <v>0</v>
      </c>
      <c r="D253" s="11">
        <f t="shared" ca="1" si="41"/>
        <v>0.18711756810931202</v>
      </c>
      <c r="E253" s="9">
        <f t="shared" ca="1" si="42"/>
        <v>355</v>
      </c>
      <c r="F253" s="9">
        <f t="shared" ca="1" si="46"/>
        <v>131</v>
      </c>
      <c r="G253" s="12" t="str">
        <f t="shared" ca="1" si="47"/>
        <v>No</v>
      </c>
      <c r="H253" s="12">
        <f t="shared" ca="1" si="43"/>
        <v>0</v>
      </c>
      <c r="I253" s="10">
        <f t="shared" ca="1" si="50"/>
        <v>1</v>
      </c>
      <c r="J253" s="13">
        <f t="shared" ca="1" si="51"/>
        <v>0</v>
      </c>
      <c r="K253" s="14">
        <f t="shared" ca="1" si="52"/>
        <v>26.200000000000003</v>
      </c>
      <c r="L253" s="14">
        <f t="shared" ca="1" si="53"/>
        <v>0</v>
      </c>
      <c r="M253" s="15">
        <f t="shared" ca="1" si="54"/>
        <v>26.200000000000003</v>
      </c>
      <c r="N253" s="16">
        <f ca="1">SUM($M$9:M253)/A253</f>
        <v>336.34367346938768</v>
      </c>
    </row>
    <row r="254" spans="1:14" x14ac:dyDescent="0.25">
      <c r="A254" s="8">
        <v>246</v>
      </c>
      <c r="B254" s="9">
        <f t="shared" ca="1" si="48"/>
        <v>1931</v>
      </c>
      <c r="C254" s="10">
        <f t="shared" ca="1" si="49"/>
        <v>1800</v>
      </c>
      <c r="D254" s="11">
        <f t="shared" ca="1" si="41"/>
        <v>0.87987700154766058</v>
      </c>
      <c r="E254" s="9">
        <f t="shared" ca="1" si="42"/>
        <v>458</v>
      </c>
      <c r="F254" s="9">
        <f t="shared" ca="1" si="46"/>
        <v>1473</v>
      </c>
      <c r="G254" s="12" t="str">
        <f t="shared" ca="1" si="47"/>
        <v>No</v>
      </c>
      <c r="H254" s="12">
        <f t="shared" ca="1" si="43"/>
        <v>0</v>
      </c>
      <c r="I254" s="10">
        <f t="shared" ca="1" si="50"/>
        <v>0</v>
      </c>
      <c r="J254" s="13">
        <f t="shared" ca="1" si="51"/>
        <v>0</v>
      </c>
      <c r="K254" s="14">
        <f t="shared" ca="1" si="52"/>
        <v>294.60000000000002</v>
      </c>
      <c r="L254" s="14">
        <f t="shared" ca="1" si="53"/>
        <v>0</v>
      </c>
      <c r="M254" s="15">
        <f t="shared" ca="1" si="54"/>
        <v>294.60000000000002</v>
      </c>
      <c r="N254" s="16">
        <f ca="1">SUM($M$9:M254)/A254</f>
        <v>336.17398373983735</v>
      </c>
    </row>
    <row r="255" spans="1:14" x14ac:dyDescent="0.25">
      <c r="A255" s="8">
        <v>247</v>
      </c>
      <c r="B255" s="9">
        <f t="shared" ca="1" si="48"/>
        <v>1473</v>
      </c>
      <c r="C255" s="10">
        <f t="shared" ca="1" si="49"/>
        <v>0</v>
      </c>
      <c r="D255" s="11">
        <f t="shared" ca="1" si="41"/>
        <v>0.49847198602192311</v>
      </c>
      <c r="E255" s="9">
        <f t="shared" ca="1" si="42"/>
        <v>399</v>
      </c>
      <c r="F255" s="9">
        <f t="shared" ca="1" si="46"/>
        <v>1074</v>
      </c>
      <c r="G255" s="12" t="str">
        <f t="shared" ca="1" si="47"/>
        <v>No</v>
      </c>
      <c r="H255" s="12">
        <f t="shared" ca="1" si="43"/>
        <v>0</v>
      </c>
      <c r="I255" s="10">
        <f t="shared" ca="1" si="50"/>
        <v>0</v>
      </c>
      <c r="J255" s="13">
        <f t="shared" ca="1" si="51"/>
        <v>0</v>
      </c>
      <c r="K255" s="14">
        <f t="shared" ca="1" si="52"/>
        <v>214.8</v>
      </c>
      <c r="L255" s="14">
        <f t="shared" ca="1" si="53"/>
        <v>0</v>
      </c>
      <c r="M255" s="15">
        <f t="shared" ca="1" si="54"/>
        <v>214.8</v>
      </c>
      <c r="N255" s="16">
        <f ca="1">SUM($M$9:M255)/A255</f>
        <v>335.68259109311737</v>
      </c>
    </row>
    <row r="256" spans="1:14" x14ac:dyDescent="0.25">
      <c r="A256" s="8">
        <v>248</v>
      </c>
      <c r="B256" s="9">
        <f t="shared" ca="1" si="48"/>
        <v>1074</v>
      </c>
      <c r="C256" s="10">
        <f t="shared" ca="1" si="49"/>
        <v>0</v>
      </c>
      <c r="D256" s="11">
        <f t="shared" ca="1" si="41"/>
        <v>0.98031662232724193</v>
      </c>
      <c r="E256" s="9">
        <f t="shared" ca="1" si="42"/>
        <v>503</v>
      </c>
      <c r="F256" s="9">
        <f t="shared" ca="1" si="46"/>
        <v>571</v>
      </c>
      <c r="G256" s="12" t="str">
        <f t="shared" ca="1" si="47"/>
        <v>Yes</v>
      </c>
      <c r="H256" s="12">
        <f t="shared" ca="1" si="43"/>
        <v>0.79200671335743122</v>
      </c>
      <c r="I256" s="10">
        <f t="shared" ca="1" si="50"/>
        <v>2</v>
      </c>
      <c r="J256" s="13">
        <f t="shared" ca="1" si="51"/>
        <v>300</v>
      </c>
      <c r="K256" s="14">
        <f t="shared" ca="1" si="52"/>
        <v>114.2</v>
      </c>
      <c r="L256" s="14">
        <f t="shared" ca="1" si="53"/>
        <v>0</v>
      </c>
      <c r="M256" s="15">
        <f t="shared" ca="1" si="54"/>
        <v>414.2</v>
      </c>
      <c r="N256" s="16">
        <f ca="1">SUM($M$9:M256)/A256</f>
        <v>335.99919354838704</v>
      </c>
    </row>
    <row r="257" spans="1:14" x14ac:dyDescent="0.25">
      <c r="A257" s="8">
        <v>249</v>
      </c>
      <c r="B257" s="9">
        <f t="shared" ca="1" si="48"/>
        <v>571</v>
      </c>
      <c r="C257" s="10">
        <f t="shared" ca="1" si="49"/>
        <v>0</v>
      </c>
      <c r="D257" s="11">
        <f t="shared" ca="1" si="41"/>
        <v>0.38505726733169954</v>
      </c>
      <c r="E257" s="9">
        <f t="shared" ca="1" si="42"/>
        <v>385</v>
      </c>
      <c r="F257" s="9">
        <f t="shared" ca="1" si="46"/>
        <v>186</v>
      </c>
      <c r="G257" s="12" t="str">
        <f t="shared" ca="1" si="47"/>
        <v>No</v>
      </c>
      <c r="H257" s="12">
        <f t="shared" ca="1" si="43"/>
        <v>0</v>
      </c>
      <c r="I257" s="10">
        <f t="shared" ca="1" si="50"/>
        <v>1</v>
      </c>
      <c r="J257" s="13">
        <f t="shared" ca="1" si="51"/>
        <v>0</v>
      </c>
      <c r="K257" s="14">
        <f t="shared" ca="1" si="52"/>
        <v>37.200000000000003</v>
      </c>
      <c r="L257" s="14">
        <f t="shared" ca="1" si="53"/>
        <v>0</v>
      </c>
      <c r="M257" s="15">
        <f t="shared" ca="1" si="54"/>
        <v>37.200000000000003</v>
      </c>
      <c r="N257" s="16">
        <f ca="1">SUM($M$9:M257)/A257</f>
        <v>334.79919678714856</v>
      </c>
    </row>
    <row r="258" spans="1:14" x14ac:dyDescent="0.25">
      <c r="A258" s="8">
        <v>250</v>
      </c>
      <c r="B258" s="9">
        <f t="shared" ca="1" si="48"/>
        <v>1986</v>
      </c>
      <c r="C258" s="10">
        <f t="shared" ca="1" si="49"/>
        <v>1800</v>
      </c>
      <c r="D258" s="11">
        <f t="shared" ca="1" si="41"/>
        <v>0.38296828519296799</v>
      </c>
      <c r="E258" s="9">
        <f t="shared" ca="1" si="42"/>
        <v>385</v>
      </c>
      <c r="F258" s="9">
        <f t="shared" ca="1" si="46"/>
        <v>1601</v>
      </c>
      <c r="G258" s="12" t="str">
        <f t="shared" ca="1" si="47"/>
        <v>No</v>
      </c>
      <c r="H258" s="12">
        <f t="shared" ca="1" si="43"/>
        <v>0</v>
      </c>
      <c r="I258" s="10">
        <f t="shared" ca="1" si="50"/>
        <v>0</v>
      </c>
      <c r="J258" s="13">
        <f t="shared" ca="1" si="51"/>
        <v>0</v>
      </c>
      <c r="K258" s="14">
        <f t="shared" ca="1" si="52"/>
        <v>320.20000000000005</v>
      </c>
      <c r="L258" s="14">
        <f t="shared" ca="1" si="53"/>
        <v>0</v>
      </c>
      <c r="M258" s="15">
        <f t="shared" ca="1" si="54"/>
        <v>320.20000000000005</v>
      </c>
      <c r="N258" s="16">
        <f ca="1">SUM($M$9:M258)/A258</f>
        <v>334.74079999999992</v>
      </c>
    </row>
    <row r="259" spans="1:14" x14ac:dyDescent="0.25">
      <c r="A259" s="8">
        <v>251</v>
      </c>
      <c r="B259" s="9">
        <f t="shared" ref="B259:B322" ca="1" si="55">IF(I258=1,F258+Quantity,F258)</f>
        <v>1601</v>
      </c>
      <c r="C259" s="10">
        <f t="shared" ref="C259:C322" ca="1" si="56">IF(I258=1,Quantity,0)</f>
        <v>0</v>
      </c>
      <c r="D259" s="11">
        <f t="shared" ca="1" si="41"/>
        <v>0.27762445107997535</v>
      </c>
      <c r="E259" s="9">
        <f t="shared" ca="1" si="42"/>
        <v>370</v>
      </c>
      <c r="F259" s="9">
        <f t="shared" ca="1" si="46"/>
        <v>1231</v>
      </c>
      <c r="G259" s="12" t="str">
        <f t="shared" ca="1" si="47"/>
        <v>No</v>
      </c>
      <c r="H259" s="12">
        <f t="shared" ca="1" si="43"/>
        <v>0</v>
      </c>
      <c r="I259" s="10">
        <f t="shared" ref="I259:I322" ca="1" si="57">IF(I258&gt;0,I258-1,(IF(G259="Yes",(VLOOKUP(H259,LTD,3)),0)))</f>
        <v>0</v>
      </c>
      <c r="J259" s="13">
        <f t="shared" ref="J259:J322" ca="1" si="58">IF(G259="Yes",Order_Cost,0)</f>
        <v>0</v>
      </c>
      <c r="K259" s="14">
        <f t="shared" ref="K259:K322" ca="1" si="59">F259*Holding_Cost</f>
        <v>246.20000000000002</v>
      </c>
      <c r="L259" s="14">
        <f t="shared" ref="L259:L322" ca="1" si="60">IF(B259+C259&lt;E259,Shortage_Cost*(E259-B259-C259),0)</f>
        <v>0</v>
      </c>
      <c r="M259" s="15">
        <f t="shared" ref="M259:M322" ca="1" si="61">SUM(J259:L259)</f>
        <v>246.20000000000002</v>
      </c>
      <c r="N259" s="16">
        <f ca="1">SUM($M$9:M259)/A259</f>
        <v>334.38804780876484</v>
      </c>
    </row>
    <row r="260" spans="1:14" x14ac:dyDescent="0.25">
      <c r="A260" s="8">
        <v>252</v>
      </c>
      <c r="B260" s="9">
        <f t="shared" ca="1" si="55"/>
        <v>1231</v>
      </c>
      <c r="C260" s="10">
        <f t="shared" ca="1" si="56"/>
        <v>0</v>
      </c>
      <c r="D260" s="11">
        <f t="shared" ca="1" si="41"/>
        <v>0.13648541480600918</v>
      </c>
      <c r="E260" s="9">
        <f t="shared" ca="1" si="42"/>
        <v>345</v>
      </c>
      <c r="F260" s="9">
        <f t="shared" ca="1" si="46"/>
        <v>886</v>
      </c>
      <c r="G260" s="12" t="str">
        <f t="shared" ca="1" si="47"/>
        <v>Yes</v>
      </c>
      <c r="H260" s="12">
        <f t="shared" ca="1" si="43"/>
        <v>0.15124007357221159</v>
      </c>
      <c r="I260" s="10">
        <f t="shared" ca="1" si="57"/>
        <v>1</v>
      </c>
      <c r="J260" s="13">
        <f t="shared" ca="1" si="58"/>
        <v>300</v>
      </c>
      <c r="K260" s="14">
        <f t="shared" ca="1" si="59"/>
        <v>177.20000000000002</v>
      </c>
      <c r="L260" s="14">
        <f t="shared" ca="1" si="60"/>
        <v>0</v>
      </c>
      <c r="M260" s="15">
        <f t="shared" ca="1" si="61"/>
        <v>477.20000000000005</v>
      </c>
      <c r="N260" s="16">
        <f ca="1">SUM($M$9:M260)/A260</f>
        <v>334.95476190476182</v>
      </c>
    </row>
    <row r="261" spans="1:14" x14ac:dyDescent="0.25">
      <c r="A261" s="8">
        <v>253</v>
      </c>
      <c r="B261" s="9">
        <f t="shared" ca="1" si="55"/>
        <v>2686</v>
      </c>
      <c r="C261" s="10">
        <f t="shared" ca="1" si="56"/>
        <v>1800</v>
      </c>
      <c r="D261" s="11">
        <f t="shared" ca="1" si="41"/>
        <v>0.60285528087273399</v>
      </c>
      <c r="E261" s="9">
        <f t="shared" ca="1" si="42"/>
        <v>413</v>
      </c>
      <c r="F261" s="9">
        <f t="shared" ca="1" si="46"/>
        <v>2273</v>
      </c>
      <c r="G261" s="12" t="str">
        <f t="shared" ca="1" si="47"/>
        <v>No</v>
      </c>
      <c r="H261" s="12">
        <f t="shared" ca="1" si="43"/>
        <v>0</v>
      </c>
      <c r="I261" s="10">
        <f t="shared" ca="1" si="57"/>
        <v>0</v>
      </c>
      <c r="J261" s="13">
        <f t="shared" ca="1" si="58"/>
        <v>0</v>
      </c>
      <c r="K261" s="14">
        <f t="shared" ca="1" si="59"/>
        <v>454.6</v>
      </c>
      <c r="L261" s="14">
        <f t="shared" ca="1" si="60"/>
        <v>0</v>
      </c>
      <c r="M261" s="15">
        <f t="shared" ca="1" si="61"/>
        <v>454.6</v>
      </c>
      <c r="N261" s="16">
        <f ca="1">SUM($M$9:M261)/A261</f>
        <v>335.42766798418967</v>
      </c>
    </row>
    <row r="262" spans="1:14" x14ac:dyDescent="0.25">
      <c r="A262" s="8">
        <v>254</v>
      </c>
      <c r="B262" s="9">
        <f t="shared" ca="1" si="55"/>
        <v>2273</v>
      </c>
      <c r="C262" s="10">
        <f t="shared" ca="1" si="56"/>
        <v>0</v>
      </c>
      <c r="D262" s="11">
        <f t="shared" ca="1" si="41"/>
        <v>0.80244691637382437</v>
      </c>
      <c r="E262" s="9">
        <f t="shared" ca="1" si="42"/>
        <v>442</v>
      </c>
      <c r="F262" s="9">
        <f t="shared" ca="1" si="46"/>
        <v>1831</v>
      </c>
      <c r="G262" s="12" t="str">
        <f t="shared" ca="1" si="47"/>
        <v>No</v>
      </c>
      <c r="H262" s="12">
        <f t="shared" ca="1" si="43"/>
        <v>0</v>
      </c>
      <c r="I262" s="10">
        <f t="shared" ca="1" si="57"/>
        <v>0</v>
      </c>
      <c r="J262" s="13">
        <f t="shared" ca="1" si="58"/>
        <v>0</v>
      </c>
      <c r="K262" s="14">
        <f t="shared" ca="1" si="59"/>
        <v>366.20000000000005</v>
      </c>
      <c r="L262" s="14">
        <f t="shared" ca="1" si="60"/>
        <v>0</v>
      </c>
      <c r="M262" s="15">
        <f t="shared" ca="1" si="61"/>
        <v>366.20000000000005</v>
      </c>
      <c r="N262" s="16">
        <f ca="1">SUM($M$9:M262)/A262</f>
        <v>335.54881889763772</v>
      </c>
    </row>
    <row r="263" spans="1:14" x14ac:dyDescent="0.25">
      <c r="A263" s="8">
        <v>255</v>
      </c>
      <c r="B263" s="9">
        <f t="shared" ca="1" si="55"/>
        <v>1831</v>
      </c>
      <c r="C263" s="10">
        <f t="shared" ca="1" si="56"/>
        <v>0</v>
      </c>
      <c r="D263" s="11">
        <f t="shared" ca="1" si="41"/>
        <v>0.46028733183682291</v>
      </c>
      <c r="E263" s="9">
        <f t="shared" ca="1" si="42"/>
        <v>395</v>
      </c>
      <c r="F263" s="9">
        <f t="shared" ca="1" si="46"/>
        <v>1436</v>
      </c>
      <c r="G263" s="12" t="str">
        <f t="shared" ca="1" si="47"/>
        <v>No</v>
      </c>
      <c r="H263" s="12">
        <f t="shared" ca="1" si="43"/>
        <v>0</v>
      </c>
      <c r="I263" s="10">
        <f t="shared" ca="1" si="57"/>
        <v>0</v>
      </c>
      <c r="J263" s="13">
        <f t="shared" ca="1" si="58"/>
        <v>0</v>
      </c>
      <c r="K263" s="14">
        <f t="shared" ca="1" si="59"/>
        <v>287.2</v>
      </c>
      <c r="L263" s="14">
        <f t="shared" ca="1" si="60"/>
        <v>0</v>
      </c>
      <c r="M263" s="15">
        <f t="shared" ca="1" si="61"/>
        <v>287.2</v>
      </c>
      <c r="N263" s="16">
        <f ca="1">SUM($M$9:M263)/A263</f>
        <v>335.35921568627441</v>
      </c>
    </row>
    <row r="264" spans="1:14" x14ac:dyDescent="0.25">
      <c r="A264" s="8">
        <v>256</v>
      </c>
      <c r="B264" s="9">
        <f t="shared" ca="1" si="55"/>
        <v>1436</v>
      </c>
      <c r="C264" s="10">
        <f t="shared" ca="1" si="56"/>
        <v>0</v>
      </c>
      <c r="D264" s="11">
        <f t="shared" ca="1" si="41"/>
        <v>0.56689849224248057</v>
      </c>
      <c r="E264" s="9">
        <f t="shared" ca="1" si="42"/>
        <v>408</v>
      </c>
      <c r="F264" s="9">
        <f t="shared" ca="1" si="46"/>
        <v>1028</v>
      </c>
      <c r="G264" s="12" t="str">
        <f t="shared" ca="1" si="47"/>
        <v>No</v>
      </c>
      <c r="H264" s="12">
        <f t="shared" ca="1" si="43"/>
        <v>0</v>
      </c>
      <c r="I264" s="10">
        <f t="shared" ca="1" si="57"/>
        <v>0</v>
      </c>
      <c r="J264" s="13">
        <f t="shared" ca="1" si="58"/>
        <v>0</v>
      </c>
      <c r="K264" s="14">
        <f t="shared" ca="1" si="59"/>
        <v>205.60000000000002</v>
      </c>
      <c r="L264" s="14">
        <f t="shared" ca="1" si="60"/>
        <v>0</v>
      </c>
      <c r="M264" s="15">
        <f t="shared" ca="1" si="61"/>
        <v>205.60000000000002</v>
      </c>
      <c r="N264" s="16">
        <f ca="1">SUM($M$9:M264)/A264</f>
        <v>334.85234374999993</v>
      </c>
    </row>
    <row r="265" spans="1:14" x14ac:dyDescent="0.25">
      <c r="A265" s="8">
        <v>257</v>
      </c>
      <c r="B265" s="9">
        <f t="shared" ca="1" si="55"/>
        <v>1028</v>
      </c>
      <c r="C265" s="10">
        <f t="shared" ca="1" si="56"/>
        <v>0</v>
      </c>
      <c r="D265" s="11">
        <f t="shared" ca="1" si="41"/>
        <v>0.65377415884730938</v>
      </c>
      <c r="E265" s="9">
        <f t="shared" ca="1" si="42"/>
        <v>419</v>
      </c>
      <c r="F265" s="9">
        <f t="shared" ca="1" si="46"/>
        <v>609</v>
      </c>
      <c r="G265" s="12" t="str">
        <f t="shared" ca="1" si="47"/>
        <v>Yes</v>
      </c>
      <c r="H265" s="12">
        <f t="shared" ca="1" si="43"/>
        <v>0.50504050274390333</v>
      </c>
      <c r="I265" s="10">
        <f t="shared" ca="1" si="57"/>
        <v>1</v>
      </c>
      <c r="J265" s="13">
        <f t="shared" ca="1" si="58"/>
        <v>300</v>
      </c>
      <c r="K265" s="14">
        <f t="shared" ca="1" si="59"/>
        <v>121.80000000000001</v>
      </c>
      <c r="L265" s="14">
        <f t="shared" ca="1" si="60"/>
        <v>0</v>
      </c>
      <c r="M265" s="15">
        <f t="shared" ca="1" si="61"/>
        <v>421.8</v>
      </c>
      <c r="N265" s="16">
        <f ca="1">SUM($M$9:M265)/A265</f>
        <v>335.19066147859917</v>
      </c>
    </row>
    <row r="266" spans="1:14" x14ac:dyDescent="0.25">
      <c r="A266" s="8">
        <v>258</v>
      </c>
      <c r="B266" s="9">
        <f t="shared" ca="1" si="55"/>
        <v>2409</v>
      </c>
      <c r="C266" s="10">
        <f t="shared" ca="1" si="56"/>
        <v>1800</v>
      </c>
      <c r="D266" s="11">
        <f t="shared" ref="D266:D329" ca="1" si="62">RAND()</f>
        <v>0.15627330814924012</v>
      </c>
      <c r="E266" s="9">
        <f t="shared" ref="E266:E329" ca="1" si="63">INT(NORMINV(D266,D_Mean,D_StdDev))</f>
        <v>349</v>
      </c>
      <c r="F266" s="9">
        <f t="shared" ca="1" si="46"/>
        <v>2060</v>
      </c>
      <c r="G266" s="12" t="str">
        <f t="shared" ca="1" si="47"/>
        <v>No</v>
      </c>
      <c r="H266" s="12">
        <f t="shared" ref="H266:H329" ca="1" si="64">IF(G266="Yes",RAND(),0)</f>
        <v>0</v>
      </c>
      <c r="I266" s="10">
        <f t="shared" ca="1" si="57"/>
        <v>0</v>
      </c>
      <c r="J266" s="13">
        <f t="shared" ca="1" si="58"/>
        <v>0</v>
      </c>
      <c r="K266" s="14">
        <f t="shared" ca="1" si="59"/>
        <v>412</v>
      </c>
      <c r="L266" s="14">
        <f t="shared" ca="1" si="60"/>
        <v>0</v>
      </c>
      <c r="M266" s="15">
        <f t="shared" ca="1" si="61"/>
        <v>412</v>
      </c>
      <c r="N266" s="16">
        <f ca="1">SUM($M$9:M266)/A266</f>
        <v>335.4883720930232</v>
      </c>
    </row>
    <row r="267" spans="1:14" x14ac:dyDescent="0.25">
      <c r="A267" s="8">
        <v>259</v>
      </c>
      <c r="B267" s="9">
        <f t="shared" ca="1" si="55"/>
        <v>2060</v>
      </c>
      <c r="C267" s="10">
        <f t="shared" ca="1" si="56"/>
        <v>0</v>
      </c>
      <c r="D267" s="11">
        <f t="shared" ca="1" si="62"/>
        <v>0.74081327851765044</v>
      </c>
      <c r="E267" s="9">
        <f t="shared" ca="1" si="63"/>
        <v>432</v>
      </c>
      <c r="F267" s="9">
        <f t="shared" ref="F267:F330" ca="1" si="65">IF(B267+C267-E267&lt;0,0,B267-E267)</f>
        <v>1628</v>
      </c>
      <c r="G267" s="12" t="str">
        <f t="shared" ca="1" si="47"/>
        <v>No</v>
      </c>
      <c r="H267" s="12">
        <f t="shared" ca="1" si="64"/>
        <v>0</v>
      </c>
      <c r="I267" s="10">
        <f t="shared" ca="1" si="57"/>
        <v>0</v>
      </c>
      <c r="J267" s="13">
        <f t="shared" ca="1" si="58"/>
        <v>0</v>
      </c>
      <c r="K267" s="14">
        <f t="shared" ca="1" si="59"/>
        <v>325.60000000000002</v>
      </c>
      <c r="L267" s="14">
        <f t="shared" ca="1" si="60"/>
        <v>0</v>
      </c>
      <c r="M267" s="15">
        <f t="shared" ca="1" si="61"/>
        <v>325.60000000000002</v>
      </c>
      <c r="N267" s="16">
        <f ca="1">SUM($M$9:M267)/A267</f>
        <v>335.45019305019304</v>
      </c>
    </row>
    <row r="268" spans="1:14" x14ac:dyDescent="0.25">
      <c r="A268" s="8">
        <v>260</v>
      </c>
      <c r="B268" s="9">
        <f t="shared" ca="1" si="55"/>
        <v>1628</v>
      </c>
      <c r="C268" s="10">
        <f t="shared" ca="1" si="56"/>
        <v>0</v>
      </c>
      <c r="D268" s="11">
        <f t="shared" ca="1" si="62"/>
        <v>0.80857135857864471</v>
      </c>
      <c r="E268" s="9">
        <f t="shared" ca="1" si="63"/>
        <v>443</v>
      </c>
      <c r="F268" s="9">
        <f t="shared" ca="1" si="65"/>
        <v>1185</v>
      </c>
      <c r="G268" s="12" t="str">
        <f t="shared" ref="G268:G331" ca="1" si="66">IF(B268&lt;Point,IF(I267=0,"Yes","No"),"No")</f>
        <v>No</v>
      </c>
      <c r="H268" s="12">
        <f t="shared" ca="1" si="64"/>
        <v>0</v>
      </c>
      <c r="I268" s="10">
        <f t="shared" ca="1" si="57"/>
        <v>0</v>
      </c>
      <c r="J268" s="13">
        <f t="shared" ca="1" si="58"/>
        <v>0</v>
      </c>
      <c r="K268" s="14">
        <f t="shared" ca="1" si="59"/>
        <v>237</v>
      </c>
      <c r="L268" s="14">
        <f t="shared" ca="1" si="60"/>
        <v>0</v>
      </c>
      <c r="M268" s="15">
        <f t="shared" ca="1" si="61"/>
        <v>237</v>
      </c>
      <c r="N268" s="16">
        <f ca="1">SUM($M$9:M268)/A268</f>
        <v>335.07153846153841</v>
      </c>
    </row>
    <row r="269" spans="1:14" x14ac:dyDescent="0.25">
      <c r="A269" s="8">
        <v>261</v>
      </c>
      <c r="B269" s="9">
        <f t="shared" ca="1" si="55"/>
        <v>1185</v>
      </c>
      <c r="C269" s="10">
        <f t="shared" ca="1" si="56"/>
        <v>0</v>
      </c>
      <c r="D269" s="11">
        <f t="shared" ca="1" si="62"/>
        <v>0.24038349426878092</v>
      </c>
      <c r="E269" s="9">
        <f t="shared" ca="1" si="63"/>
        <v>364</v>
      </c>
      <c r="F269" s="9">
        <f t="shared" ca="1" si="65"/>
        <v>821</v>
      </c>
      <c r="G269" s="12" t="str">
        <f t="shared" ca="1" si="66"/>
        <v>Yes</v>
      </c>
      <c r="H269" s="12">
        <f t="shared" ca="1" si="64"/>
        <v>0.24268657950031491</v>
      </c>
      <c r="I269" s="10">
        <f t="shared" ca="1" si="57"/>
        <v>1</v>
      </c>
      <c r="J269" s="13">
        <f t="shared" ca="1" si="58"/>
        <v>300</v>
      </c>
      <c r="K269" s="14">
        <f t="shared" ca="1" si="59"/>
        <v>164.20000000000002</v>
      </c>
      <c r="L269" s="14">
        <f t="shared" ca="1" si="60"/>
        <v>0</v>
      </c>
      <c r="M269" s="15">
        <f t="shared" ca="1" si="61"/>
        <v>464.20000000000005</v>
      </c>
      <c r="N269" s="16">
        <f ca="1">SUM($M$9:M269)/A269</f>
        <v>335.56628352490418</v>
      </c>
    </row>
    <row r="270" spans="1:14" x14ac:dyDescent="0.25">
      <c r="A270" s="8">
        <v>262</v>
      </c>
      <c r="B270" s="9">
        <f t="shared" ca="1" si="55"/>
        <v>2621</v>
      </c>
      <c r="C270" s="10">
        <f t="shared" ca="1" si="56"/>
        <v>1800</v>
      </c>
      <c r="D270" s="11">
        <f t="shared" ca="1" si="62"/>
        <v>0.39132909809804928</v>
      </c>
      <c r="E270" s="9">
        <f t="shared" ca="1" si="63"/>
        <v>386</v>
      </c>
      <c r="F270" s="9">
        <f t="shared" ca="1" si="65"/>
        <v>2235</v>
      </c>
      <c r="G270" s="12" t="str">
        <f t="shared" ca="1" si="66"/>
        <v>No</v>
      </c>
      <c r="H270" s="12">
        <f t="shared" ca="1" si="64"/>
        <v>0</v>
      </c>
      <c r="I270" s="10">
        <f t="shared" ca="1" si="57"/>
        <v>0</v>
      </c>
      <c r="J270" s="13">
        <f t="shared" ca="1" si="58"/>
        <v>0</v>
      </c>
      <c r="K270" s="14">
        <f t="shared" ca="1" si="59"/>
        <v>447</v>
      </c>
      <c r="L270" s="14">
        <f t="shared" ca="1" si="60"/>
        <v>0</v>
      </c>
      <c r="M270" s="15">
        <f t="shared" ca="1" si="61"/>
        <v>447</v>
      </c>
      <c r="N270" s="16">
        <f ca="1">SUM($M$9:M270)/A270</f>
        <v>335.99160305343509</v>
      </c>
    </row>
    <row r="271" spans="1:14" x14ac:dyDescent="0.25">
      <c r="A271" s="8">
        <v>263</v>
      </c>
      <c r="B271" s="9">
        <f t="shared" ca="1" si="55"/>
        <v>2235</v>
      </c>
      <c r="C271" s="10">
        <f t="shared" ca="1" si="56"/>
        <v>0</v>
      </c>
      <c r="D271" s="11">
        <f t="shared" ca="1" si="62"/>
        <v>0.1887930186586344</v>
      </c>
      <c r="E271" s="9">
        <f t="shared" ca="1" si="63"/>
        <v>355</v>
      </c>
      <c r="F271" s="9">
        <f t="shared" ca="1" si="65"/>
        <v>1880</v>
      </c>
      <c r="G271" s="12" t="str">
        <f t="shared" ca="1" si="66"/>
        <v>No</v>
      </c>
      <c r="H271" s="12">
        <f t="shared" ca="1" si="64"/>
        <v>0</v>
      </c>
      <c r="I271" s="10">
        <f t="shared" ca="1" si="57"/>
        <v>0</v>
      </c>
      <c r="J271" s="13">
        <f t="shared" ca="1" si="58"/>
        <v>0</v>
      </c>
      <c r="K271" s="14">
        <f t="shared" ca="1" si="59"/>
        <v>376</v>
      </c>
      <c r="L271" s="14">
        <f t="shared" ca="1" si="60"/>
        <v>0</v>
      </c>
      <c r="M271" s="15">
        <f t="shared" ca="1" si="61"/>
        <v>376</v>
      </c>
      <c r="N271" s="16">
        <f ca="1">SUM($M$9:M271)/A271</f>
        <v>336.14372623574138</v>
      </c>
    </row>
    <row r="272" spans="1:14" x14ac:dyDescent="0.25">
      <c r="A272" s="8">
        <v>264</v>
      </c>
      <c r="B272" s="9">
        <f t="shared" ca="1" si="55"/>
        <v>1880</v>
      </c>
      <c r="C272" s="10">
        <f t="shared" ca="1" si="56"/>
        <v>0</v>
      </c>
      <c r="D272" s="11">
        <f t="shared" ca="1" si="62"/>
        <v>0.23820486976763799</v>
      </c>
      <c r="E272" s="9">
        <f t="shared" ca="1" si="63"/>
        <v>364</v>
      </c>
      <c r="F272" s="9">
        <f t="shared" ca="1" si="65"/>
        <v>1516</v>
      </c>
      <c r="G272" s="12" t="str">
        <f t="shared" ca="1" si="66"/>
        <v>No</v>
      </c>
      <c r="H272" s="12">
        <f t="shared" ca="1" si="64"/>
        <v>0</v>
      </c>
      <c r="I272" s="10">
        <f t="shared" ca="1" si="57"/>
        <v>0</v>
      </c>
      <c r="J272" s="13">
        <f t="shared" ca="1" si="58"/>
        <v>0</v>
      </c>
      <c r="K272" s="14">
        <f t="shared" ca="1" si="59"/>
        <v>303.2</v>
      </c>
      <c r="L272" s="14">
        <f t="shared" ca="1" si="60"/>
        <v>0</v>
      </c>
      <c r="M272" s="15">
        <f t="shared" ca="1" si="61"/>
        <v>303.2</v>
      </c>
      <c r="N272" s="16">
        <f ca="1">SUM($M$9:M272)/A272</f>
        <v>336.01893939393932</v>
      </c>
    </row>
    <row r="273" spans="1:14" x14ac:dyDescent="0.25">
      <c r="A273" s="8">
        <v>265</v>
      </c>
      <c r="B273" s="9">
        <f t="shared" ca="1" si="55"/>
        <v>1516</v>
      </c>
      <c r="C273" s="10">
        <f t="shared" ca="1" si="56"/>
        <v>0</v>
      </c>
      <c r="D273" s="11">
        <f t="shared" ca="1" si="62"/>
        <v>0.44210241749506507</v>
      </c>
      <c r="E273" s="9">
        <f t="shared" ca="1" si="63"/>
        <v>392</v>
      </c>
      <c r="F273" s="9">
        <f t="shared" ca="1" si="65"/>
        <v>1124</v>
      </c>
      <c r="G273" s="12" t="str">
        <f t="shared" ca="1" si="66"/>
        <v>No</v>
      </c>
      <c r="H273" s="12">
        <f t="shared" ca="1" si="64"/>
        <v>0</v>
      </c>
      <c r="I273" s="10">
        <f t="shared" ca="1" si="57"/>
        <v>0</v>
      </c>
      <c r="J273" s="13">
        <f t="shared" ca="1" si="58"/>
        <v>0</v>
      </c>
      <c r="K273" s="14">
        <f t="shared" ca="1" si="59"/>
        <v>224.8</v>
      </c>
      <c r="L273" s="14">
        <f t="shared" ca="1" si="60"/>
        <v>0</v>
      </c>
      <c r="M273" s="15">
        <f t="shared" ca="1" si="61"/>
        <v>224.8</v>
      </c>
      <c r="N273" s="16">
        <f ca="1">SUM($M$9:M273)/A273</f>
        <v>335.59924528301883</v>
      </c>
    </row>
    <row r="274" spans="1:14" x14ac:dyDescent="0.25">
      <c r="A274" s="8">
        <v>266</v>
      </c>
      <c r="B274" s="9">
        <f t="shared" ca="1" si="55"/>
        <v>1124</v>
      </c>
      <c r="C274" s="10">
        <f t="shared" ca="1" si="56"/>
        <v>0</v>
      </c>
      <c r="D274" s="11">
        <f t="shared" ca="1" si="62"/>
        <v>0.36815445275026026</v>
      </c>
      <c r="E274" s="9">
        <f t="shared" ca="1" si="63"/>
        <v>383</v>
      </c>
      <c r="F274" s="9">
        <f t="shared" ca="1" si="65"/>
        <v>741</v>
      </c>
      <c r="G274" s="12" t="str">
        <f t="shared" ca="1" si="66"/>
        <v>Yes</v>
      </c>
      <c r="H274" s="12">
        <f t="shared" ca="1" si="64"/>
        <v>0.38975107466191994</v>
      </c>
      <c r="I274" s="10">
        <f t="shared" ca="1" si="57"/>
        <v>1</v>
      </c>
      <c r="J274" s="13">
        <f t="shared" ca="1" si="58"/>
        <v>300</v>
      </c>
      <c r="K274" s="14">
        <f t="shared" ca="1" si="59"/>
        <v>148.20000000000002</v>
      </c>
      <c r="L274" s="14">
        <f t="shared" ca="1" si="60"/>
        <v>0</v>
      </c>
      <c r="M274" s="15">
        <f t="shared" ca="1" si="61"/>
        <v>448.20000000000005</v>
      </c>
      <c r="N274" s="16">
        <f ca="1">SUM($M$9:M274)/A274</f>
        <v>336.0225563909774</v>
      </c>
    </row>
    <row r="275" spans="1:14" x14ac:dyDescent="0.25">
      <c r="A275" s="8">
        <v>267</v>
      </c>
      <c r="B275" s="9">
        <f t="shared" ca="1" si="55"/>
        <v>2541</v>
      </c>
      <c r="C275" s="10">
        <f t="shared" ca="1" si="56"/>
        <v>1800</v>
      </c>
      <c r="D275" s="11">
        <f t="shared" ca="1" si="62"/>
        <v>0.99645617184515145</v>
      </c>
      <c r="E275" s="9">
        <f t="shared" ca="1" si="63"/>
        <v>534</v>
      </c>
      <c r="F275" s="9">
        <f t="shared" ca="1" si="65"/>
        <v>2007</v>
      </c>
      <c r="G275" s="12" t="str">
        <f t="shared" ca="1" si="66"/>
        <v>No</v>
      </c>
      <c r="H275" s="12">
        <f t="shared" ca="1" si="64"/>
        <v>0</v>
      </c>
      <c r="I275" s="10">
        <f t="shared" ca="1" si="57"/>
        <v>0</v>
      </c>
      <c r="J275" s="13">
        <f t="shared" ca="1" si="58"/>
        <v>0</v>
      </c>
      <c r="K275" s="14">
        <f t="shared" ca="1" si="59"/>
        <v>401.40000000000003</v>
      </c>
      <c r="L275" s="14">
        <f t="shared" ca="1" si="60"/>
        <v>0</v>
      </c>
      <c r="M275" s="15">
        <f t="shared" ca="1" si="61"/>
        <v>401.40000000000003</v>
      </c>
      <c r="N275" s="16">
        <f ca="1">SUM($M$9:M275)/A275</f>
        <v>336.26741573033701</v>
      </c>
    </row>
    <row r="276" spans="1:14" x14ac:dyDescent="0.25">
      <c r="A276" s="8">
        <v>268</v>
      </c>
      <c r="B276" s="9">
        <f t="shared" ca="1" si="55"/>
        <v>2007</v>
      </c>
      <c r="C276" s="10">
        <f t="shared" ca="1" si="56"/>
        <v>0</v>
      </c>
      <c r="D276" s="11">
        <f t="shared" ca="1" si="62"/>
        <v>1.6026368486029008E-2</v>
      </c>
      <c r="E276" s="9">
        <f t="shared" ca="1" si="63"/>
        <v>292</v>
      </c>
      <c r="F276" s="9">
        <f t="shared" ca="1" si="65"/>
        <v>1715</v>
      </c>
      <c r="G276" s="12" t="str">
        <f t="shared" ca="1" si="66"/>
        <v>No</v>
      </c>
      <c r="H276" s="12">
        <f t="shared" ca="1" si="64"/>
        <v>0</v>
      </c>
      <c r="I276" s="10">
        <f t="shared" ca="1" si="57"/>
        <v>0</v>
      </c>
      <c r="J276" s="13">
        <f t="shared" ca="1" si="58"/>
        <v>0</v>
      </c>
      <c r="K276" s="14">
        <f t="shared" ca="1" si="59"/>
        <v>343</v>
      </c>
      <c r="L276" s="14">
        <f t="shared" ca="1" si="60"/>
        <v>0</v>
      </c>
      <c r="M276" s="15">
        <f t="shared" ca="1" si="61"/>
        <v>343</v>
      </c>
      <c r="N276" s="16">
        <f ca="1">SUM($M$9:M276)/A276</f>
        <v>336.29253731343277</v>
      </c>
    </row>
    <row r="277" spans="1:14" x14ac:dyDescent="0.25">
      <c r="A277" s="8">
        <v>269</v>
      </c>
      <c r="B277" s="9">
        <f t="shared" ca="1" si="55"/>
        <v>1715</v>
      </c>
      <c r="C277" s="10">
        <f t="shared" ca="1" si="56"/>
        <v>0</v>
      </c>
      <c r="D277" s="11">
        <f t="shared" ca="1" si="62"/>
        <v>0.64424632160712925</v>
      </c>
      <c r="E277" s="9">
        <f t="shared" ca="1" si="63"/>
        <v>418</v>
      </c>
      <c r="F277" s="9">
        <f t="shared" ca="1" si="65"/>
        <v>1297</v>
      </c>
      <c r="G277" s="12" t="str">
        <f t="shared" ca="1" si="66"/>
        <v>No</v>
      </c>
      <c r="H277" s="12">
        <f t="shared" ca="1" si="64"/>
        <v>0</v>
      </c>
      <c r="I277" s="10">
        <f t="shared" ca="1" si="57"/>
        <v>0</v>
      </c>
      <c r="J277" s="13">
        <f t="shared" ca="1" si="58"/>
        <v>0</v>
      </c>
      <c r="K277" s="14">
        <f t="shared" ca="1" si="59"/>
        <v>259.40000000000003</v>
      </c>
      <c r="L277" s="14">
        <f t="shared" ca="1" si="60"/>
        <v>0</v>
      </c>
      <c r="M277" s="15">
        <f t="shared" ca="1" si="61"/>
        <v>259.40000000000003</v>
      </c>
      <c r="N277" s="16">
        <f ca="1">SUM($M$9:M277)/A277</f>
        <v>336.00669144981401</v>
      </c>
    </row>
    <row r="278" spans="1:14" x14ac:dyDescent="0.25">
      <c r="A278" s="8">
        <v>270</v>
      </c>
      <c r="B278" s="9">
        <f t="shared" ca="1" si="55"/>
        <v>1297</v>
      </c>
      <c r="C278" s="10">
        <f t="shared" ca="1" si="56"/>
        <v>0</v>
      </c>
      <c r="D278" s="11">
        <f t="shared" ca="1" si="62"/>
        <v>0.28356735630978602</v>
      </c>
      <c r="E278" s="9">
        <f t="shared" ca="1" si="63"/>
        <v>371</v>
      </c>
      <c r="F278" s="9">
        <f t="shared" ca="1" si="65"/>
        <v>926</v>
      </c>
      <c r="G278" s="12" t="str">
        <f t="shared" ca="1" si="66"/>
        <v>Yes</v>
      </c>
      <c r="H278" s="12">
        <f t="shared" ca="1" si="64"/>
        <v>0.10268619961930892</v>
      </c>
      <c r="I278" s="10">
        <f t="shared" ca="1" si="57"/>
        <v>1</v>
      </c>
      <c r="J278" s="13">
        <f t="shared" ca="1" si="58"/>
        <v>300</v>
      </c>
      <c r="K278" s="14">
        <f t="shared" ca="1" si="59"/>
        <v>185.20000000000002</v>
      </c>
      <c r="L278" s="14">
        <f t="shared" ca="1" si="60"/>
        <v>0</v>
      </c>
      <c r="M278" s="15">
        <f t="shared" ca="1" si="61"/>
        <v>485.20000000000005</v>
      </c>
      <c r="N278" s="16">
        <f ca="1">SUM($M$9:M278)/A278</f>
        <v>336.55925925925914</v>
      </c>
    </row>
    <row r="279" spans="1:14" x14ac:dyDescent="0.25">
      <c r="A279" s="8">
        <v>271</v>
      </c>
      <c r="B279" s="9">
        <f t="shared" ca="1" si="55"/>
        <v>2726</v>
      </c>
      <c r="C279" s="10">
        <f t="shared" ca="1" si="56"/>
        <v>1800</v>
      </c>
      <c r="D279" s="11">
        <f t="shared" ca="1" si="62"/>
        <v>0.6039452565542518</v>
      </c>
      <c r="E279" s="9">
        <f t="shared" ca="1" si="63"/>
        <v>413</v>
      </c>
      <c r="F279" s="9">
        <f t="shared" ca="1" si="65"/>
        <v>2313</v>
      </c>
      <c r="G279" s="12" t="str">
        <f t="shared" ca="1" si="66"/>
        <v>No</v>
      </c>
      <c r="H279" s="12">
        <f t="shared" ca="1" si="64"/>
        <v>0</v>
      </c>
      <c r="I279" s="10">
        <f t="shared" ca="1" si="57"/>
        <v>0</v>
      </c>
      <c r="J279" s="13">
        <f t="shared" ca="1" si="58"/>
        <v>0</v>
      </c>
      <c r="K279" s="14">
        <f t="shared" ca="1" si="59"/>
        <v>462.6</v>
      </c>
      <c r="L279" s="14">
        <f t="shared" ca="1" si="60"/>
        <v>0</v>
      </c>
      <c r="M279" s="15">
        <f t="shared" ca="1" si="61"/>
        <v>462.6</v>
      </c>
      <c r="N279" s="16">
        <f ca="1">SUM($M$9:M279)/A279</f>
        <v>337.02435424354235</v>
      </c>
    </row>
    <row r="280" spans="1:14" x14ac:dyDescent="0.25">
      <c r="A280" s="8">
        <v>272</v>
      </c>
      <c r="B280" s="9">
        <f t="shared" ca="1" si="55"/>
        <v>2313</v>
      </c>
      <c r="C280" s="10">
        <f t="shared" ca="1" si="56"/>
        <v>0</v>
      </c>
      <c r="D280" s="11">
        <f t="shared" ca="1" si="62"/>
        <v>0.96937743640572682</v>
      </c>
      <c r="E280" s="9">
        <f t="shared" ca="1" si="63"/>
        <v>493</v>
      </c>
      <c r="F280" s="9">
        <f t="shared" ca="1" si="65"/>
        <v>1820</v>
      </c>
      <c r="G280" s="12" t="str">
        <f t="shared" ca="1" si="66"/>
        <v>No</v>
      </c>
      <c r="H280" s="12">
        <f t="shared" ca="1" si="64"/>
        <v>0</v>
      </c>
      <c r="I280" s="10">
        <f t="shared" ca="1" si="57"/>
        <v>0</v>
      </c>
      <c r="J280" s="13">
        <f t="shared" ca="1" si="58"/>
        <v>0</v>
      </c>
      <c r="K280" s="14">
        <f t="shared" ca="1" si="59"/>
        <v>364</v>
      </c>
      <c r="L280" s="14">
        <f t="shared" ca="1" si="60"/>
        <v>0</v>
      </c>
      <c r="M280" s="15">
        <f t="shared" ca="1" si="61"/>
        <v>364</v>
      </c>
      <c r="N280" s="16">
        <f ca="1">SUM($M$9:M280)/A280</f>
        <v>337.12352941176459</v>
      </c>
    </row>
    <row r="281" spans="1:14" x14ac:dyDescent="0.25">
      <c r="A281" s="8">
        <v>273</v>
      </c>
      <c r="B281" s="9">
        <f t="shared" ca="1" si="55"/>
        <v>1820</v>
      </c>
      <c r="C281" s="10">
        <f t="shared" ca="1" si="56"/>
        <v>0</v>
      </c>
      <c r="D281" s="11">
        <f t="shared" ca="1" si="62"/>
        <v>0.47116295146464904</v>
      </c>
      <c r="E281" s="9">
        <f t="shared" ca="1" si="63"/>
        <v>396</v>
      </c>
      <c r="F281" s="9">
        <f t="shared" ca="1" si="65"/>
        <v>1424</v>
      </c>
      <c r="G281" s="12" t="str">
        <f t="shared" ca="1" si="66"/>
        <v>No</v>
      </c>
      <c r="H281" s="12">
        <f t="shared" ca="1" si="64"/>
        <v>0</v>
      </c>
      <c r="I281" s="10">
        <f t="shared" ca="1" si="57"/>
        <v>0</v>
      </c>
      <c r="J281" s="13">
        <f t="shared" ca="1" si="58"/>
        <v>0</v>
      </c>
      <c r="K281" s="14">
        <f t="shared" ca="1" si="59"/>
        <v>284.8</v>
      </c>
      <c r="L281" s="14">
        <f t="shared" ca="1" si="60"/>
        <v>0</v>
      </c>
      <c r="M281" s="15">
        <f t="shared" ca="1" si="61"/>
        <v>284.8</v>
      </c>
      <c r="N281" s="16">
        <f ca="1">SUM($M$9:M281)/A281</f>
        <v>336.93186813186804</v>
      </c>
    </row>
    <row r="282" spans="1:14" x14ac:dyDescent="0.25">
      <c r="A282" s="8">
        <v>274</v>
      </c>
      <c r="B282" s="9">
        <f t="shared" ca="1" si="55"/>
        <v>1424</v>
      </c>
      <c r="C282" s="10">
        <f t="shared" ca="1" si="56"/>
        <v>0</v>
      </c>
      <c r="D282" s="11">
        <f t="shared" ca="1" si="62"/>
        <v>0.79373694120939531</v>
      </c>
      <c r="E282" s="9">
        <f t="shared" ca="1" si="63"/>
        <v>440</v>
      </c>
      <c r="F282" s="9">
        <f t="shared" ca="1" si="65"/>
        <v>984</v>
      </c>
      <c r="G282" s="12" t="str">
        <f t="shared" ca="1" si="66"/>
        <v>No</v>
      </c>
      <c r="H282" s="12">
        <f t="shared" ca="1" si="64"/>
        <v>0</v>
      </c>
      <c r="I282" s="10">
        <f t="shared" ca="1" si="57"/>
        <v>0</v>
      </c>
      <c r="J282" s="13">
        <f t="shared" ca="1" si="58"/>
        <v>0</v>
      </c>
      <c r="K282" s="14">
        <f t="shared" ca="1" si="59"/>
        <v>196.8</v>
      </c>
      <c r="L282" s="14">
        <f t="shared" ca="1" si="60"/>
        <v>0</v>
      </c>
      <c r="M282" s="15">
        <f t="shared" ca="1" si="61"/>
        <v>196.8</v>
      </c>
      <c r="N282" s="16">
        <f ca="1">SUM($M$9:M282)/A282</f>
        <v>336.4204379562043</v>
      </c>
    </row>
    <row r="283" spans="1:14" x14ac:dyDescent="0.25">
      <c r="A283" s="8">
        <v>275</v>
      </c>
      <c r="B283" s="9">
        <f t="shared" ca="1" si="55"/>
        <v>984</v>
      </c>
      <c r="C283" s="10">
        <f t="shared" ca="1" si="56"/>
        <v>0</v>
      </c>
      <c r="D283" s="11">
        <f t="shared" ca="1" si="62"/>
        <v>0.41395646268997655</v>
      </c>
      <c r="E283" s="9">
        <f t="shared" ca="1" si="63"/>
        <v>389</v>
      </c>
      <c r="F283" s="9">
        <f t="shared" ca="1" si="65"/>
        <v>595</v>
      </c>
      <c r="G283" s="12" t="str">
        <f t="shared" ca="1" si="66"/>
        <v>Yes</v>
      </c>
      <c r="H283" s="12">
        <f t="shared" ca="1" si="64"/>
        <v>0.28399694016122401</v>
      </c>
      <c r="I283" s="10">
        <f t="shared" ca="1" si="57"/>
        <v>1</v>
      </c>
      <c r="J283" s="13">
        <f t="shared" ca="1" si="58"/>
        <v>300</v>
      </c>
      <c r="K283" s="14">
        <f t="shared" ca="1" si="59"/>
        <v>119</v>
      </c>
      <c r="L283" s="14">
        <f t="shared" ca="1" si="60"/>
        <v>0</v>
      </c>
      <c r="M283" s="15">
        <f t="shared" ca="1" si="61"/>
        <v>419</v>
      </c>
      <c r="N283" s="16">
        <f ca="1">SUM($M$9:M283)/A283</f>
        <v>336.72072727272723</v>
      </c>
    </row>
    <row r="284" spans="1:14" x14ac:dyDescent="0.25">
      <c r="A284" s="8">
        <v>276</v>
      </c>
      <c r="B284" s="9">
        <f t="shared" ca="1" si="55"/>
        <v>2395</v>
      </c>
      <c r="C284" s="10">
        <f t="shared" ca="1" si="56"/>
        <v>1800</v>
      </c>
      <c r="D284" s="11">
        <f t="shared" ca="1" si="62"/>
        <v>0.75603936722090481</v>
      </c>
      <c r="E284" s="9">
        <f t="shared" ca="1" si="63"/>
        <v>434</v>
      </c>
      <c r="F284" s="9">
        <f t="shared" ca="1" si="65"/>
        <v>1961</v>
      </c>
      <c r="G284" s="12" t="str">
        <f t="shared" ca="1" si="66"/>
        <v>No</v>
      </c>
      <c r="H284" s="12">
        <f t="shared" ca="1" si="64"/>
        <v>0</v>
      </c>
      <c r="I284" s="10">
        <f t="shared" ca="1" si="57"/>
        <v>0</v>
      </c>
      <c r="J284" s="13">
        <f t="shared" ca="1" si="58"/>
        <v>0</v>
      </c>
      <c r="K284" s="14">
        <f t="shared" ca="1" si="59"/>
        <v>392.20000000000005</v>
      </c>
      <c r="L284" s="14">
        <f t="shared" ca="1" si="60"/>
        <v>0</v>
      </c>
      <c r="M284" s="15">
        <f t="shared" ca="1" si="61"/>
        <v>392.20000000000005</v>
      </c>
      <c r="N284" s="16">
        <f ca="1">SUM($M$9:M284)/A284</f>
        <v>336.92173913043473</v>
      </c>
    </row>
    <row r="285" spans="1:14" x14ac:dyDescent="0.25">
      <c r="A285" s="8">
        <v>277</v>
      </c>
      <c r="B285" s="9">
        <f t="shared" ca="1" si="55"/>
        <v>1961</v>
      </c>
      <c r="C285" s="10">
        <f t="shared" ca="1" si="56"/>
        <v>0</v>
      </c>
      <c r="D285" s="11">
        <f t="shared" ca="1" si="62"/>
        <v>0.35166664396442593</v>
      </c>
      <c r="E285" s="9">
        <f t="shared" ca="1" si="63"/>
        <v>380</v>
      </c>
      <c r="F285" s="9">
        <f t="shared" ca="1" si="65"/>
        <v>1581</v>
      </c>
      <c r="G285" s="12" t="str">
        <f t="shared" ca="1" si="66"/>
        <v>No</v>
      </c>
      <c r="H285" s="12">
        <f t="shared" ca="1" si="64"/>
        <v>0</v>
      </c>
      <c r="I285" s="10">
        <f t="shared" ca="1" si="57"/>
        <v>0</v>
      </c>
      <c r="J285" s="13">
        <f t="shared" ca="1" si="58"/>
        <v>0</v>
      </c>
      <c r="K285" s="14">
        <f t="shared" ca="1" si="59"/>
        <v>316.20000000000005</v>
      </c>
      <c r="L285" s="14">
        <f t="shared" ca="1" si="60"/>
        <v>0</v>
      </c>
      <c r="M285" s="15">
        <f t="shared" ca="1" si="61"/>
        <v>316.20000000000005</v>
      </c>
      <c r="N285" s="16">
        <f ca="1">SUM($M$9:M285)/A285</f>
        <v>336.84693140794218</v>
      </c>
    </row>
    <row r="286" spans="1:14" x14ac:dyDescent="0.25">
      <c r="A286" s="8">
        <v>278</v>
      </c>
      <c r="B286" s="9">
        <f t="shared" ca="1" si="55"/>
        <v>1581</v>
      </c>
      <c r="C286" s="10">
        <f t="shared" ca="1" si="56"/>
        <v>0</v>
      </c>
      <c r="D286" s="11">
        <f t="shared" ca="1" si="62"/>
        <v>0.2388231299557515</v>
      </c>
      <c r="E286" s="9">
        <f t="shared" ca="1" si="63"/>
        <v>364</v>
      </c>
      <c r="F286" s="9">
        <f t="shared" ca="1" si="65"/>
        <v>1217</v>
      </c>
      <c r="G286" s="12" t="str">
        <f t="shared" ca="1" si="66"/>
        <v>No</v>
      </c>
      <c r="H286" s="12">
        <f t="shared" ca="1" si="64"/>
        <v>0</v>
      </c>
      <c r="I286" s="10">
        <f t="shared" ca="1" si="57"/>
        <v>0</v>
      </c>
      <c r="J286" s="13">
        <f t="shared" ca="1" si="58"/>
        <v>0</v>
      </c>
      <c r="K286" s="14">
        <f t="shared" ca="1" si="59"/>
        <v>243.4</v>
      </c>
      <c r="L286" s="14">
        <f t="shared" ca="1" si="60"/>
        <v>0</v>
      </c>
      <c r="M286" s="15">
        <f t="shared" ca="1" si="61"/>
        <v>243.4</v>
      </c>
      <c r="N286" s="16">
        <f ca="1">SUM($M$9:M286)/A286</f>
        <v>336.51079136690635</v>
      </c>
    </row>
    <row r="287" spans="1:14" x14ac:dyDescent="0.25">
      <c r="A287" s="8">
        <v>279</v>
      </c>
      <c r="B287" s="9">
        <f t="shared" ca="1" si="55"/>
        <v>1217</v>
      </c>
      <c r="C287" s="10">
        <f t="shared" ca="1" si="56"/>
        <v>0</v>
      </c>
      <c r="D287" s="11">
        <f t="shared" ca="1" si="62"/>
        <v>0.19593373364767119</v>
      </c>
      <c r="E287" s="9">
        <f t="shared" ca="1" si="63"/>
        <v>357</v>
      </c>
      <c r="F287" s="9">
        <f t="shared" ca="1" si="65"/>
        <v>860</v>
      </c>
      <c r="G287" s="12" t="str">
        <f t="shared" ca="1" si="66"/>
        <v>Yes</v>
      </c>
      <c r="H287" s="12">
        <f t="shared" ca="1" si="64"/>
        <v>0.71259805413237498</v>
      </c>
      <c r="I287" s="10">
        <f t="shared" ca="1" si="57"/>
        <v>2</v>
      </c>
      <c r="J287" s="13">
        <f t="shared" ca="1" si="58"/>
        <v>300</v>
      </c>
      <c r="K287" s="14">
        <f t="shared" ca="1" si="59"/>
        <v>172</v>
      </c>
      <c r="L287" s="14">
        <f t="shared" ca="1" si="60"/>
        <v>0</v>
      </c>
      <c r="M287" s="15">
        <f t="shared" ca="1" si="61"/>
        <v>472</v>
      </c>
      <c r="N287" s="16">
        <f ca="1">SUM($M$9:M287)/A287</f>
        <v>336.99641577060919</v>
      </c>
    </row>
    <row r="288" spans="1:14" x14ac:dyDescent="0.25">
      <c r="A288" s="8">
        <v>280</v>
      </c>
      <c r="B288" s="9">
        <f t="shared" ca="1" si="55"/>
        <v>860</v>
      </c>
      <c r="C288" s="10">
        <f t="shared" ca="1" si="56"/>
        <v>0</v>
      </c>
      <c r="D288" s="11">
        <f t="shared" ca="1" si="62"/>
        <v>0.25975792963375743</v>
      </c>
      <c r="E288" s="9">
        <f t="shared" ca="1" si="63"/>
        <v>367</v>
      </c>
      <c r="F288" s="9">
        <f t="shared" ca="1" si="65"/>
        <v>493</v>
      </c>
      <c r="G288" s="12" t="str">
        <f t="shared" ca="1" si="66"/>
        <v>No</v>
      </c>
      <c r="H288" s="12">
        <f t="shared" ca="1" si="64"/>
        <v>0</v>
      </c>
      <c r="I288" s="10">
        <f t="shared" ca="1" si="57"/>
        <v>1</v>
      </c>
      <c r="J288" s="13">
        <f t="shared" ca="1" si="58"/>
        <v>0</v>
      </c>
      <c r="K288" s="14">
        <f t="shared" ca="1" si="59"/>
        <v>98.600000000000009</v>
      </c>
      <c r="L288" s="14">
        <f t="shared" ca="1" si="60"/>
        <v>0</v>
      </c>
      <c r="M288" s="15">
        <f t="shared" ca="1" si="61"/>
        <v>98.600000000000009</v>
      </c>
      <c r="N288" s="16">
        <f ca="1">SUM($M$9:M288)/A288</f>
        <v>336.14499999999992</v>
      </c>
    </row>
    <row r="289" spans="1:14" x14ac:dyDescent="0.25">
      <c r="A289" s="8">
        <v>281</v>
      </c>
      <c r="B289" s="9">
        <f t="shared" ca="1" si="55"/>
        <v>2293</v>
      </c>
      <c r="C289" s="10">
        <f t="shared" ca="1" si="56"/>
        <v>1800</v>
      </c>
      <c r="D289" s="11">
        <f t="shared" ca="1" si="62"/>
        <v>0.34384827763449488</v>
      </c>
      <c r="E289" s="9">
        <f t="shared" ca="1" si="63"/>
        <v>379</v>
      </c>
      <c r="F289" s="9">
        <f t="shared" ca="1" si="65"/>
        <v>1914</v>
      </c>
      <c r="G289" s="12" t="str">
        <f t="shared" ca="1" si="66"/>
        <v>No</v>
      </c>
      <c r="H289" s="12">
        <f t="shared" ca="1" si="64"/>
        <v>0</v>
      </c>
      <c r="I289" s="10">
        <f t="shared" ca="1" si="57"/>
        <v>0</v>
      </c>
      <c r="J289" s="13">
        <f t="shared" ca="1" si="58"/>
        <v>0</v>
      </c>
      <c r="K289" s="14">
        <f t="shared" ca="1" si="59"/>
        <v>382.8</v>
      </c>
      <c r="L289" s="14">
        <f t="shared" ca="1" si="60"/>
        <v>0</v>
      </c>
      <c r="M289" s="15">
        <f t="shared" ca="1" si="61"/>
        <v>382.8</v>
      </c>
      <c r="N289" s="16">
        <f ca="1">SUM($M$9:M289)/A289</f>
        <v>336.3110320284697</v>
      </c>
    </row>
    <row r="290" spans="1:14" x14ac:dyDescent="0.25">
      <c r="A290" s="8">
        <v>282</v>
      </c>
      <c r="B290" s="9">
        <f t="shared" ca="1" si="55"/>
        <v>1914</v>
      </c>
      <c r="C290" s="10">
        <f t="shared" ca="1" si="56"/>
        <v>0</v>
      </c>
      <c r="D290" s="11">
        <f t="shared" ca="1" si="62"/>
        <v>0.77719009865739952</v>
      </c>
      <c r="E290" s="9">
        <f t="shared" ca="1" si="63"/>
        <v>438</v>
      </c>
      <c r="F290" s="9">
        <f t="shared" ca="1" si="65"/>
        <v>1476</v>
      </c>
      <c r="G290" s="12" t="str">
        <f t="shared" ca="1" si="66"/>
        <v>No</v>
      </c>
      <c r="H290" s="12">
        <f t="shared" ca="1" si="64"/>
        <v>0</v>
      </c>
      <c r="I290" s="10">
        <f t="shared" ca="1" si="57"/>
        <v>0</v>
      </c>
      <c r="J290" s="13">
        <f t="shared" ca="1" si="58"/>
        <v>0</v>
      </c>
      <c r="K290" s="14">
        <f t="shared" ca="1" si="59"/>
        <v>295.2</v>
      </c>
      <c r="L290" s="14">
        <f t="shared" ca="1" si="60"/>
        <v>0</v>
      </c>
      <c r="M290" s="15">
        <f t="shared" ca="1" si="61"/>
        <v>295.2</v>
      </c>
      <c r="N290" s="16">
        <f ca="1">SUM($M$9:M290)/A290</f>
        <v>336.16524822695027</v>
      </c>
    </row>
    <row r="291" spans="1:14" x14ac:dyDescent="0.25">
      <c r="A291" s="8">
        <v>283</v>
      </c>
      <c r="B291" s="9">
        <f t="shared" ca="1" si="55"/>
        <v>1476</v>
      </c>
      <c r="C291" s="10">
        <f t="shared" ca="1" si="56"/>
        <v>0</v>
      </c>
      <c r="D291" s="11">
        <f t="shared" ca="1" si="62"/>
        <v>6.8832034471359771E-2</v>
      </c>
      <c r="E291" s="9">
        <f t="shared" ca="1" si="63"/>
        <v>325</v>
      </c>
      <c r="F291" s="9">
        <f t="shared" ca="1" si="65"/>
        <v>1151</v>
      </c>
      <c r="G291" s="12" t="str">
        <f t="shared" ca="1" si="66"/>
        <v>No</v>
      </c>
      <c r="H291" s="12">
        <f t="shared" ca="1" si="64"/>
        <v>0</v>
      </c>
      <c r="I291" s="10">
        <f t="shared" ca="1" si="57"/>
        <v>0</v>
      </c>
      <c r="J291" s="13">
        <f t="shared" ca="1" si="58"/>
        <v>0</v>
      </c>
      <c r="K291" s="14">
        <f t="shared" ca="1" si="59"/>
        <v>230.20000000000002</v>
      </c>
      <c r="L291" s="14">
        <f t="shared" ca="1" si="60"/>
        <v>0</v>
      </c>
      <c r="M291" s="15">
        <f t="shared" ca="1" si="61"/>
        <v>230.20000000000002</v>
      </c>
      <c r="N291" s="16">
        <f ca="1">SUM($M$9:M291)/A291</f>
        <v>335.79081272084795</v>
      </c>
    </row>
    <row r="292" spans="1:14" x14ac:dyDescent="0.25">
      <c r="A292" s="8">
        <v>284</v>
      </c>
      <c r="B292" s="9">
        <f t="shared" ca="1" si="55"/>
        <v>1151</v>
      </c>
      <c r="C292" s="10">
        <f t="shared" ca="1" si="56"/>
        <v>0</v>
      </c>
      <c r="D292" s="11">
        <f t="shared" ca="1" si="62"/>
        <v>0.7811473763635195</v>
      </c>
      <c r="E292" s="9">
        <f t="shared" ca="1" si="63"/>
        <v>438</v>
      </c>
      <c r="F292" s="9">
        <f t="shared" ca="1" si="65"/>
        <v>713</v>
      </c>
      <c r="G292" s="12" t="str">
        <f t="shared" ca="1" si="66"/>
        <v>Yes</v>
      </c>
      <c r="H292" s="12">
        <f t="shared" ca="1" si="64"/>
        <v>0.75147317870561425</v>
      </c>
      <c r="I292" s="10">
        <f t="shared" ca="1" si="57"/>
        <v>2</v>
      </c>
      <c r="J292" s="13">
        <f t="shared" ca="1" si="58"/>
        <v>300</v>
      </c>
      <c r="K292" s="14">
        <f t="shared" ca="1" si="59"/>
        <v>142.6</v>
      </c>
      <c r="L292" s="14">
        <f t="shared" ca="1" si="60"/>
        <v>0</v>
      </c>
      <c r="M292" s="15">
        <f t="shared" ca="1" si="61"/>
        <v>442.6</v>
      </c>
      <c r="N292" s="16">
        <f ca="1">SUM($M$9:M292)/A292</f>
        <v>336.16690140845066</v>
      </c>
    </row>
    <row r="293" spans="1:14" x14ac:dyDescent="0.25">
      <c r="A293" s="8">
        <v>285</v>
      </c>
      <c r="B293" s="9">
        <f t="shared" ca="1" si="55"/>
        <v>713</v>
      </c>
      <c r="C293" s="10">
        <f t="shared" ca="1" si="56"/>
        <v>0</v>
      </c>
      <c r="D293" s="11">
        <f t="shared" ca="1" si="62"/>
        <v>0.78776991116378836</v>
      </c>
      <c r="E293" s="9">
        <f t="shared" ca="1" si="63"/>
        <v>439</v>
      </c>
      <c r="F293" s="9">
        <f t="shared" ca="1" si="65"/>
        <v>274</v>
      </c>
      <c r="G293" s="12" t="str">
        <f t="shared" ca="1" si="66"/>
        <v>No</v>
      </c>
      <c r="H293" s="12">
        <f t="shared" ca="1" si="64"/>
        <v>0</v>
      </c>
      <c r="I293" s="10">
        <f t="shared" ca="1" si="57"/>
        <v>1</v>
      </c>
      <c r="J293" s="13">
        <f t="shared" ca="1" si="58"/>
        <v>0</v>
      </c>
      <c r="K293" s="14">
        <f t="shared" ca="1" si="59"/>
        <v>54.800000000000004</v>
      </c>
      <c r="L293" s="14">
        <f t="shared" ca="1" si="60"/>
        <v>0</v>
      </c>
      <c r="M293" s="15">
        <f t="shared" ca="1" si="61"/>
        <v>54.800000000000004</v>
      </c>
      <c r="N293" s="16">
        <f ca="1">SUM($M$9:M293)/A293</f>
        <v>335.17964912280695</v>
      </c>
    </row>
    <row r="294" spans="1:14" x14ac:dyDescent="0.25">
      <c r="A294" s="8">
        <v>286</v>
      </c>
      <c r="B294" s="9">
        <f t="shared" ca="1" si="55"/>
        <v>2074</v>
      </c>
      <c r="C294" s="10">
        <f t="shared" ca="1" si="56"/>
        <v>1800</v>
      </c>
      <c r="D294" s="11">
        <f t="shared" ca="1" si="62"/>
        <v>9.7205923386778359E-2</v>
      </c>
      <c r="E294" s="9">
        <f t="shared" ca="1" si="63"/>
        <v>335</v>
      </c>
      <c r="F294" s="9">
        <f t="shared" ca="1" si="65"/>
        <v>1739</v>
      </c>
      <c r="G294" s="12" t="str">
        <f t="shared" ca="1" si="66"/>
        <v>No</v>
      </c>
      <c r="H294" s="12">
        <f t="shared" ca="1" si="64"/>
        <v>0</v>
      </c>
      <c r="I294" s="10">
        <f t="shared" ca="1" si="57"/>
        <v>0</v>
      </c>
      <c r="J294" s="13">
        <f t="shared" ca="1" si="58"/>
        <v>0</v>
      </c>
      <c r="K294" s="14">
        <f t="shared" ca="1" si="59"/>
        <v>347.8</v>
      </c>
      <c r="L294" s="14">
        <f t="shared" ca="1" si="60"/>
        <v>0</v>
      </c>
      <c r="M294" s="15">
        <f t="shared" ca="1" si="61"/>
        <v>347.8</v>
      </c>
      <c r="N294" s="16">
        <f ca="1">SUM($M$9:M294)/A294</f>
        <v>335.22377622377616</v>
      </c>
    </row>
    <row r="295" spans="1:14" x14ac:dyDescent="0.25">
      <c r="A295" s="8">
        <v>287</v>
      </c>
      <c r="B295" s="9">
        <f t="shared" ca="1" si="55"/>
        <v>1739</v>
      </c>
      <c r="C295" s="10">
        <f t="shared" ca="1" si="56"/>
        <v>0</v>
      </c>
      <c r="D295" s="11">
        <f t="shared" ca="1" si="62"/>
        <v>3.744379452774016E-2</v>
      </c>
      <c r="E295" s="9">
        <f t="shared" ca="1" si="63"/>
        <v>310</v>
      </c>
      <c r="F295" s="9">
        <f t="shared" ca="1" si="65"/>
        <v>1429</v>
      </c>
      <c r="G295" s="12" t="str">
        <f t="shared" ca="1" si="66"/>
        <v>No</v>
      </c>
      <c r="H295" s="12">
        <f t="shared" ca="1" si="64"/>
        <v>0</v>
      </c>
      <c r="I295" s="10">
        <f t="shared" ca="1" si="57"/>
        <v>0</v>
      </c>
      <c r="J295" s="13">
        <f t="shared" ca="1" si="58"/>
        <v>0</v>
      </c>
      <c r="K295" s="14">
        <f t="shared" ca="1" si="59"/>
        <v>285.8</v>
      </c>
      <c r="L295" s="14">
        <f t="shared" ca="1" si="60"/>
        <v>0</v>
      </c>
      <c r="M295" s="15">
        <f t="shared" ca="1" si="61"/>
        <v>285.8</v>
      </c>
      <c r="N295" s="16">
        <f ca="1">SUM($M$9:M295)/A295</f>
        <v>335.05156794425085</v>
      </c>
    </row>
    <row r="296" spans="1:14" x14ac:dyDescent="0.25">
      <c r="A296" s="8">
        <v>288</v>
      </c>
      <c r="B296" s="9">
        <f t="shared" ca="1" si="55"/>
        <v>1429</v>
      </c>
      <c r="C296" s="10">
        <f t="shared" ca="1" si="56"/>
        <v>0</v>
      </c>
      <c r="D296" s="11">
        <f t="shared" ca="1" si="62"/>
        <v>0.10121518111809436</v>
      </c>
      <c r="E296" s="9">
        <f t="shared" ca="1" si="63"/>
        <v>336</v>
      </c>
      <c r="F296" s="9">
        <f t="shared" ca="1" si="65"/>
        <v>1093</v>
      </c>
      <c r="G296" s="12" t="str">
        <f t="shared" ca="1" si="66"/>
        <v>No</v>
      </c>
      <c r="H296" s="12">
        <f t="shared" ca="1" si="64"/>
        <v>0</v>
      </c>
      <c r="I296" s="10">
        <f t="shared" ca="1" si="57"/>
        <v>0</v>
      </c>
      <c r="J296" s="13">
        <f t="shared" ca="1" si="58"/>
        <v>0</v>
      </c>
      <c r="K296" s="14">
        <f t="shared" ca="1" si="59"/>
        <v>218.60000000000002</v>
      </c>
      <c r="L296" s="14">
        <f t="shared" ca="1" si="60"/>
        <v>0</v>
      </c>
      <c r="M296" s="15">
        <f t="shared" ca="1" si="61"/>
        <v>218.60000000000002</v>
      </c>
      <c r="N296" s="16">
        <f ca="1">SUM($M$9:M296)/A296</f>
        <v>334.64722222222218</v>
      </c>
    </row>
    <row r="297" spans="1:14" x14ac:dyDescent="0.25">
      <c r="A297" s="8">
        <v>289</v>
      </c>
      <c r="B297" s="9">
        <f t="shared" ca="1" si="55"/>
        <v>1093</v>
      </c>
      <c r="C297" s="10">
        <f t="shared" ca="1" si="56"/>
        <v>0</v>
      </c>
      <c r="D297" s="11">
        <f t="shared" ca="1" si="62"/>
        <v>0.56834568513621431</v>
      </c>
      <c r="E297" s="9">
        <f t="shared" ca="1" si="63"/>
        <v>408</v>
      </c>
      <c r="F297" s="9">
        <f t="shared" ca="1" si="65"/>
        <v>685</v>
      </c>
      <c r="G297" s="12" t="str">
        <f t="shared" ca="1" si="66"/>
        <v>Yes</v>
      </c>
      <c r="H297" s="12">
        <f t="shared" ca="1" si="64"/>
        <v>0.3895230628655737</v>
      </c>
      <c r="I297" s="10">
        <f t="shared" ca="1" si="57"/>
        <v>1</v>
      </c>
      <c r="J297" s="13">
        <f t="shared" ca="1" si="58"/>
        <v>300</v>
      </c>
      <c r="K297" s="14">
        <f t="shared" ca="1" si="59"/>
        <v>137</v>
      </c>
      <c r="L297" s="14">
        <f t="shared" ca="1" si="60"/>
        <v>0</v>
      </c>
      <c r="M297" s="15">
        <f t="shared" ca="1" si="61"/>
        <v>437</v>
      </c>
      <c r="N297" s="16">
        <f ca="1">SUM($M$9:M297)/A297</f>
        <v>335.00138408304497</v>
      </c>
    </row>
    <row r="298" spans="1:14" x14ac:dyDescent="0.25">
      <c r="A298" s="8">
        <v>290</v>
      </c>
      <c r="B298" s="9">
        <f t="shared" ca="1" si="55"/>
        <v>2485</v>
      </c>
      <c r="C298" s="10">
        <f t="shared" ca="1" si="56"/>
        <v>1800</v>
      </c>
      <c r="D298" s="11">
        <f t="shared" ca="1" si="62"/>
        <v>0.66355909348136421</v>
      </c>
      <c r="E298" s="9">
        <f t="shared" ca="1" si="63"/>
        <v>421</v>
      </c>
      <c r="F298" s="9">
        <f t="shared" ca="1" si="65"/>
        <v>2064</v>
      </c>
      <c r="G298" s="12" t="str">
        <f t="shared" ca="1" si="66"/>
        <v>No</v>
      </c>
      <c r="H298" s="12">
        <f t="shared" ca="1" si="64"/>
        <v>0</v>
      </c>
      <c r="I298" s="10">
        <f t="shared" ca="1" si="57"/>
        <v>0</v>
      </c>
      <c r="J298" s="13">
        <f t="shared" ca="1" si="58"/>
        <v>0</v>
      </c>
      <c r="K298" s="14">
        <f t="shared" ca="1" si="59"/>
        <v>412.8</v>
      </c>
      <c r="L298" s="14">
        <f t="shared" ca="1" si="60"/>
        <v>0</v>
      </c>
      <c r="M298" s="15">
        <f t="shared" ca="1" si="61"/>
        <v>412.8</v>
      </c>
      <c r="N298" s="16">
        <f ca="1">SUM($M$9:M298)/A298</f>
        <v>335.26965517241376</v>
      </c>
    </row>
    <row r="299" spans="1:14" x14ac:dyDescent="0.25">
      <c r="A299" s="8">
        <v>291</v>
      </c>
      <c r="B299" s="9">
        <f t="shared" ca="1" si="55"/>
        <v>2064</v>
      </c>
      <c r="C299" s="10">
        <f t="shared" ca="1" si="56"/>
        <v>0</v>
      </c>
      <c r="D299" s="11">
        <f t="shared" ca="1" si="62"/>
        <v>0.44194555379085765</v>
      </c>
      <c r="E299" s="9">
        <f t="shared" ca="1" si="63"/>
        <v>392</v>
      </c>
      <c r="F299" s="9">
        <f t="shared" ca="1" si="65"/>
        <v>1672</v>
      </c>
      <c r="G299" s="12" t="str">
        <f t="shared" ca="1" si="66"/>
        <v>No</v>
      </c>
      <c r="H299" s="12">
        <f t="shared" ca="1" si="64"/>
        <v>0</v>
      </c>
      <c r="I299" s="10">
        <f t="shared" ca="1" si="57"/>
        <v>0</v>
      </c>
      <c r="J299" s="13">
        <f t="shared" ca="1" si="58"/>
        <v>0</v>
      </c>
      <c r="K299" s="14">
        <f t="shared" ca="1" si="59"/>
        <v>334.40000000000003</v>
      </c>
      <c r="L299" s="14">
        <f t="shared" ca="1" si="60"/>
        <v>0</v>
      </c>
      <c r="M299" s="15">
        <f t="shared" ca="1" si="61"/>
        <v>334.40000000000003</v>
      </c>
      <c r="N299" s="16">
        <f ca="1">SUM($M$9:M299)/A299</f>
        <v>335.26666666666665</v>
      </c>
    </row>
    <row r="300" spans="1:14" x14ac:dyDescent="0.25">
      <c r="A300" s="8">
        <v>292</v>
      </c>
      <c r="B300" s="9">
        <f t="shared" ca="1" si="55"/>
        <v>1672</v>
      </c>
      <c r="C300" s="10">
        <f t="shared" ca="1" si="56"/>
        <v>0</v>
      </c>
      <c r="D300" s="11">
        <f t="shared" ca="1" si="62"/>
        <v>0.2645349526598757</v>
      </c>
      <c r="E300" s="9">
        <f t="shared" ca="1" si="63"/>
        <v>368</v>
      </c>
      <c r="F300" s="9">
        <f t="shared" ca="1" si="65"/>
        <v>1304</v>
      </c>
      <c r="G300" s="12" t="str">
        <f t="shared" ca="1" si="66"/>
        <v>No</v>
      </c>
      <c r="H300" s="12">
        <f t="shared" ca="1" si="64"/>
        <v>0</v>
      </c>
      <c r="I300" s="10">
        <f t="shared" ca="1" si="57"/>
        <v>0</v>
      </c>
      <c r="J300" s="13">
        <f t="shared" ca="1" si="58"/>
        <v>0</v>
      </c>
      <c r="K300" s="14">
        <f t="shared" ca="1" si="59"/>
        <v>260.8</v>
      </c>
      <c r="L300" s="14">
        <f t="shared" ca="1" si="60"/>
        <v>0</v>
      </c>
      <c r="M300" s="15">
        <f t="shared" ca="1" si="61"/>
        <v>260.8</v>
      </c>
      <c r="N300" s="16">
        <f ca="1">SUM($M$9:M300)/A300</f>
        <v>335.01164383561644</v>
      </c>
    </row>
    <row r="301" spans="1:14" x14ac:dyDescent="0.25">
      <c r="A301" s="8">
        <v>293</v>
      </c>
      <c r="B301" s="9">
        <f t="shared" ca="1" si="55"/>
        <v>1304</v>
      </c>
      <c r="C301" s="10">
        <f t="shared" ca="1" si="56"/>
        <v>0</v>
      </c>
      <c r="D301" s="11">
        <f t="shared" ca="1" si="62"/>
        <v>4.1369046748572558E-2</v>
      </c>
      <c r="E301" s="9">
        <f t="shared" ca="1" si="63"/>
        <v>313</v>
      </c>
      <c r="F301" s="9">
        <f t="shared" ca="1" si="65"/>
        <v>991</v>
      </c>
      <c r="G301" s="12" t="str">
        <f t="shared" ca="1" si="66"/>
        <v>Yes</v>
      </c>
      <c r="H301" s="12">
        <f t="shared" ca="1" si="64"/>
        <v>0.42519923007145066</v>
      </c>
      <c r="I301" s="10">
        <f t="shared" ca="1" si="57"/>
        <v>1</v>
      </c>
      <c r="J301" s="13">
        <f t="shared" ca="1" si="58"/>
        <v>300</v>
      </c>
      <c r="K301" s="14">
        <f t="shared" ca="1" si="59"/>
        <v>198.20000000000002</v>
      </c>
      <c r="L301" s="14">
        <f t="shared" ca="1" si="60"/>
        <v>0</v>
      </c>
      <c r="M301" s="15">
        <f t="shared" ca="1" si="61"/>
        <v>498.20000000000005</v>
      </c>
      <c r="N301" s="16">
        <f ca="1">SUM($M$9:M301)/A301</f>
        <v>335.56860068259385</v>
      </c>
    </row>
    <row r="302" spans="1:14" x14ac:dyDescent="0.25">
      <c r="A302" s="8">
        <v>294</v>
      </c>
      <c r="B302" s="9">
        <f t="shared" ca="1" si="55"/>
        <v>2791</v>
      </c>
      <c r="C302" s="10">
        <f t="shared" ca="1" si="56"/>
        <v>1800</v>
      </c>
      <c r="D302" s="11">
        <f t="shared" ca="1" si="62"/>
        <v>0.14540203302243881</v>
      </c>
      <c r="E302" s="9">
        <f t="shared" ca="1" si="63"/>
        <v>347</v>
      </c>
      <c r="F302" s="9">
        <f t="shared" ca="1" si="65"/>
        <v>2444</v>
      </c>
      <c r="G302" s="12" t="str">
        <f t="shared" ca="1" si="66"/>
        <v>No</v>
      </c>
      <c r="H302" s="12">
        <f t="shared" ca="1" si="64"/>
        <v>0</v>
      </c>
      <c r="I302" s="10">
        <f t="shared" ca="1" si="57"/>
        <v>0</v>
      </c>
      <c r="J302" s="13">
        <f t="shared" ca="1" si="58"/>
        <v>0</v>
      </c>
      <c r="K302" s="14">
        <f t="shared" ca="1" si="59"/>
        <v>488.8</v>
      </c>
      <c r="L302" s="14">
        <f t="shared" ca="1" si="60"/>
        <v>0</v>
      </c>
      <c r="M302" s="15">
        <f t="shared" ca="1" si="61"/>
        <v>488.8</v>
      </c>
      <c r="N302" s="16">
        <f ca="1">SUM($M$9:M302)/A302</f>
        <v>336.08979591836732</v>
      </c>
    </row>
    <row r="303" spans="1:14" x14ac:dyDescent="0.25">
      <c r="A303" s="8">
        <v>295</v>
      </c>
      <c r="B303" s="9">
        <f t="shared" ca="1" si="55"/>
        <v>2444</v>
      </c>
      <c r="C303" s="10">
        <f t="shared" ca="1" si="56"/>
        <v>0</v>
      </c>
      <c r="D303" s="11">
        <f t="shared" ca="1" si="62"/>
        <v>0.28602052173484427</v>
      </c>
      <c r="E303" s="9">
        <f t="shared" ca="1" si="63"/>
        <v>371</v>
      </c>
      <c r="F303" s="9">
        <f t="shared" ca="1" si="65"/>
        <v>2073</v>
      </c>
      <c r="G303" s="12" t="str">
        <f t="shared" ca="1" si="66"/>
        <v>No</v>
      </c>
      <c r="H303" s="12">
        <f t="shared" ca="1" si="64"/>
        <v>0</v>
      </c>
      <c r="I303" s="10">
        <f t="shared" ca="1" si="57"/>
        <v>0</v>
      </c>
      <c r="J303" s="13">
        <f t="shared" ca="1" si="58"/>
        <v>0</v>
      </c>
      <c r="K303" s="14">
        <f t="shared" ca="1" si="59"/>
        <v>414.6</v>
      </c>
      <c r="L303" s="14">
        <f t="shared" ca="1" si="60"/>
        <v>0</v>
      </c>
      <c r="M303" s="15">
        <f t="shared" ca="1" si="61"/>
        <v>414.6</v>
      </c>
      <c r="N303" s="16">
        <f ca="1">SUM($M$9:M303)/A303</f>
        <v>336.35593220338984</v>
      </c>
    </row>
    <row r="304" spans="1:14" x14ac:dyDescent="0.25">
      <c r="A304" s="8">
        <v>296</v>
      </c>
      <c r="B304" s="9">
        <f t="shared" ca="1" si="55"/>
        <v>2073</v>
      </c>
      <c r="C304" s="10">
        <f t="shared" ca="1" si="56"/>
        <v>0</v>
      </c>
      <c r="D304" s="11">
        <f t="shared" ca="1" si="62"/>
        <v>0.79788458518082916</v>
      </c>
      <c r="E304" s="9">
        <f t="shared" ca="1" si="63"/>
        <v>441</v>
      </c>
      <c r="F304" s="9">
        <f t="shared" ca="1" si="65"/>
        <v>1632</v>
      </c>
      <c r="G304" s="12" t="str">
        <f t="shared" ca="1" si="66"/>
        <v>No</v>
      </c>
      <c r="H304" s="12">
        <f t="shared" ca="1" si="64"/>
        <v>0</v>
      </c>
      <c r="I304" s="10">
        <f t="shared" ca="1" si="57"/>
        <v>0</v>
      </c>
      <c r="J304" s="13">
        <f t="shared" ca="1" si="58"/>
        <v>0</v>
      </c>
      <c r="K304" s="14">
        <f t="shared" ca="1" si="59"/>
        <v>326.40000000000003</v>
      </c>
      <c r="L304" s="14">
        <f t="shared" ca="1" si="60"/>
        <v>0</v>
      </c>
      <c r="M304" s="15">
        <f t="shared" ca="1" si="61"/>
        <v>326.40000000000003</v>
      </c>
      <c r="N304" s="16">
        <f ca="1">SUM($M$9:M304)/A304</f>
        <v>336.32229729729727</v>
      </c>
    </row>
    <row r="305" spans="1:14" x14ac:dyDescent="0.25">
      <c r="A305" s="8">
        <v>297</v>
      </c>
      <c r="B305" s="9">
        <f t="shared" ca="1" si="55"/>
        <v>1632</v>
      </c>
      <c r="C305" s="10">
        <f t="shared" ca="1" si="56"/>
        <v>0</v>
      </c>
      <c r="D305" s="11">
        <f t="shared" ca="1" si="62"/>
        <v>0.72361086469581981</v>
      </c>
      <c r="E305" s="9">
        <f t="shared" ca="1" si="63"/>
        <v>429</v>
      </c>
      <c r="F305" s="9">
        <f t="shared" ca="1" si="65"/>
        <v>1203</v>
      </c>
      <c r="G305" s="12" t="str">
        <f t="shared" ca="1" si="66"/>
        <v>No</v>
      </c>
      <c r="H305" s="12">
        <f t="shared" ca="1" si="64"/>
        <v>0</v>
      </c>
      <c r="I305" s="10">
        <f t="shared" ca="1" si="57"/>
        <v>0</v>
      </c>
      <c r="J305" s="13">
        <f t="shared" ca="1" si="58"/>
        <v>0</v>
      </c>
      <c r="K305" s="14">
        <f t="shared" ca="1" si="59"/>
        <v>240.60000000000002</v>
      </c>
      <c r="L305" s="14">
        <f t="shared" ca="1" si="60"/>
        <v>0</v>
      </c>
      <c r="M305" s="15">
        <f t="shared" ca="1" si="61"/>
        <v>240.60000000000002</v>
      </c>
      <c r="N305" s="16">
        <f ca="1">SUM($M$9:M305)/A305</f>
        <v>336</v>
      </c>
    </row>
    <row r="306" spans="1:14" x14ac:dyDescent="0.25">
      <c r="A306" s="8">
        <v>298</v>
      </c>
      <c r="B306" s="9">
        <f t="shared" ca="1" si="55"/>
        <v>1203</v>
      </c>
      <c r="C306" s="10">
        <f t="shared" ca="1" si="56"/>
        <v>0</v>
      </c>
      <c r="D306" s="11">
        <f t="shared" ca="1" si="62"/>
        <v>0.71853181431195234</v>
      </c>
      <c r="E306" s="9">
        <f t="shared" ca="1" si="63"/>
        <v>428</v>
      </c>
      <c r="F306" s="9">
        <f t="shared" ca="1" si="65"/>
        <v>775</v>
      </c>
      <c r="G306" s="12" t="str">
        <f t="shared" ca="1" si="66"/>
        <v>Yes</v>
      </c>
      <c r="H306" s="12">
        <f t="shared" ca="1" si="64"/>
        <v>0.85926241744691401</v>
      </c>
      <c r="I306" s="10">
        <f t="shared" ca="1" si="57"/>
        <v>2</v>
      </c>
      <c r="J306" s="13">
        <f t="shared" ca="1" si="58"/>
        <v>300</v>
      </c>
      <c r="K306" s="14">
        <f t="shared" ca="1" si="59"/>
        <v>155</v>
      </c>
      <c r="L306" s="14">
        <f t="shared" ca="1" si="60"/>
        <v>0</v>
      </c>
      <c r="M306" s="15">
        <f t="shared" ca="1" si="61"/>
        <v>455</v>
      </c>
      <c r="N306" s="16">
        <f ca="1">SUM($M$9:M306)/A306</f>
        <v>336.3993288590604</v>
      </c>
    </row>
    <row r="307" spans="1:14" x14ac:dyDescent="0.25">
      <c r="A307" s="8">
        <v>299</v>
      </c>
      <c r="B307" s="9">
        <f t="shared" ca="1" si="55"/>
        <v>775</v>
      </c>
      <c r="C307" s="10">
        <f t="shared" ca="1" si="56"/>
        <v>0</v>
      </c>
      <c r="D307" s="11">
        <f t="shared" ca="1" si="62"/>
        <v>0.74350332036671196</v>
      </c>
      <c r="E307" s="9">
        <f t="shared" ca="1" si="63"/>
        <v>432</v>
      </c>
      <c r="F307" s="9">
        <f t="shared" ca="1" si="65"/>
        <v>343</v>
      </c>
      <c r="G307" s="12" t="str">
        <f t="shared" ca="1" si="66"/>
        <v>No</v>
      </c>
      <c r="H307" s="12">
        <f t="shared" ca="1" si="64"/>
        <v>0</v>
      </c>
      <c r="I307" s="10">
        <f t="shared" ca="1" si="57"/>
        <v>1</v>
      </c>
      <c r="J307" s="13">
        <f t="shared" ca="1" si="58"/>
        <v>0</v>
      </c>
      <c r="K307" s="14">
        <f t="shared" ca="1" si="59"/>
        <v>68.600000000000009</v>
      </c>
      <c r="L307" s="14">
        <f t="shared" ca="1" si="60"/>
        <v>0</v>
      </c>
      <c r="M307" s="15">
        <f t="shared" ca="1" si="61"/>
        <v>68.600000000000009</v>
      </c>
      <c r="N307" s="16">
        <f ca="1">SUM($M$9:M307)/A307</f>
        <v>335.5036789297659</v>
      </c>
    </row>
    <row r="308" spans="1:14" x14ac:dyDescent="0.25">
      <c r="A308" s="8">
        <v>300</v>
      </c>
      <c r="B308" s="9">
        <f t="shared" ca="1" si="55"/>
        <v>2143</v>
      </c>
      <c r="C308" s="10">
        <f t="shared" ca="1" si="56"/>
        <v>1800</v>
      </c>
      <c r="D308" s="11">
        <f t="shared" ca="1" si="62"/>
        <v>0.159316524098988</v>
      </c>
      <c r="E308" s="9">
        <f t="shared" ca="1" si="63"/>
        <v>350</v>
      </c>
      <c r="F308" s="9">
        <f t="shared" ca="1" si="65"/>
        <v>1793</v>
      </c>
      <c r="G308" s="12" t="str">
        <f t="shared" ca="1" si="66"/>
        <v>No</v>
      </c>
      <c r="H308" s="12">
        <f t="shared" ca="1" si="64"/>
        <v>0</v>
      </c>
      <c r="I308" s="10">
        <f t="shared" ca="1" si="57"/>
        <v>0</v>
      </c>
      <c r="J308" s="13">
        <f t="shared" ca="1" si="58"/>
        <v>0</v>
      </c>
      <c r="K308" s="14">
        <f t="shared" ca="1" si="59"/>
        <v>358.6</v>
      </c>
      <c r="L308" s="14">
        <f t="shared" ca="1" si="60"/>
        <v>0</v>
      </c>
      <c r="M308" s="15">
        <f t="shared" ca="1" si="61"/>
        <v>358.6</v>
      </c>
      <c r="N308" s="16">
        <f ca="1">SUM($M$9:M308)/A308</f>
        <v>335.58066666666673</v>
      </c>
    </row>
    <row r="309" spans="1:14" x14ac:dyDescent="0.25">
      <c r="A309" s="8">
        <v>301</v>
      </c>
      <c r="B309" s="9">
        <f t="shared" ca="1" si="55"/>
        <v>1793</v>
      </c>
      <c r="C309" s="10">
        <f t="shared" ca="1" si="56"/>
        <v>0</v>
      </c>
      <c r="D309" s="11">
        <f t="shared" ca="1" si="62"/>
        <v>0.47597832307576937</v>
      </c>
      <c r="E309" s="9">
        <f t="shared" ca="1" si="63"/>
        <v>396</v>
      </c>
      <c r="F309" s="9">
        <f t="shared" ca="1" si="65"/>
        <v>1397</v>
      </c>
      <c r="G309" s="12" t="str">
        <f t="shared" ca="1" si="66"/>
        <v>No</v>
      </c>
      <c r="H309" s="12">
        <f t="shared" ca="1" si="64"/>
        <v>0</v>
      </c>
      <c r="I309" s="10">
        <f t="shared" ca="1" si="57"/>
        <v>0</v>
      </c>
      <c r="J309" s="13">
        <f t="shared" ca="1" si="58"/>
        <v>0</v>
      </c>
      <c r="K309" s="14">
        <f t="shared" ca="1" si="59"/>
        <v>279.40000000000003</v>
      </c>
      <c r="L309" s="14">
        <f t="shared" ca="1" si="60"/>
        <v>0</v>
      </c>
      <c r="M309" s="15">
        <f t="shared" ca="1" si="61"/>
        <v>279.40000000000003</v>
      </c>
      <c r="N309" s="16">
        <f ca="1">SUM($M$9:M309)/A309</f>
        <v>335.39401993355483</v>
      </c>
    </row>
    <row r="310" spans="1:14" x14ac:dyDescent="0.25">
      <c r="A310" s="8">
        <v>302</v>
      </c>
      <c r="B310" s="9">
        <f t="shared" ca="1" si="55"/>
        <v>1397</v>
      </c>
      <c r="C310" s="10">
        <f t="shared" ca="1" si="56"/>
        <v>0</v>
      </c>
      <c r="D310" s="11">
        <f t="shared" ca="1" si="62"/>
        <v>0.83528565676765298</v>
      </c>
      <c r="E310" s="9">
        <f t="shared" ca="1" si="63"/>
        <v>448</v>
      </c>
      <c r="F310" s="9">
        <f t="shared" ca="1" si="65"/>
        <v>949</v>
      </c>
      <c r="G310" s="12" t="str">
        <f t="shared" ca="1" si="66"/>
        <v>Yes</v>
      </c>
      <c r="H310" s="12">
        <f t="shared" ca="1" si="64"/>
        <v>0.29905053417195582</v>
      </c>
      <c r="I310" s="10">
        <f t="shared" ca="1" si="57"/>
        <v>1</v>
      </c>
      <c r="J310" s="13">
        <f t="shared" ca="1" si="58"/>
        <v>300</v>
      </c>
      <c r="K310" s="14">
        <f t="shared" ca="1" si="59"/>
        <v>189.8</v>
      </c>
      <c r="L310" s="14">
        <f t="shared" ca="1" si="60"/>
        <v>0</v>
      </c>
      <c r="M310" s="15">
        <f t="shared" ca="1" si="61"/>
        <v>489.8</v>
      </c>
      <c r="N310" s="16">
        <f ca="1">SUM($M$9:M310)/A310</f>
        <v>335.90529801324504</v>
      </c>
    </row>
    <row r="311" spans="1:14" x14ac:dyDescent="0.25">
      <c r="A311" s="8">
        <v>303</v>
      </c>
      <c r="B311" s="9">
        <f t="shared" ca="1" si="55"/>
        <v>2749</v>
      </c>
      <c r="C311" s="10">
        <f t="shared" ca="1" si="56"/>
        <v>1800</v>
      </c>
      <c r="D311" s="11">
        <f t="shared" ca="1" si="62"/>
        <v>0.89511919351593983</v>
      </c>
      <c r="E311" s="9">
        <f t="shared" ca="1" si="63"/>
        <v>462</v>
      </c>
      <c r="F311" s="9">
        <f t="shared" ca="1" si="65"/>
        <v>2287</v>
      </c>
      <c r="G311" s="12" t="str">
        <f t="shared" ca="1" si="66"/>
        <v>No</v>
      </c>
      <c r="H311" s="12">
        <f t="shared" ca="1" si="64"/>
        <v>0</v>
      </c>
      <c r="I311" s="10">
        <f t="shared" ca="1" si="57"/>
        <v>0</v>
      </c>
      <c r="J311" s="13">
        <f t="shared" ca="1" si="58"/>
        <v>0</v>
      </c>
      <c r="K311" s="14">
        <f t="shared" ca="1" si="59"/>
        <v>457.40000000000003</v>
      </c>
      <c r="L311" s="14">
        <f t="shared" ca="1" si="60"/>
        <v>0</v>
      </c>
      <c r="M311" s="15">
        <f t="shared" ca="1" si="61"/>
        <v>457.40000000000003</v>
      </c>
      <c r="N311" s="16">
        <f ca="1">SUM($M$9:M311)/A311</f>
        <v>336.3062706270627</v>
      </c>
    </row>
    <row r="312" spans="1:14" x14ac:dyDescent="0.25">
      <c r="A312" s="8">
        <v>304</v>
      </c>
      <c r="B312" s="9">
        <f t="shared" ca="1" si="55"/>
        <v>2287</v>
      </c>
      <c r="C312" s="10">
        <f t="shared" ca="1" si="56"/>
        <v>0</v>
      </c>
      <c r="D312" s="11">
        <f t="shared" ca="1" si="62"/>
        <v>0.29607857898539758</v>
      </c>
      <c r="E312" s="9">
        <f t="shared" ca="1" si="63"/>
        <v>373</v>
      </c>
      <c r="F312" s="9">
        <f t="shared" ca="1" si="65"/>
        <v>1914</v>
      </c>
      <c r="G312" s="12" t="str">
        <f t="shared" ca="1" si="66"/>
        <v>No</v>
      </c>
      <c r="H312" s="12">
        <f t="shared" ca="1" si="64"/>
        <v>0</v>
      </c>
      <c r="I312" s="10">
        <f t="shared" ca="1" si="57"/>
        <v>0</v>
      </c>
      <c r="J312" s="13">
        <f t="shared" ca="1" si="58"/>
        <v>0</v>
      </c>
      <c r="K312" s="14">
        <f t="shared" ca="1" si="59"/>
        <v>382.8</v>
      </c>
      <c r="L312" s="14">
        <f t="shared" ca="1" si="60"/>
        <v>0</v>
      </c>
      <c r="M312" s="15">
        <f t="shared" ca="1" si="61"/>
        <v>382.8</v>
      </c>
      <c r="N312" s="16">
        <f ca="1">SUM($M$9:M312)/A312</f>
        <v>336.45921052631581</v>
      </c>
    </row>
    <row r="313" spans="1:14" x14ac:dyDescent="0.25">
      <c r="A313" s="8">
        <v>305</v>
      </c>
      <c r="B313" s="9">
        <f t="shared" ca="1" si="55"/>
        <v>1914</v>
      </c>
      <c r="C313" s="10">
        <f t="shared" ca="1" si="56"/>
        <v>0</v>
      </c>
      <c r="D313" s="11">
        <f t="shared" ca="1" si="62"/>
        <v>0.86282647789200206</v>
      </c>
      <c r="E313" s="9">
        <f t="shared" ca="1" si="63"/>
        <v>454</v>
      </c>
      <c r="F313" s="9">
        <f t="shared" ca="1" si="65"/>
        <v>1460</v>
      </c>
      <c r="G313" s="12" t="str">
        <f t="shared" ca="1" si="66"/>
        <v>No</v>
      </c>
      <c r="H313" s="12">
        <f t="shared" ca="1" si="64"/>
        <v>0</v>
      </c>
      <c r="I313" s="10">
        <f t="shared" ca="1" si="57"/>
        <v>0</v>
      </c>
      <c r="J313" s="13">
        <f t="shared" ca="1" si="58"/>
        <v>0</v>
      </c>
      <c r="K313" s="14">
        <f t="shared" ca="1" si="59"/>
        <v>292</v>
      </c>
      <c r="L313" s="14">
        <f t="shared" ca="1" si="60"/>
        <v>0</v>
      </c>
      <c r="M313" s="15">
        <f t="shared" ca="1" si="61"/>
        <v>292</v>
      </c>
      <c r="N313" s="16">
        <f ca="1">SUM($M$9:M313)/A313</f>
        <v>336.31344262295084</v>
      </c>
    </row>
    <row r="314" spans="1:14" x14ac:dyDescent="0.25">
      <c r="A314" s="8">
        <v>306</v>
      </c>
      <c r="B314" s="9">
        <f t="shared" ca="1" si="55"/>
        <v>1460</v>
      </c>
      <c r="C314" s="10">
        <f t="shared" ca="1" si="56"/>
        <v>0</v>
      </c>
      <c r="D314" s="11">
        <f t="shared" ca="1" si="62"/>
        <v>0.4225229044468789</v>
      </c>
      <c r="E314" s="9">
        <f t="shared" ca="1" si="63"/>
        <v>390</v>
      </c>
      <c r="F314" s="9">
        <f t="shared" ca="1" si="65"/>
        <v>1070</v>
      </c>
      <c r="G314" s="12" t="str">
        <f t="shared" ca="1" si="66"/>
        <v>No</v>
      </c>
      <c r="H314" s="12">
        <f t="shared" ca="1" si="64"/>
        <v>0</v>
      </c>
      <c r="I314" s="10">
        <f t="shared" ca="1" si="57"/>
        <v>0</v>
      </c>
      <c r="J314" s="13">
        <f t="shared" ca="1" si="58"/>
        <v>0</v>
      </c>
      <c r="K314" s="14">
        <f t="shared" ca="1" si="59"/>
        <v>214</v>
      </c>
      <c r="L314" s="14">
        <f t="shared" ca="1" si="60"/>
        <v>0</v>
      </c>
      <c r="M314" s="15">
        <f t="shared" ca="1" si="61"/>
        <v>214</v>
      </c>
      <c r="N314" s="16">
        <f ca="1">SUM($M$9:M314)/A314</f>
        <v>335.9137254901961</v>
      </c>
    </row>
    <row r="315" spans="1:14" x14ac:dyDescent="0.25">
      <c r="A315" s="8">
        <v>307</v>
      </c>
      <c r="B315" s="9">
        <f t="shared" ca="1" si="55"/>
        <v>1070</v>
      </c>
      <c r="C315" s="10">
        <f t="shared" ca="1" si="56"/>
        <v>0</v>
      </c>
      <c r="D315" s="11">
        <f t="shared" ca="1" si="62"/>
        <v>0.40564379904595693</v>
      </c>
      <c r="E315" s="9">
        <f t="shared" ca="1" si="63"/>
        <v>388</v>
      </c>
      <c r="F315" s="9">
        <f t="shared" ca="1" si="65"/>
        <v>682</v>
      </c>
      <c r="G315" s="12" t="str">
        <f t="shared" ca="1" si="66"/>
        <v>Yes</v>
      </c>
      <c r="H315" s="12">
        <f t="shared" ca="1" si="64"/>
        <v>0.9612093824742135</v>
      </c>
      <c r="I315" s="10">
        <f t="shared" ca="1" si="57"/>
        <v>3</v>
      </c>
      <c r="J315" s="13">
        <f t="shared" ca="1" si="58"/>
        <v>300</v>
      </c>
      <c r="K315" s="14">
        <f t="shared" ca="1" si="59"/>
        <v>136.4</v>
      </c>
      <c r="L315" s="14">
        <f t="shared" ca="1" si="60"/>
        <v>0</v>
      </c>
      <c r="M315" s="15">
        <f t="shared" ca="1" si="61"/>
        <v>436.4</v>
      </c>
      <c r="N315" s="16">
        <f ca="1">SUM($M$9:M315)/A315</f>
        <v>336.24104234527687</v>
      </c>
    </row>
    <row r="316" spans="1:14" x14ac:dyDescent="0.25">
      <c r="A316" s="8">
        <v>308</v>
      </c>
      <c r="B316" s="9">
        <f t="shared" ca="1" si="55"/>
        <v>682</v>
      </c>
      <c r="C316" s="10">
        <f t="shared" ca="1" si="56"/>
        <v>0</v>
      </c>
      <c r="D316" s="11">
        <f t="shared" ca="1" si="62"/>
        <v>1.5526867321559168E-3</v>
      </c>
      <c r="E316" s="9">
        <f t="shared" ca="1" si="63"/>
        <v>252</v>
      </c>
      <c r="F316" s="9">
        <f t="shared" ca="1" si="65"/>
        <v>430</v>
      </c>
      <c r="G316" s="12" t="str">
        <f t="shared" ca="1" si="66"/>
        <v>No</v>
      </c>
      <c r="H316" s="12">
        <f t="shared" ca="1" si="64"/>
        <v>0</v>
      </c>
      <c r="I316" s="10">
        <f t="shared" ca="1" si="57"/>
        <v>2</v>
      </c>
      <c r="J316" s="13">
        <f t="shared" ca="1" si="58"/>
        <v>0</v>
      </c>
      <c r="K316" s="14">
        <f t="shared" ca="1" si="59"/>
        <v>86</v>
      </c>
      <c r="L316" s="14">
        <f t="shared" ca="1" si="60"/>
        <v>0</v>
      </c>
      <c r="M316" s="15">
        <f t="shared" ca="1" si="61"/>
        <v>86</v>
      </c>
      <c r="N316" s="16">
        <f ca="1">SUM($M$9:M316)/A316</f>
        <v>335.42857142857144</v>
      </c>
    </row>
    <row r="317" spans="1:14" x14ac:dyDescent="0.25">
      <c r="A317" s="8">
        <v>309</v>
      </c>
      <c r="B317" s="9">
        <f t="shared" ca="1" si="55"/>
        <v>430</v>
      </c>
      <c r="C317" s="10">
        <f t="shared" ca="1" si="56"/>
        <v>0</v>
      </c>
      <c r="D317" s="11">
        <f t="shared" ca="1" si="62"/>
        <v>0.63334105750533731</v>
      </c>
      <c r="E317" s="9">
        <f t="shared" ca="1" si="63"/>
        <v>417</v>
      </c>
      <c r="F317" s="9">
        <f t="shared" ca="1" si="65"/>
        <v>13</v>
      </c>
      <c r="G317" s="12" t="str">
        <f t="shared" ca="1" si="66"/>
        <v>No</v>
      </c>
      <c r="H317" s="12">
        <f t="shared" ca="1" si="64"/>
        <v>0</v>
      </c>
      <c r="I317" s="10">
        <f t="shared" ca="1" si="57"/>
        <v>1</v>
      </c>
      <c r="J317" s="13">
        <f t="shared" ca="1" si="58"/>
        <v>0</v>
      </c>
      <c r="K317" s="14">
        <f t="shared" ca="1" si="59"/>
        <v>2.6</v>
      </c>
      <c r="L317" s="14">
        <f t="shared" ca="1" si="60"/>
        <v>0</v>
      </c>
      <c r="M317" s="15">
        <f t="shared" ca="1" si="61"/>
        <v>2.6</v>
      </c>
      <c r="N317" s="16">
        <f ca="1">SUM($M$9:M317)/A317</f>
        <v>334.35145631067962</v>
      </c>
    </row>
    <row r="318" spans="1:14" x14ac:dyDescent="0.25">
      <c r="A318" s="8">
        <v>310</v>
      </c>
      <c r="B318" s="9">
        <f t="shared" ca="1" si="55"/>
        <v>1813</v>
      </c>
      <c r="C318" s="10">
        <f t="shared" ca="1" si="56"/>
        <v>1800</v>
      </c>
      <c r="D318" s="11">
        <f t="shared" ca="1" si="62"/>
        <v>0.85810715341292487</v>
      </c>
      <c r="E318" s="9">
        <f t="shared" ca="1" si="63"/>
        <v>453</v>
      </c>
      <c r="F318" s="9">
        <f t="shared" ca="1" si="65"/>
        <v>1360</v>
      </c>
      <c r="G318" s="12" t="str">
        <f t="shared" ca="1" si="66"/>
        <v>No</v>
      </c>
      <c r="H318" s="12">
        <f t="shared" ca="1" si="64"/>
        <v>0</v>
      </c>
      <c r="I318" s="10">
        <f t="shared" ca="1" si="57"/>
        <v>0</v>
      </c>
      <c r="J318" s="13">
        <f t="shared" ca="1" si="58"/>
        <v>0</v>
      </c>
      <c r="K318" s="14">
        <f t="shared" ca="1" si="59"/>
        <v>272</v>
      </c>
      <c r="L318" s="14">
        <f t="shared" ca="1" si="60"/>
        <v>0</v>
      </c>
      <c r="M318" s="15">
        <f t="shared" ca="1" si="61"/>
        <v>272</v>
      </c>
      <c r="N318" s="16">
        <f ca="1">SUM($M$9:M318)/A318</f>
        <v>334.1503225806452</v>
      </c>
    </row>
    <row r="319" spans="1:14" x14ac:dyDescent="0.25">
      <c r="A319" s="8">
        <v>311</v>
      </c>
      <c r="B319" s="9">
        <f t="shared" ca="1" si="55"/>
        <v>1360</v>
      </c>
      <c r="C319" s="10">
        <f t="shared" ca="1" si="56"/>
        <v>0</v>
      </c>
      <c r="D319" s="11">
        <f t="shared" ca="1" si="62"/>
        <v>0.86307987687151588</v>
      </c>
      <c r="E319" s="9">
        <f t="shared" ca="1" si="63"/>
        <v>454</v>
      </c>
      <c r="F319" s="9">
        <f t="shared" ca="1" si="65"/>
        <v>906</v>
      </c>
      <c r="G319" s="12" t="str">
        <f t="shared" ca="1" si="66"/>
        <v>Yes</v>
      </c>
      <c r="H319" s="12">
        <f t="shared" ca="1" si="64"/>
        <v>0.41989007398927058</v>
      </c>
      <c r="I319" s="10">
        <f t="shared" ca="1" si="57"/>
        <v>1</v>
      </c>
      <c r="J319" s="13">
        <f t="shared" ca="1" si="58"/>
        <v>300</v>
      </c>
      <c r="K319" s="14">
        <f t="shared" ca="1" si="59"/>
        <v>181.20000000000002</v>
      </c>
      <c r="L319" s="14">
        <f t="shared" ca="1" si="60"/>
        <v>0</v>
      </c>
      <c r="M319" s="15">
        <f t="shared" ca="1" si="61"/>
        <v>481.20000000000005</v>
      </c>
      <c r="N319" s="16">
        <f ca="1">SUM($M$9:M319)/A319</f>
        <v>334.62315112540193</v>
      </c>
    </row>
    <row r="320" spans="1:14" x14ac:dyDescent="0.25">
      <c r="A320" s="8">
        <v>312</v>
      </c>
      <c r="B320" s="9">
        <f t="shared" ca="1" si="55"/>
        <v>2706</v>
      </c>
      <c r="C320" s="10">
        <f t="shared" ca="1" si="56"/>
        <v>1800</v>
      </c>
      <c r="D320" s="11">
        <f t="shared" ca="1" si="62"/>
        <v>0.48843103229415896</v>
      </c>
      <c r="E320" s="9">
        <f t="shared" ca="1" si="63"/>
        <v>398</v>
      </c>
      <c r="F320" s="9">
        <f t="shared" ca="1" si="65"/>
        <v>2308</v>
      </c>
      <c r="G320" s="12" t="str">
        <f t="shared" ca="1" si="66"/>
        <v>No</v>
      </c>
      <c r="H320" s="12">
        <f t="shared" ca="1" si="64"/>
        <v>0</v>
      </c>
      <c r="I320" s="10">
        <f t="shared" ca="1" si="57"/>
        <v>0</v>
      </c>
      <c r="J320" s="13">
        <f t="shared" ca="1" si="58"/>
        <v>0</v>
      </c>
      <c r="K320" s="14">
        <f t="shared" ca="1" si="59"/>
        <v>461.6</v>
      </c>
      <c r="L320" s="14">
        <f t="shared" ca="1" si="60"/>
        <v>0</v>
      </c>
      <c r="M320" s="15">
        <f t="shared" ca="1" si="61"/>
        <v>461.6</v>
      </c>
      <c r="N320" s="16">
        <f ca="1">SUM($M$9:M320)/A320</f>
        <v>335.03012820512822</v>
      </c>
    </row>
    <row r="321" spans="1:14" x14ac:dyDescent="0.25">
      <c r="A321" s="8">
        <v>313</v>
      </c>
      <c r="B321" s="9">
        <f t="shared" ca="1" si="55"/>
        <v>2308</v>
      </c>
      <c r="C321" s="10">
        <f t="shared" ca="1" si="56"/>
        <v>0</v>
      </c>
      <c r="D321" s="11">
        <f t="shared" ca="1" si="62"/>
        <v>0.20196207140693834</v>
      </c>
      <c r="E321" s="9">
        <f t="shared" ca="1" si="63"/>
        <v>358</v>
      </c>
      <c r="F321" s="9">
        <f t="shared" ca="1" si="65"/>
        <v>1950</v>
      </c>
      <c r="G321" s="12" t="str">
        <f t="shared" ca="1" si="66"/>
        <v>No</v>
      </c>
      <c r="H321" s="12">
        <f t="shared" ca="1" si="64"/>
        <v>0</v>
      </c>
      <c r="I321" s="10">
        <f t="shared" ca="1" si="57"/>
        <v>0</v>
      </c>
      <c r="J321" s="13">
        <f t="shared" ca="1" si="58"/>
        <v>0</v>
      </c>
      <c r="K321" s="14">
        <f t="shared" ca="1" si="59"/>
        <v>390</v>
      </c>
      <c r="L321" s="14">
        <f t="shared" ca="1" si="60"/>
        <v>0</v>
      </c>
      <c r="M321" s="15">
        <f t="shared" ca="1" si="61"/>
        <v>390</v>
      </c>
      <c r="N321" s="16">
        <f ca="1">SUM($M$9:M321)/A321</f>
        <v>335.20575079872208</v>
      </c>
    </row>
    <row r="322" spans="1:14" x14ac:dyDescent="0.25">
      <c r="A322" s="8">
        <v>314</v>
      </c>
      <c r="B322" s="9">
        <f t="shared" ca="1" si="55"/>
        <v>1950</v>
      </c>
      <c r="C322" s="10">
        <f t="shared" ca="1" si="56"/>
        <v>0</v>
      </c>
      <c r="D322" s="11">
        <f t="shared" ca="1" si="62"/>
        <v>0.12564995602045226</v>
      </c>
      <c r="E322" s="9">
        <f t="shared" ca="1" si="63"/>
        <v>342</v>
      </c>
      <c r="F322" s="9">
        <f t="shared" ca="1" si="65"/>
        <v>1608</v>
      </c>
      <c r="G322" s="12" t="str">
        <f t="shared" ca="1" si="66"/>
        <v>No</v>
      </c>
      <c r="H322" s="12">
        <f t="shared" ca="1" si="64"/>
        <v>0</v>
      </c>
      <c r="I322" s="10">
        <f t="shared" ca="1" si="57"/>
        <v>0</v>
      </c>
      <c r="J322" s="13">
        <f t="shared" ca="1" si="58"/>
        <v>0</v>
      </c>
      <c r="K322" s="14">
        <f t="shared" ca="1" si="59"/>
        <v>321.60000000000002</v>
      </c>
      <c r="L322" s="14">
        <f t="shared" ca="1" si="60"/>
        <v>0</v>
      </c>
      <c r="M322" s="15">
        <f t="shared" ca="1" si="61"/>
        <v>321.60000000000002</v>
      </c>
      <c r="N322" s="16">
        <f ca="1">SUM($M$9:M322)/A322</f>
        <v>335.16242038216564</v>
      </c>
    </row>
    <row r="323" spans="1:14" x14ac:dyDescent="0.25">
      <c r="A323" s="8">
        <v>315</v>
      </c>
      <c r="B323" s="9">
        <f t="shared" ref="B323:B386" ca="1" si="67">IF(I322=1,F322+Quantity,F322)</f>
        <v>1608</v>
      </c>
      <c r="C323" s="10">
        <f t="shared" ref="C323:C386" ca="1" si="68">IF(I322=1,Quantity,0)</f>
        <v>0</v>
      </c>
      <c r="D323" s="11">
        <f t="shared" ca="1" si="62"/>
        <v>0.71002806724729706</v>
      </c>
      <c r="E323" s="9">
        <f t="shared" ca="1" si="63"/>
        <v>427</v>
      </c>
      <c r="F323" s="9">
        <f t="shared" ca="1" si="65"/>
        <v>1181</v>
      </c>
      <c r="G323" s="12" t="str">
        <f t="shared" ca="1" si="66"/>
        <v>No</v>
      </c>
      <c r="H323" s="12">
        <f t="shared" ca="1" si="64"/>
        <v>0</v>
      </c>
      <c r="I323" s="10">
        <f t="shared" ref="I323:I386" ca="1" si="69">IF(I322&gt;0,I322-1,(IF(G323="Yes",(VLOOKUP(H323,LTD,3)),0)))</f>
        <v>0</v>
      </c>
      <c r="J323" s="13">
        <f t="shared" ref="J323:J386" ca="1" si="70">IF(G323="Yes",Order_Cost,0)</f>
        <v>0</v>
      </c>
      <c r="K323" s="14">
        <f t="shared" ref="K323:K386" ca="1" si="71">F323*Holding_Cost</f>
        <v>236.20000000000002</v>
      </c>
      <c r="L323" s="14">
        <f t="shared" ref="L323:L386" ca="1" si="72">IF(B323+C323&lt;E323,Shortage_Cost*(E323-B323-C323),0)</f>
        <v>0</v>
      </c>
      <c r="M323" s="15">
        <f t="shared" ref="M323:M386" ca="1" si="73">SUM(J323:L323)</f>
        <v>236.20000000000002</v>
      </c>
      <c r="N323" s="16">
        <f ca="1">SUM($M$9:M323)/A323</f>
        <v>334.84825396825403</v>
      </c>
    </row>
    <row r="324" spans="1:14" x14ac:dyDescent="0.25">
      <c r="A324" s="8">
        <v>316</v>
      </c>
      <c r="B324" s="9">
        <f t="shared" ca="1" si="67"/>
        <v>1181</v>
      </c>
      <c r="C324" s="10">
        <f t="shared" ca="1" si="68"/>
        <v>0</v>
      </c>
      <c r="D324" s="11">
        <f t="shared" ca="1" si="62"/>
        <v>0.57925336157668972</v>
      </c>
      <c r="E324" s="9">
        <f t="shared" ca="1" si="63"/>
        <v>409</v>
      </c>
      <c r="F324" s="9">
        <f t="shared" ca="1" si="65"/>
        <v>772</v>
      </c>
      <c r="G324" s="12" t="str">
        <f t="shared" ca="1" si="66"/>
        <v>Yes</v>
      </c>
      <c r="H324" s="12">
        <f t="shared" ca="1" si="64"/>
        <v>8.1499984318695873E-2</v>
      </c>
      <c r="I324" s="10">
        <f t="shared" ca="1" si="69"/>
        <v>1</v>
      </c>
      <c r="J324" s="13">
        <f t="shared" ca="1" si="70"/>
        <v>300</v>
      </c>
      <c r="K324" s="14">
        <f t="shared" ca="1" si="71"/>
        <v>154.4</v>
      </c>
      <c r="L324" s="14">
        <f t="shared" ca="1" si="72"/>
        <v>0</v>
      </c>
      <c r="M324" s="15">
        <f t="shared" ca="1" si="73"/>
        <v>454.4</v>
      </c>
      <c r="N324" s="16">
        <f ca="1">SUM($M$9:M324)/A324</f>
        <v>335.22658227848103</v>
      </c>
    </row>
    <row r="325" spans="1:14" x14ac:dyDescent="0.25">
      <c r="A325" s="8">
        <v>317</v>
      </c>
      <c r="B325" s="9">
        <f t="shared" ca="1" si="67"/>
        <v>2572</v>
      </c>
      <c r="C325" s="10">
        <f t="shared" ca="1" si="68"/>
        <v>1800</v>
      </c>
      <c r="D325" s="11">
        <f t="shared" ca="1" si="62"/>
        <v>0.5109846949086686</v>
      </c>
      <c r="E325" s="9">
        <f t="shared" ca="1" si="63"/>
        <v>401</v>
      </c>
      <c r="F325" s="9">
        <f t="shared" ca="1" si="65"/>
        <v>2171</v>
      </c>
      <c r="G325" s="12" t="str">
        <f t="shared" ca="1" si="66"/>
        <v>No</v>
      </c>
      <c r="H325" s="12">
        <f t="shared" ca="1" si="64"/>
        <v>0</v>
      </c>
      <c r="I325" s="10">
        <f t="shared" ca="1" si="69"/>
        <v>0</v>
      </c>
      <c r="J325" s="13">
        <f t="shared" ca="1" si="70"/>
        <v>0</v>
      </c>
      <c r="K325" s="14">
        <f t="shared" ca="1" si="71"/>
        <v>434.20000000000005</v>
      </c>
      <c r="L325" s="14">
        <f t="shared" ca="1" si="72"/>
        <v>0</v>
      </c>
      <c r="M325" s="15">
        <f t="shared" ca="1" si="73"/>
        <v>434.20000000000005</v>
      </c>
      <c r="N325" s="16">
        <f ca="1">SUM($M$9:M325)/A325</f>
        <v>335.53880126182969</v>
      </c>
    </row>
    <row r="326" spans="1:14" x14ac:dyDescent="0.25">
      <c r="A326" s="8">
        <v>318</v>
      </c>
      <c r="B326" s="9">
        <f t="shared" ca="1" si="67"/>
        <v>2171</v>
      </c>
      <c r="C326" s="10">
        <f t="shared" ca="1" si="68"/>
        <v>0</v>
      </c>
      <c r="D326" s="11">
        <f t="shared" ca="1" si="62"/>
        <v>0.61218364777497469</v>
      </c>
      <c r="E326" s="9">
        <f t="shared" ca="1" si="63"/>
        <v>414</v>
      </c>
      <c r="F326" s="9">
        <f t="shared" ca="1" si="65"/>
        <v>1757</v>
      </c>
      <c r="G326" s="12" t="str">
        <f t="shared" ca="1" si="66"/>
        <v>No</v>
      </c>
      <c r="H326" s="12">
        <f t="shared" ca="1" si="64"/>
        <v>0</v>
      </c>
      <c r="I326" s="10">
        <f t="shared" ca="1" si="69"/>
        <v>0</v>
      </c>
      <c r="J326" s="13">
        <f t="shared" ca="1" si="70"/>
        <v>0</v>
      </c>
      <c r="K326" s="14">
        <f t="shared" ca="1" si="71"/>
        <v>351.40000000000003</v>
      </c>
      <c r="L326" s="14">
        <f t="shared" ca="1" si="72"/>
        <v>0</v>
      </c>
      <c r="M326" s="15">
        <f t="shared" ca="1" si="73"/>
        <v>351.40000000000003</v>
      </c>
      <c r="N326" s="16">
        <f ca="1">SUM($M$9:M326)/A326</f>
        <v>335.588679245283</v>
      </c>
    </row>
    <row r="327" spans="1:14" x14ac:dyDescent="0.25">
      <c r="A327" s="8">
        <v>319</v>
      </c>
      <c r="B327" s="9">
        <f t="shared" ca="1" si="67"/>
        <v>1757</v>
      </c>
      <c r="C327" s="10">
        <f t="shared" ca="1" si="68"/>
        <v>0</v>
      </c>
      <c r="D327" s="11">
        <f t="shared" ca="1" si="62"/>
        <v>0.83294220139987329</v>
      </c>
      <c r="E327" s="9">
        <f t="shared" ca="1" si="63"/>
        <v>448</v>
      </c>
      <c r="F327" s="9">
        <f t="shared" ca="1" si="65"/>
        <v>1309</v>
      </c>
      <c r="G327" s="12" t="str">
        <f t="shared" ca="1" si="66"/>
        <v>No</v>
      </c>
      <c r="H327" s="12">
        <f t="shared" ca="1" si="64"/>
        <v>0</v>
      </c>
      <c r="I327" s="10">
        <f t="shared" ca="1" si="69"/>
        <v>0</v>
      </c>
      <c r="J327" s="13">
        <f t="shared" ca="1" si="70"/>
        <v>0</v>
      </c>
      <c r="K327" s="14">
        <f t="shared" ca="1" si="71"/>
        <v>261.8</v>
      </c>
      <c r="L327" s="14">
        <f t="shared" ca="1" si="72"/>
        <v>0</v>
      </c>
      <c r="M327" s="15">
        <f t="shared" ca="1" si="73"/>
        <v>261.8</v>
      </c>
      <c r="N327" s="16">
        <f ca="1">SUM($M$9:M327)/A327</f>
        <v>335.35736677115989</v>
      </c>
    </row>
    <row r="328" spans="1:14" x14ac:dyDescent="0.25">
      <c r="A328" s="8">
        <v>320</v>
      </c>
      <c r="B328" s="9">
        <f t="shared" ca="1" si="67"/>
        <v>1309</v>
      </c>
      <c r="C328" s="10">
        <f t="shared" ca="1" si="68"/>
        <v>0</v>
      </c>
      <c r="D328" s="11">
        <f t="shared" ca="1" si="62"/>
        <v>0.24103113266643861</v>
      </c>
      <c r="E328" s="9">
        <f t="shared" ca="1" si="63"/>
        <v>364</v>
      </c>
      <c r="F328" s="9">
        <f t="shared" ca="1" si="65"/>
        <v>945</v>
      </c>
      <c r="G328" s="12" t="str">
        <f t="shared" ca="1" si="66"/>
        <v>Yes</v>
      </c>
      <c r="H328" s="12">
        <f t="shared" ca="1" si="64"/>
        <v>0.9140040002712031</v>
      </c>
      <c r="I328" s="10">
        <f t="shared" ca="1" si="69"/>
        <v>3</v>
      </c>
      <c r="J328" s="13">
        <f t="shared" ca="1" si="70"/>
        <v>300</v>
      </c>
      <c r="K328" s="14">
        <f t="shared" ca="1" si="71"/>
        <v>189</v>
      </c>
      <c r="L328" s="14">
        <f t="shared" ca="1" si="72"/>
        <v>0</v>
      </c>
      <c r="M328" s="15">
        <f t="shared" ca="1" si="73"/>
        <v>489</v>
      </c>
      <c r="N328" s="16">
        <f ca="1">SUM($M$9:M328)/A328</f>
        <v>335.83749999999998</v>
      </c>
    </row>
    <row r="329" spans="1:14" x14ac:dyDescent="0.25">
      <c r="A329" s="8">
        <v>321</v>
      </c>
      <c r="B329" s="9">
        <f t="shared" ca="1" si="67"/>
        <v>945</v>
      </c>
      <c r="C329" s="10">
        <f t="shared" ca="1" si="68"/>
        <v>0</v>
      </c>
      <c r="D329" s="11">
        <f t="shared" ca="1" si="62"/>
        <v>0.76605567161585075</v>
      </c>
      <c r="E329" s="9">
        <f t="shared" ca="1" si="63"/>
        <v>436</v>
      </c>
      <c r="F329" s="9">
        <f t="shared" ca="1" si="65"/>
        <v>509</v>
      </c>
      <c r="G329" s="12" t="str">
        <f t="shared" ca="1" si="66"/>
        <v>No</v>
      </c>
      <c r="H329" s="12">
        <f t="shared" ca="1" si="64"/>
        <v>0</v>
      </c>
      <c r="I329" s="10">
        <f t="shared" ca="1" si="69"/>
        <v>2</v>
      </c>
      <c r="J329" s="13">
        <f t="shared" ca="1" si="70"/>
        <v>0</v>
      </c>
      <c r="K329" s="14">
        <f t="shared" ca="1" si="71"/>
        <v>101.80000000000001</v>
      </c>
      <c r="L329" s="14">
        <f t="shared" ca="1" si="72"/>
        <v>0</v>
      </c>
      <c r="M329" s="15">
        <f t="shared" ca="1" si="73"/>
        <v>101.80000000000001</v>
      </c>
      <c r="N329" s="16">
        <f ca="1">SUM($M$9:M329)/A329</f>
        <v>335.10841121495326</v>
      </c>
    </row>
    <row r="330" spans="1:14" x14ac:dyDescent="0.25">
      <c r="A330" s="8">
        <v>322</v>
      </c>
      <c r="B330" s="9">
        <f t="shared" ca="1" si="67"/>
        <v>509</v>
      </c>
      <c r="C330" s="10">
        <f t="shared" ca="1" si="68"/>
        <v>0</v>
      </c>
      <c r="D330" s="11">
        <f t="shared" ref="D330:D393" ca="1" si="74">RAND()</f>
        <v>0.30806441334537449</v>
      </c>
      <c r="E330" s="9">
        <f t="shared" ref="E330:E393" ca="1" si="75">INT(NORMINV(D330,D_Mean,D_StdDev))</f>
        <v>374</v>
      </c>
      <c r="F330" s="9">
        <f t="shared" ca="1" si="65"/>
        <v>135</v>
      </c>
      <c r="G330" s="12" t="str">
        <f t="shared" ca="1" si="66"/>
        <v>No</v>
      </c>
      <c r="H330" s="12">
        <f t="shared" ref="H330:H393" ca="1" si="76">IF(G330="Yes",RAND(),0)</f>
        <v>0</v>
      </c>
      <c r="I330" s="10">
        <f t="shared" ca="1" si="69"/>
        <v>1</v>
      </c>
      <c r="J330" s="13">
        <f t="shared" ca="1" si="70"/>
        <v>0</v>
      </c>
      <c r="K330" s="14">
        <f t="shared" ca="1" si="71"/>
        <v>27</v>
      </c>
      <c r="L330" s="14">
        <f t="shared" ca="1" si="72"/>
        <v>0</v>
      </c>
      <c r="M330" s="15">
        <f t="shared" ca="1" si="73"/>
        <v>27</v>
      </c>
      <c r="N330" s="16">
        <f ca="1">SUM($M$9:M330)/A330</f>
        <v>334.15155279503108</v>
      </c>
    </row>
    <row r="331" spans="1:14" x14ac:dyDescent="0.25">
      <c r="A331" s="8">
        <v>323</v>
      </c>
      <c r="B331" s="9">
        <f t="shared" ca="1" si="67"/>
        <v>1935</v>
      </c>
      <c r="C331" s="10">
        <f t="shared" ca="1" si="68"/>
        <v>1800</v>
      </c>
      <c r="D331" s="11">
        <f t="shared" ca="1" si="74"/>
        <v>0.41739965246005795</v>
      </c>
      <c r="E331" s="9">
        <f t="shared" ca="1" si="75"/>
        <v>389</v>
      </c>
      <c r="F331" s="9">
        <f t="shared" ref="F331:F394" ca="1" si="77">IF(B331+C331-E331&lt;0,0,B331-E331)</f>
        <v>1546</v>
      </c>
      <c r="G331" s="12" t="str">
        <f t="shared" ca="1" si="66"/>
        <v>No</v>
      </c>
      <c r="H331" s="12">
        <f t="shared" ca="1" si="76"/>
        <v>0</v>
      </c>
      <c r="I331" s="10">
        <f t="shared" ca="1" si="69"/>
        <v>0</v>
      </c>
      <c r="J331" s="13">
        <f t="shared" ca="1" si="70"/>
        <v>0</v>
      </c>
      <c r="K331" s="14">
        <f t="shared" ca="1" si="71"/>
        <v>309.20000000000005</v>
      </c>
      <c r="L331" s="14">
        <f t="shared" ca="1" si="72"/>
        <v>0</v>
      </c>
      <c r="M331" s="15">
        <f t="shared" ca="1" si="73"/>
        <v>309.20000000000005</v>
      </c>
      <c r="N331" s="16">
        <f ca="1">SUM($M$9:M331)/A331</f>
        <v>334.07430340557278</v>
      </c>
    </row>
    <row r="332" spans="1:14" x14ac:dyDescent="0.25">
      <c r="A332" s="8">
        <v>324</v>
      </c>
      <c r="B332" s="9">
        <f t="shared" ca="1" si="67"/>
        <v>1546</v>
      </c>
      <c r="C332" s="10">
        <f t="shared" ca="1" si="68"/>
        <v>0</v>
      </c>
      <c r="D332" s="11">
        <f t="shared" ca="1" si="74"/>
        <v>0.96205981108453975</v>
      </c>
      <c r="E332" s="9">
        <f t="shared" ca="1" si="75"/>
        <v>488</v>
      </c>
      <c r="F332" s="9">
        <f t="shared" ca="1" si="77"/>
        <v>1058</v>
      </c>
      <c r="G332" s="12" t="str">
        <f t="shared" ref="G332:G395" ca="1" si="78">IF(B332&lt;Point,IF(I331=0,"Yes","No"),"No")</f>
        <v>No</v>
      </c>
      <c r="H332" s="12">
        <f t="shared" ca="1" si="76"/>
        <v>0</v>
      </c>
      <c r="I332" s="10">
        <f t="shared" ca="1" si="69"/>
        <v>0</v>
      </c>
      <c r="J332" s="13">
        <f t="shared" ca="1" si="70"/>
        <v>0</v>
      </c>
      <c r="K332" s="14">
        <f t="shared" ca="1" si="71"/>
        <v>211.60000000000002</v>
      </c>
      <c r="L332" s="14">
        <f t="shared" ca="1" si="72"/>
        <v>0</v>
      </c>
      <c r="M332" s="15">
        <f t="shared" ca="1" si="73"/>
        <v>211.60000000000002</v>
      </c>
      <c r="N332" s="16">
        <f ca="1">SUM($M$9:M332)/A332</f>
        <v>333.69629629629634</v>
      </c>
    </row>
    <row r="333" spans="1:14" x14ac:dyDescent="0.25">
      <c r="A333" s="8">
        <v>325</v>
      </c>
      <c r="B333" s="9">
        <f t="shared" ca="1" si="67"/>
        <v>1058</v>
      </c>
      <c r="C333" s="10">
        <f t="shared" ca="1" si="68"/>
        <v>0</v>
      </c>
      <c r="D333" s="11">
        <f t="shared" ca="1" si="74"/>
        <v>0.20915674902881687</v>
      </c>
      <c r="E333" s="9">
        <f t="shared" ca="1" si="75"/>
        <v>359</v>
      </c>
      <c r="F333" s="9">
        <f t="shared" ca="1" si="77"/>
        <v>699</v>
      </c>
      <c r="G333" s="12" t="str">
        <f t="shared" ca="1" si="78"/>
        <v>Yes</v>
      </c>
      <c r="H333" s="12">
        <f t="shared" ca="1" si="76"/>
        <v>0.25538572837340157</v>
      </c>
      <c r="I333" s="10">
        <f t="shared" ca="1" si="69"/>
        <v>1</v>
      </c>
      <c r="J333" s="13">
        <f t="shared" ca="1" si="70"/>
        <v>300</v>
      </c>
      <c r="K333" s="14">
        <f t="shared" ca="1" si="71"/>
        <v>139.80000000000001</v>
      </c>
      <c r="L333" s="14">
        <f t="shared" ca="1" si="72"/>
        <v>0</v>
      </c>
      <c r="M333" s="15">
        <f t="shared" ca="1" si="73"/>
        <v>439.8</v>
      </c>
      <c r="N333" s="16">
        <f ca="1">SUM($M$9:M333)/A333</f>
        <v>334.02276923076926</v>
      </c>
    </row>
    <row r="334" spans="1:14" x14ac:dyDescent="0.25">
      <c r="A334" s="8">
        <v>326</v>
      </c>
      <c r="B334" s="9">
        <f t="shared" ca="1" si="67"/>
        <v>2499</v>
      </c>
      <c r="C334" s="10">
        <f t="shared" ca="1" si="68"/>
        <v>1800</v>
      </c>
      <c r="D334" s="11">
        <f t="shared" ca="1" si="74"/>
        <v>0.63358937381044333</v>
      </c>
      <c r="E334" s="9">
        <f t="shared" ca="1" si="75"/>
        <v>417</v>
      </c>
      <c r="F334" s="9">
        <f t="shared" ca="1" si="77"/>
        <v>2082</v>
      </c>
      <c r="G334" s="12" t="str">
        <f t="shared" ca="1" si="78"/>
        <v>No</v>
      </c>
      <c r="H334" s="12">
        <f t="shared" ca="1" si="76"/>
        <v>0</v>
      </c>
      <c r="I334" s="10">
        <f t="shared" ca="1" si="69"/>
        <v>0</v>
      </c>
      <c r="J334" s="13">
        <f t="shared" ca="1" si="70"/>
        <v>0</v>
      </c>
      <c r="K334" s="14">
        <f t="shared" ca="1" si="71"/>
        <v>416.40000000000003</v>
      </c>
      <c r="L334" s="14">
        <f t="shared" ca="1" si="72"/>
        <v>0</v>
      </c>
      <c r="M334" s="15">
        <f t="shared" ca="1" si="73"/>
        <v>416.40000000000003</v>
      </c>
      <c r="N334" s="16">
        <f ca="1">SUM($M$9:M334)/A334</f>
        <v>334.27546012269937</v>
      </c>
    </row>
    <row r="335" spans="1:14" x14ac:dyDescent="0.25">
      <c r="A335" s="8">
        <v>327</v>
      </c>
      <c r="B335" s="9">
        <f t="shared" ca="1" si="67"/>
        <v>2082</v>
      </c>
      <c r="C335" s="10">
        <f t="shared" ca="1" si="68"/>
        <v>0</v>
      </c>
      <c r="D335" s="11">
        <f t="shared" ca="1" si="74"/>
        <v>0.48401672266686235</v>
      </c>
      <c r="E335" s="9">
        <f t="shared" ca="1" si="75"/>
        <v>397</v>
      </c>
      <c r="F335" s="9">
        <f t="shared" ca="1" si="77"/>
        <v>1685</v>
      </c>
      <c r="G335" s="12" t="str">
        <f t="shared" ca="1" si="78"/>
        <v>No</v>
      </c>
      <c r="H335" s="12">
        <f t="shared" ca="1" si="76"/>
        <v>0</v>
      </c>
      <c r="I335" s="10">
        <f t="shared" ca="1" si="69"/>
        <v>0</v>
      </c>
      <c r="J335" s="13">
        <f t="shared" ca="1" si="70"/>
        <v>0</v>
      </c>
      <c r="K335" s="14">
        <f t="shared" ca="1" si="71"/>
        <v>337</v>
      </c>
      <c r="L335" s="14">
        <f t="shared" ca="1" si="72"/>
        <v>0</v>
      </c>
      <c r="M335" s="15">
        <f t="shared" ca="1" si="73"/>
        <v>337</v>
      </c>
      <c r="N335" s="16">
        <f ca="1">SUM($M$9:M335)/A335</f>
        <v>334.28379204892968</v>
      </c>
    </row>
    <row r="336" spans="1:14" x14ac:dyDescent="0.25">
      <c r="A336" s="8">
        <v>328</v>
      </c>
      <c r="B336" s="9">
        <f t="shared" ca="1" si="67"/>
        <v>1685</v>
      </c>
      <c r="C336" s="10">
        <f t="shared" ca="1" si="68"/>
        <v>0</v>
      </c>
      <c r="D336" s="11">
        <f t="shared" ca="1" si="74"/>
        <v>0.15059123856960865</v>
      </c>
      <c r="E336" s="9">
        <f t="shared" ca="1" si="75"/>
        <v>348</v>
      </c>
      <c r="F336" s="9">
        <f t="shared" ca="1" si="77"/>
        <v>1337</v>
      </c>
      <c r="G336" s="12" t="str">
        <f t="shared" ca="1" si="78"/>
        <v>No</v>
      </c>
      <c r="H336" s="12">
        <f t="shared" ca="1" si="76"/>
        <v>0</v>
      </c>
      <c r="I336" s="10">
        <f t="shared" ca="1" si="69"/>
        <v>0</v>
      </c>
      <c r="J336" s="13">
        <f t="shared" ca="1" si="70"/>
        <v>0</v>
      </c>
      <c r="K336" s="14">
        <f t="shared" ca="1" si="71"/>
        <v>267.40000000000003</v>
      </c>
      <c r="L336" s="14">
        <f t="shared" ca="1" si="72"/>
        <v>0</v>
      </c>
      <c r="M336" s="15">
        <f t="shared" ca="1" si="73"/>
        <v>267.40000000000003</v>
      </c>
      <c r="N336" s="16">
        <f ca="1">SUM($M$9:M336)/A336</f>
        <v>334.07987804878047</v>
      </c>
    </row>
    <row r="337" spans="1:14" x14ac:dyDescent="0.25">
      <c r="A337" s="8">
        <v>329</v>
      </c>
      <c r="B337" s="9">
        <f t="shared" ca="1" si="67"/>
        <v>1337</v>
      </c>
      <c r="C337" s="10">
        <f t="shared" ca="1" si="68"/>
        <v>0</v>
      </c>
      <c r="D337" s="11">
        <f t="shared" ca="1" si="74"/>
        <v>0.93337127073302828</v>
      </c>
      <c r="E337" s="9">
        <f t="shared" ca="1" si="75"/>
        <v>475</v>
      </c>
      <c r="F337" s="9">
        <f t="shared" ca="1" si="77"/>
        <v>862</v>
      </c>
      <c r="G337" s="12" t="str">
        <f t="shared" ca="1" si="78"/>
        <v>Yes</v>
      </c>
      <c r="H337" s="12">
        <f t="shared" ca="1" si="76"/>
        <v>0.47545321226064807</v>
      </c>
      <c r="I337" s="10">
        <f t="shared" ca="1" si="69"/>
        <v>1</v>
      </c>
      <c r="J337" s="13">
        <f t="shared" ca="1" si="70"/>
        <v>300</v>
      </c>
      <c r="K337" s="14">
        <f t="shared" ca="1" si="71"/>
        <v>172.4</v>
      </c>
      <c r="L337" s="14">
        <f t="shared" ca="1" si="72"/>
        <v>0</v>
      </c>
      <c r="M337" s="15">
        <f t="shared" ca="1" si="73"/>
        <v>472.4</v>
      </c>
      <c r="N337" s="16">
        <f ca="1">SUM($M$9:M337)/A337</f>
        <v>334.50030395136775</v>
      </c>
    </row>
    <row r="338" spans="1:14" x14ac:dyDescent="0.25">
      <c r="A338" s="8">
        <v>330</v>
      </c>
      <c r="B338" s="9">
        <f t="shared" ca="1" si="67"/>
        <v>2662</v>
      </c>
      <c r="C338" s="10">
        <f t="shared" ca="1" si="68"/>
        <v>1800</v>
      </c>
      <c r="D338" s="11">
        <f t="shared" ca="1" si="74"/>
        <v>0.64529572110545241</v>
      </c>
      <c r="E338" s="9">
        <f t="shared" ca="1" si="75"/>
        <v>418</v>
      </c>
      <c r="F338" s="9">
        <f t="shared" ca="1" si="77"/>
        <v>2244</v>
      </c>
      <c r="G338" s="12" t="str">
        <f t="shared" ca="1" si="78"/>
        <v>No</v>
      </c>
      <c r="H338" s="12">
        <f t="shared" ca="1" si="76"/>
        <v>0</v>
      </c>
      <c r="I338" s="10">
        <f t="shared" ca="1" si="69"/>
        <v>0</v>
      </c>
      <c r="J338" s="13">
        <f t="shared" ca="1" si="70"/>
        <v>0</v>
      </c>
      <c r="K338" s="14">
        <f t="shared" ca="1" si="71"/>
        <v>448.8</v>
      </c>
      <c r="L338" s="14">
        <f t="shared" ca="1" si="72"/>
        <v>0</v>
      </c>
      <c r="M338" s="15">
        <f t="shared" ca="1" si="73"/>
        <v>448.8</v>
      </c>
      <c r="N338" s="16">
        <f ca="1">SUM($M$9:M338)/A338</f>
        <v>334.84666666666664</v>
      </c>
    </row>
    <row r="339" spans="1:14" x14ac:dyDescent="0.25">
      <c r="A339" s="8">
        <v>331</v>
      </c>
      <c r="B339" s="9">
        <f t="shared" ca="1" si="67"/>
        <v>2244</v>
      </c>
      <c r="C339" s="10">
        <f t="shared" ca="1" si="68"/>
        <v>0</v>
      </c>
      <c r="D339" s="11">
        <f t="shared" ca="1" si="74"/>
        <v>0.75825991394466252</v>
      </c>
      <c r="E339" s="9">
        <f t="shared" ca="1" si="75"/>
        <v>435</v>
      </c>
      <c r="F339" s="9">
        <f t="shared" ca="1" si="77"/>
        <v>1809</v>
      </c>
      <c r="G339" s="12" t="str">
        <f t="shared" ca="1" si="78"/>
        <v>No</v>
      </c>
      <c r="H339" s="12">
        <f t="shared" ca="1" si="76"/>
        <v>0</v>
      </c>
      <c r="I339" s="10">
        <f t="shared" ca="1" si="69"/>
        <v>0</v>
      </c>
      <c r="J339" s="13">
        <f t="shared" ca="1" si="70"/>
        <v>0</v>
      </c>
      <c r="K339" s="14">
        <f t="shared" ca="1" si="71"/>
        <v>361.8</v>
      </c>
      <c r="L339" s="14">
        <f t="shared" ca="1" si="72"/>
        <v>0</v>
      </c>
      <c r="M339" s="15">
        <f t="shared" ca="1" si="73"/>
        <v>361.8</v>
      </c>
      <c r="N339" s="16">
        <f ca="1">SUM($M$9:M339)/A339</f>
        <v>334.92809667673714</v>
      </c>
    </row>
    <row r="340" spans="1:14" x14ac:dyDescent="0.25">
      <c r="A340" s="8">
        <v>332</v>
      </c>
      <c r="B340" s="9">
        <f t="shared" ca="1" si="67"/>
        <v>1809</v>
      </c>
      <c r="C340" s="10">
        <f t="shared" ca="1" si="68"/>
        <v>0</v>
      </c>
      <c r="D340" s="11">
        <f t="shared" ca="1" si="74"/>
        <v>0.92096628813449888</v>
      </c>
      <c r="E340" s="9">
        <f t="shared" ca="1" si="75"/>
        <v>470</v>
      </c>
      <c r="F340" s="9">
        <f t="shared" ca="1" si="77"/>
        <v>1339</v>
      </c>
      <c r="G340" s="12" t="str">
        <f t="shared" ca="1" si="78"/>
        <v>No</v>
      </c>
      <c r="H340" s="12">
        <f t="shared" ca="1" si="76"/>
        <v>0</v>
      </c>
      <c r="I340" s="10">
        <f t="shared" ca="1" si="69"/>
        <v>0</v>
      </c>
      <c r="J340" s="13">
        <f t="shared" ca="1" si="70"/>
        <v>0</v>
      </c>
      <c r="K340" s="14">
        <f t="shared" ca="1" si="71"/>
        <v>267.8</v>
      </c>
      <c r="L340" s="14">
        <f t="shared" ca="1" si="72"/>
        <v>0</v>
      </c>
      <c r="M340" s="15">
        <f t="shared" ca="1" si="73"/>
        <v>267.8</v>
      </c>
      <c r="N340" s="16">
        <f ca="1">SUM($M$9:M340)/A340</f>
        <v>334.72590361445782</v>
      </c>
    </row>
    <row r="341" spans="1:14" x14ac:dyDescent="0.25">
      <c r="A341" s="8">
        <v>333</v>
      </c>
      <c r="B341" s="9">
        <f t="shared" ca="1" si="67"/>
        <v>1339</v>
      </c>
      <c r="C341" s="10">
        <f t="shared" ca="1" si="68"/>
        <v>0</v>
      </c>
      <c r="D341" s="11">
        <f t="shared" ca="1" si="74"/>
        <v>0.85947684033940175</v>
      </c>
      <c r="E341" s="9">
        <f t="shared" ca="1" si="75"/>
        <v>453</v>
      </c>
      <c r="F341" s="9">
        <f t="shared" ca="1" si="77"/>
        <v>886</v>
      </c>
      <c r="G341" s="12" t="str">
        <f t="shared" ca="1" si="78"/>
        <v>Yes</v>
      </c>
      <c r="H341" s="12">
        <f t="shared" ca="1" si="76"/>
        <v>0.32268870201376199</v>
      </c>
      <c r="I341" s="10">
        <f t="shared" ca="1" si="69"/>
        <v>1</v>
      </c>
      <c r="J341" s="13">
        <f t="shared" ca="1" si="70"/>
        <v>300</v>
      </c>
      <c r="K341" s="14">
        <f t="shared" ca="1" si="71"/>
        <v>177.20000000000002</v>
      </c>
      <c r="L341" s="14">
        <f t="shared" ca="1" si="72"/>
        <v>0</v>
      </c>
      <c r="M341" s="15">
        <f t="shared" ca="1" si="73"/>
        <v>477.20000000000005</v>
      </c>
      <c r="N341" s="16">
        <f ca="1">SUM($M$9:M341)/A341</f>
        <v>335.15375375375373</v>
      </c>
    </row>
    <row r="342" spans="1:14" x14ac:dyDescent="0.25">
      <c r="A342" s="8">
        <v>334</v>
      </c>
      <c r="B342" s="9">
        <f t="shared" ca="1" si="67"/>
        <v>2686</v>
      </c>
      <c r="C342" s="10">
        <f t="shared" ca="1" si="68"/>
        <v>1800</v>
      </c>
      <c r="D342" s="11">
        <f t="shared" ca="1" si="74"/>
        <v>4.8844575699266368E-2</v>
      </c>
      <c r="E342" s="9">
        <f t="shared" ca="1" si="75"/>
        <v>317</v>
      </c>
      <c r="F342" s="9">
        <f t="shared" ca="1" si="77"/>
        <v>2369</v>
      </c>
      <c r="G342" s="12" t="str">
        <f t="shared" ca="1" si="78"/>
        <v>No</v>
      </c>
      <c r="H342" s="12">
        <f t="shared" ca="1" si="76"/>
        <v>0</v>
      </c>
      <c r="I342" s="10">
        <f t="shared" ca="1" si="69"/>
        <v>0</v>
      </c>
      <c r="J342" s="13">
        <f t="shared" ca="1" si="70"/>
        <v>0</v>
      </c>
      <c r="K342" s="14">
        <f t="shared" ca="1" si="71"/>
        <v>473.8</v>
      </c>
      <c r="L342" s="14">
        <f t="shared" ca="1" si="72"/>
        <v>0</v>
      </c>
      <c r="M342" s="15">
        <f t="shared" ca="1" si="73"/>
        <v>473.8</v>
      </c>
      <c r="N342" s="16">
        <f ca="1">SUM($M$9:M342)/A342</f>
        <v>335.56886227544908</v>
      </c>
    </row>
    <row r="343" spans="1:14" x14ac:dyDescent="0.25">
      <c r="A343" s="8">
        <v>335</v>
      </c>
      <c r="B343" s="9">
        <f t="shared" ca="1" si="67"/>
        <v>2369</v>
      </c>
      <c r="C343" s="10">
        <f t="shared" ca="1" si="68"/>
        <v>0</v>
      </c>
      <c r="D343" s="11">
        <f t="shared" ca="1" si="74"/>
        <v>0.15207749601248799</v>
      </c>
      <c r="E343" s="9">
        <f t="shared" ca="1" si="75"/>
        <v>348</v>
      </c>
      <c r="F343" s="9">
        <f t="shared" ca="1" si="77"/>
        <v>2021</v>
      </c>
      <c r="G343" s="12" t="str">
        <f t="shared" ca="1" si="78"/>
        <v>No</v>
      </c>
      <c r="H343" s="12">
        <f t="shared" ca="1" si="76"/>
        <v>0</v>
      </c>
      <c r="I343" s="10">
        <f t="shared" ca="1" si="69"/>
        <v>0</v>
      </c>
      <c r="J343" s="13">
        <f t="shared" ca="1" si="70"/>
        <v>0</v>
      </c>
      <c r="K343" s="14">
        <f t="shared" ca="1" si="71"/>
        <v>404.20000000000005</v>
      </c>
      <c r="L343" s="14">
        <f t="shared" ca="1" si="72"/>
        <v>0</v>
      </c>
      <c r="M343" s="15">
        <f t="shared" ca="1" si="73"/>
        <v>404.20000000000005</v>
      </c>
      <c r="N343" s="16">
        <f ca="1">SUM($M$9:M343)/A343</f>
        <v>335.7737313432836</v>
      </c>
    </row>
    <row r="344" spans="1:14" x14ac:dyDescent="0.25">
      <c r="A344" s="8">
        <v>336</v>
      </c>
      <c r="B344" s="9">
        <f t="shared" ca="1" si="67"/>
        <v>2021</v>
      </c>
      <c r="C344" s="10">
        <f t="shared" ca="1" si="68"/>
        <v>0</v>
      </c>
      <c r="D344" s="11">
        <f t="shared" ca="1" si="74"/>
        <v>0.3506613754415876</v>
      </c>
      <c r="E344" s="9">
        <f t="shared" ca="1" si="75"/>
        <v>380</v>
      </c>
      <c r="F344" s="9">
        <f t="shared" ca="1" si="77"/>
        <v>1641</v>
      </c>
      <c r="G344" s="12" t="str">
        <f t="shared" ca="1" si="78"/>
        <v>No</v>
      </c>
      <c r="H344" s="12">
        <f t="shared" ca="1" si="76"/>
        <v>0</v>
      </c>
      <c r="I344" s="10">
        <f t="shared" ca="1" si="69"/>
        <v>0</v>
      </c>
      <c r="J344" s="13">
        <f t="shared" ca="1" si="70"/>
        <v>0</v>
      </c>
      <c r="K344" s="14">
        <f t="shared" ca="1" si="71"/>
        <v>328.20000000000005</v>
      </c>
      <c r="L344" s="14">
        <f t="shared" ca="1" si="72"/>
        <v>0</v>
      </c>
      <c r="M344" s="15">
        <f t="shared" ca="1" si="73"/>
        <v>328.20000000000005</v>
      </c>
      <c r="N344" s="16">
        <f ca="1">SUM($M$9:M344)/A344</f>
        <v>335.75119047619046</v>
      </c>
    </row>
    <row r="345" spans="1:14" x14ac:dyDescent="0.25">
      <c r="A345" s="8">
        <v>337</v>
      </c>
      <c r="B345" s="9">
        <f t="shared" ca="1" si="67"/>
        <v>1641</v>
      </c>
      <c r="C345" s="10">
        <f t="shared" ca="1" si="68"/>
        <v>0</v>
      </c>
      <c r="D345" s="11">
        <f t="shared" ca="1" si="74"/>
        <v>0.16868249384864287</v>
      </c>
      <c r="E345" s="9">
        <f t="shared" ca="1" si="75"/>
        <v>352</v>
      </c>
      <c r="F345" s="9">
        <f t="shared" ca="1" si="77"/>
        <v>1289</v>
      </c>
      <c r="G345" s="12" t="str">
        <f t="shared" ca="1" si="78"/>
        <v>No</v>
      </c>
      <c r="H345" s="12">
        <f t="shared" ca="1" si="76"/>
        <v>0</v>
      </c>
      <c r="I345" s="10">
        <f t="shared" ca="1" si="69"/>
        <v>0</v>
      </c>
      <c r="J345" s="13">
        <f t="shared" ca="1" si="70"/>
        <v>0</v>
      </c>
      <c r="K345" s="14">
        <f t="shared" ca="1" si="71"/>
        <v>257.8</v>
      </c>
      <c r="L345" s="14">
        <f t="shared" ca="1" si="72"/>
        <v>0</v>
      </c>
      <c r="M345" s="15">
        <f t="shared" ca="1" si="73"/>
        <v>257.8</v>
      </c>
      <c r="N345" s="16">
        <f ca="1">SUM($M$9:M345)/A345</f>
        <v>335.51988130563797</v>
      </c>
    </row>
    <row r="346" spans="1:14" x14ac:dyDescent="0.25">
      <c r="A346" s="8">
        <v>338</v>
      </c>
      <c r="B346" s="9">
        <f t="shared" ca="1" si="67"/>
        <v>1289</v>
      </c>
      <c r="C346" s="10">
        <f t="shared" ca="1" si="68"/>
        <v>0</v>
      </c>
      <c r="D346" s="11">
        <f t="shared" ca="1" si="74"/>
        <v>0.70579530035747817</v>
      </c>
      <c r="E346" s="9">
        <f t="shared" ca="1" si="75"/>
        <v>427</v>
      </c>
      <c r="F346" s="9">
        <f t="shared" ca="1" si="77"/>
        <v>862</v>
      </c>
      <c r="G346" s="12" t="str">
        <f t="shared" ca="1" si="78"/>
        <v>Yes</v>
      </c>
      <c r="H346" s="12">
        <f t="shared" ca="1" si="76"/>
        <v>9.6443512455934188E-2</v>
      </c>
      <c r="I346" s="10">
        <f t="shared" ca="1" si="69"/>
        <v>1</v>
      </c>
      <c r="J346" s="13">
        <f t="shared" ca="1" si="70"/>
        <v>300</v>
      </c>
      <c r="K346" s="14">
        <f t="shared" ca="1" si="71"/>
        <v>172.4</v>
      </c>
      <c r="L346" s="14">
        <f t="shared" ca="1" si="72"/>
        <v>0</v>
      </c>
      <c r="M346" s="15">
        <f t="shared" ca="1" si="73"/>
        <v>472.4</v>
      </c>
      <c r="N346" s="16">
        <f ca="1">SUM($M$9:M346)/A346</f>
        <v>335.92485207100589</v>
      </c>
    </row>
    <row r="347" spans="1:14" x14ac:dyDescent="0.25">
      <c r="A347" s="8">
        <v>339</v>
      </c>
      <c r="B347" s="9">
        <f t="shared" ca="1" si="67"/>
        <v>2662</v>
      </c>
      <c r="C347" s="10">
        <f t="shared" ca="1" si="68"/>
        <v>1800</v>
      </c>
      <c r="D347" s="11">
        <f t="shared" ca="1" si="74"/>
        <v>0.97258393677123067</v>
      </c>
      <c r="E347" s="9">
        <f t="shared" ca="1" si="75"/>
        <v>496</v>
      </c>
      <c r="F347" s="9">
        <f t="shared" ca="1" si="77"/>
        <v>2166</v>
      </c>
      <c r="G347" s="12" t="str">
        <f t="shared" ca="1" si="78"/>
        <v>No</v>
      </c>
      <c r="H347" s="12">
        <f t="shared" ca="1" si="76"/>
        <v>0</v>
      </c>
      <c r="I347" s="10">
        <f t="shared" ca="1" si="69"/>
        <v>0</v>
      </c>
      <c r="J347" s="13">
        <f t="shared" ca="1" si="70"/>
        <v>0</v>
      </c>
      <c r="K347" s="14">
        <f t="shared" ca="1" si="71"/>
        <v>433.20000000000005</v>
      </c>
      <c r="L347" s="14">
        <f t="shared" ca="1" si="72"/>
        <v>0</v>
      </c>
      <c r="M347" s="15">
        <f t="shared" ca="1" si="73"/>
        <v>433.20000000000005</v>
      </c>
      <c r="N347" s="16">
        <f ca="1">SUM($M$9:M347)/A347</f>
        <v>336.21179941002947</v>
      </c>
    </row>
    <row r="348" spans="1:14" x14ac:dyDescent="0.25">
      <c r="A348" s="8">
        <v>340</v>
      </c>
      <c r="B348" s="9">
        <f t="shared" ca="1" si="67"/>
        <v>2166</v>
      </c>
      <c r="C348" s="10">
        <f t="shared" ca="1" si="68"/>
        <v>0</v>
      </c>
      <c r="D348" s="11">
        <f t="shared" ca="1" si="74"/>
        <v>0.11365930909829502</v>
      </c>
      <c r="E348" s="9">
        <f t="shared" ca="1" si="75"/>
        <v>339</v>
      </c>
      <c r="F348" s="9">
        <f t="shared" ca="1" si="77"/>
        <v>1827</v>
      </c>
      <c r="G348" s="12" t="str">
        <f t="shared" ca="1" si="78"/>
        <v>No</v>
      </c>
      <c r="H348" s="12">
        <f t="shared" ca="1" si="76"/>
        <v>0</v>
      </c>
      <c r="I348" s="10">
        <f t="shared" ca="1" si="69"/>
        <v>0</v>
      </c>
      <c r="J348" s="13">
        <f t="shared" ca="1" si="70"/>
        <v>0</v>
      </c>
      <c r="K348" s="14">
        <f t="shared" ca="1" si="71"/>
        <v>365.40000000000003</v>
      </c>
      <c r="L348" s="14">
        <f t="shared" ca="1" si="72"/>
        <v>0</v>
      </c>
      <c r="M348" s="15">
        <f t="shared" ca="1" si="73"/>
        <v>365.40000000000003</v>
      </c>
      <c r="N348" s="16">
        <f ca="1">SUM($M$9:M348)/A348</f>
        <v>336.29764705882349</v>
      </c>
    </row>
    <row r="349" spans="1:14" x14ac:dyDescent="0.25">
      <c r="A349" s="8">
        <v>341</v>
      </c>
      <c r="B349" s="9">
        <f t="shared" ca="1" si="67"/>
        <v>1827</v>
      </c>
      <c r="C349" s="10">
        <f t="shared" ca="1" si="68"/>
        <v>0</v>
      </c>
      <c r="D349" s="11">
        <f t="shared" ca="1" si="74"/>
        <v>0.27345131645139675</v>
      </c>
      <c r="E349" s="9">
        <f t="shared" ca="1" si="75"/>
        <v>369</v>
      </c>
      <c r="F349" s="9">
        <f t="shared" ca="1" si="77"/>
        <v>1458</v>
      </c>
      <c r="G349" s="12" t="str">
        <f t="shared" ca="1" si="78"/>
        <v>No</v>
      </c>
      <c r="H349" s="12">
        <f t="shared" ca="1" si="76"/>
        <v>0</v>
      </c>
      <c r="I349" s="10">
        <f t="shared" ca="1" si="69"/>
        <v>0</v>
      </c>
      <c r="J349" s="13">
        <f t="shared" ca="1" si="70"/>
        <v>0</v>
      </c>
      <c r="K349" s="14">
        <f t="shared" ca="1" si="71"/>
        <v>291.60000000000002</v>
      </c>
      <c r="L349" s="14">
        <f t="shared" ca="1" si="72"/>
        <v>0</v>
      </c>
      <c r="M349" s="15">
        <f t="shared" ca="1" si="73"/>
        <v>291.60000000000002</v>
      </c>
      <c r="N349" s="16">
        <f ca="1">SUM($M$9:M349)/A349</f>
        <v>336.16656891495597</v>
      </c>
    </row>
    <row r="350" spans="1:14" x14ac:dyDescent="0.25">
      <c r="A350" s="8">
        <v>342</v>
      </c>
      <c r="B350" s="9">
        <f t="shared" ca="1" si="67"/>
        <v>1458</v>
      </c>
      <c r="C350" s="10">
        <f t="shared" ca="1" si="68"/>
        <v>0</v>
      </c>
      <c r="D350" s="11">
        <f t="shared" ca="1" si="74"/>
        <v>6.0039560690562599E-2</v>
      </c>
      <c r="E350" s="9">
        <f t="shared" ca="1" si="75"/>
        <v>322</v>
      </c>
      <c r="F350" s="9">
        <f t="shared" ca="1" si="77"/>
        <v>1136</v>
      </c>
      <c r="G350" s="12" t="str">
        <f t="shared" ca="1" si="78"/>
        <v>No</v>
      </c>
      <c r="H350" s="12">
        <f t="shared" ca="1" si="76"/>
        <v>0</v>
      </c>
      <c r="I350" s="10">
        <f t="shared" ca="1" si="69"/>
        <v>0</v>
      </c>
      <c r="J350" s="13">
        <f t="shared" ca="1" si="70"/>
        <v>0</v>
      </c>
      <c r="K350" s="14">
        <f t="shared" ca="1" si="71"/>
        <v>227.20000000000002</v>
      </c>
      <c r="L350" s="14">
        <f t="shared" ca="1" si="72"/>
        <v>0</v>
      </c>
      <c r="M350" s="15">
        <f t="shared" ca="1" si="73"/>
        <v>227.20000000000002</v>
      </c>
      <c r="N350" s="16">
        <f ca="1">SUM($M$9:M350)/A350</f>
        <v>335.84795321637421</v>
      </c>
    </row>
    <row r="351" spans="1:14" x14ac:dyDescent="0.25">
      <c r="A351" s="8">
        <v>343</v>
      </c>
      <c r="B351" s="9">
        <f t="shared" ca="1" si="67"/>
        <v>1136</v>
      </c>
      <c r="C351" s="10">
        <f t="shared" ca="1" si="68"/>
        <v>0</v>
      </c>
      <c r="D351" s="11">
        <f t="shared" ca="1" si="74"/>
        <v>0.13239076648825321</v>
      </c>
      <c r="E351" s="9">
        <f t="shared" ca="1" si="75"/>
        <v>344</v>
      </c>
      <c r="F351" s="9">
        <f t="shared" ca="1" si="77"/>
        <v>792</v>
      </c>
      <c r="G351" s="12" t="str">
        <f t="shared" ca="1" si="78"/>
        <v>Yes</v>
      </c>
      <c r="H351" s="12">
        <f t="shared" ca="1" si="76"/>
        <v>0.26903906270514888</v>
      </c>
      <c r="I351" s="10">
        <f t="shared" ca="1" si="69"/>
        <v>1</v>
      </c>
      <c r="J351" s="13">
        <f t="shared" ca="1" si="70"/>
        <v>300</v>
      </c>
      <c r="K351" s="14">
        <f t="shared" ca="1" si="71"/>
        <v>158.4</v>
      </c>
      <c r="L351" s="14">
        <f t="shared" ca="1" si="72"/>
        <v>0</v>
      </c>
      <c r="M351" s="15">
        <f t="shared" ca="1" si="73"/>
        <v>458.4</v>
      </c>
      <c r="N351" s="16">
        <f ca="1">SUM($M$9:M351)/A351</f>
        <v>336.20524781341101</v>
      </c>
    </row>
    <row r="352" spans="1:14" x14ac:dyDescent="0.25">
      <c r="A352" s="8">
        <v>344</v>
      </c>
      <c r="B352" s="9">
        <f t="shared" ca="1" si="67"/>
        <v>2592</v>
      </c>
      <c r="C352" s="10">
        <f t="shared" ca="1" si="68"/>
        <v>1800</v>
      </c>
      <c r="D352" s="11">
        <f t="shared" ca="1" si="74"/>
        <v>0.35309694537851199</v>
      </c>
      <c r="E352" s="9">
        <f t="shared" ca="1" si="75"/>
        <v>381</v>
      </c>
      <c r="F352" s="9">
        <f t="shared" ca="1" si="77"/>
        <v>2211</v>
      </c>
      <c r="G352" s="12" t="str">
        <f t="shared" ca="1" si="78"/>
        <v>No</v>
      </c>
      <c r="H352" s="12">
        <f t="shared" ca="1" si="76"/>
        <v>0</v>
      </c>
      <c r="I352" s="10">
        <f t="shared" ca="1" si="69"/>
        <v>0</v>
      </c>
      <c r="J352" s="13">
        <f t="shared" ca="1" si="70"/>
        <v>0</v>
      </c>
      <c r="K352" s="14">
        <f t="shared" ca="1" si="71"/>
        <v>442.20000000000005</v>
      </c>
      <c r="L352" s="14">
        <f t="shared" ca="1" si="72"/>
        <v>0</v>
      </c>
      <c r="M352" s="15">
        <f t="shared" ca="1" si="73"/>
        <v>442.20000000000005</v>
      </c>
      <c r="N352" s="16">
        <f ca="1">SUM($M$9:M352)/A352</f>
        <v>336.51337209302318</v>
      </c>
    </row>
    <row r="353" spans="1:14" x14ac:dyDescent="0.25">
      <c r="A353" s="8">
        <v>345</v>
      </c>
      <c r="B353" s="9">
        <f t="shared" ca="1" si="67"/>
        <v>2211</v>
      </c>
      <c r="C353" s="10">
        <f t="shared" ca="1" si="68"/>
        <v>0</v>
      </c>
      <c r="D353" s="11">
        <f t="shared" ca="1" si="74"/>
        <v>0.18963033573499832</v>
      </c>
      <c r="E353" s="9">
        <f t="shared" ca="1" si="75"/>
        <v>356</v>
      </c>
      <c r="F353" s="9">
        <f t="shared" ca="1" si="77"/>
        <v>1855</v>
      </c>
      <c r="G353" s="12" t="str">
        <f t="shared" ca="1" si="78"/>
        <v>No</v>
      </c>
      <c r="H353" s="12">
        <f t="shared" ca="1" si="76"/>
        <v>0</v>
      </c>
      <c r="I353" s="10">
        <f t="shared" ca="1" si="69"/>
        <v>0</v>
      </c>
      <c r="J353" s="13">
        <f t="shared" ca="1" si="70"/>
        <v>0</v>
      </c>
      <c r="K353" s="14">
        <f t="shared" ca="1" si="71"/>
        <v>371</v>
      </c>
      <c r="L353" s="14">
        <f t="shared" ca="1" si="72"/>
        <v>0</v>
      </c>
      <c r="M353" s="15">
        <f t="shared" ca="1" si="73"/>
        <v>371</v>
      </c>
      <c r="N353" s="16">
        <f ca="1">SUM($M$9:M353)/A353</f>
        <v>336.61333333333329</v>
      </c>
    </row>
    <row r="354" spans="1:14" x14ac:dyDescent="0.25">
      <c r="A354" s="8">
        <v>346</v>
      </c>
      <c r="B354" s="9">
        <f t="shared" ca="1" si="67"/>
        <v>1855</v>
      </c>
      <c r="C354" s="10">
        <f t="shared" ca="1" si="68"/>
        <v>0</v>
      </c>
      <c r="D354" s="11">
        <f t="shared" ca="1" si="74"/>
        <v>9.9599478527631069E-2</v>
      </c>
      <c r="E354" s="9">
        <f t="shared" ca="1" si="75"/>
        <v>335</v>
      </c>
      <c r="F354" s="9">
        <f t="shared" ca="1" si="77"/>
        <v>1520</v>
      </c>
      <c r="G354" s="12" t="str">
        <f t="shared" ca="1" si="78"/>
        <v>No</v>
      </c>
      <c r="H354" s="12">
        <f t="shared" ca="1" si="76"/>
        <v>0</v>
      </c>
      <c r="I354" s="10">
        <f t="shared" ca="1" si="69"/>
        <v>0</v>
      </c>
      <c r="J354" s="13">
        <f t="shared" ca="1" si="70"/>
        <v>0</v>
      </c>
      <c r="K354" s="14">
        <f t="shared" ca="1" si="71"/>
        <v>304</v>
      </c>
      <c r="L354" s="14">
        <f t="shared" ca="1" si="72"/>
        <v>0</v>
      </c>
      <c r="M354" s="15">
        <f t="shared" ca="1" si="73"/>
        <v>304</v>
      </c>
      <c r="N354" s="16">
        <f ca="1">SUM($M$9:M354)/A354</f>
        <v>336.51907514450858</v>
      </c>
    </row>
    <row r="355" spans="1:14" x14ac:dyDescent="0.25">
      <c r="A355" s="8">
        <v>347</v>
      </c>
      <c r="B355" s="9">
        <f t="shared" ca="1" si="67"/>
        <v>1520</v>
      </c>
      <c r="C355" s="10">
        <f t="shared" ca="1" si="68"/>
        <v>0</v>
      </c>
      <c r="D355" s="11">
        <f t="shared" ca="1" si="74"/>
        <v>0.98298856636161813</v>
      </c>
      <c r="E355" s="9">
        <f t="shared" ca="1" si="75"/>
        <v>505</v>
      </c>
      <c r="F355" s="9">
        <f t="shared" ca="1" si="77"/>
        <v>1015</v>
      </c>
      <c r="G355" s="12" t="str">
        <f t="shared" ca="1" si="78"/>
        <v>No</v>
      </c>
      <c r="H355" s="12">
        <f t="shared" ca="1" si="76"/>
        <v>0</v>
      </c>
      <c r="I355" s="10">
        <f t="shared" ca="1" si="69"/>
        <v>0</v>
      </c>
      <c r="J355" s="13">
        <f t="shared" ca="1" si="70"/>
        <v>0</v>
      </c>
      <c r="K355" s="14">
        <f t="shared" ca="1" si="71"/>
        <v>203</v>
      </c>
      <c r="L355" s="14">
        <f t="shared" ca="1" si="72"/>
        <v>0</v>
      </c>
      <c r="M355" s="15">
        <f t="shared" ca="1" si="73"/>
        <v>203</v>
      </c>
      <c r="N355" s="16">
        <f ca="1">SUM($M$9:M355)/A355</f>
        <v>336.13429394812675</v>
      </c>
    </row>
    <row r="356" spans="1:14" x14ac:dyDescent="0.25">
      <c r="A356" s="8">
        <v>348</v>
      </c>
      <c r="B356" s="9">
        <f t="shared" ca="1" si="67"/>
        <v>1015</v>
      </c>
      <c r="C356" s="10">
        <f t="shared" ca="1" si="68"/>
        <v>0</v>
      </c>
      <c r="D356" s="11">
        <f t="shared" ca="1" si="74"/>
        <v>0.67898889755921099</v>
      </c>
      <c r="E356" s="9">
        <f t="shared" ca="1" si="75"/>
        <v>423</v>
      </c>
      <c r="F356" s="9">
        <f t="shared" ca="1" si="77"/>
        <v>592</v>
      </c>
      <c r="G356" s="12" t="str">
        <f t="shared" ca="1" si="78"/>
        <v>Yes</v>
      </c>
      <c r="H356" s="12">
        <f t="shared" ca="1" si="76"/>
        <v>0.23939951842126428</v>
      </c>
      <c r="I356" s="10">
        <f t="shared" ca="1" si="69"/>
        <v>1</v>
      </c>
      <c r="J356" s="13">
        <f t="shared" ca="1" si="70"/>
        <v>300</v>
      </c>
      <c r="K356" s="14">
        <f t="shared" ca="1" si="71"/>
        <v>118.4</v>
      </c>
      <c r="L356" s="14">
        <f t="shared" ca="1" si="72"/>
        <v>0</v>
      </c>
      <c r="M356" s="15">
        <f t="shared" ca="1" si="73"/>
        <v>418.4</v>
      </c>
      <c r="N356" s="16">
        <f ca="1">SUM($M$9:M356)/A356</f>
        <v>336.37068965517233</v>
      </c>
    </row>
    <row r="357" spans="1:14" x14ac:dyDescent="0.25">
      <c r="A357" s="8">
        <v>349</v>
      </c>
      <c r="B357" s="9">
        <f t="shared" ca="1" si="67"/>
        <v>2392</v>
      </c>
      <c r="C357" s="10">
        <f t="shared" ca="1" si="68"/>
        <v>1800</v>
      </c>
      <c r="D357" s="11">
        <f t="shared" ca="1" si="74"/>
        <v>0.83532739933009559</v>
      </c>
      <c r="E357" s="9">
        <f t="shared" ca="1" si="75"/>
        <v>448</v>
      </c>
      <c r="F357" s="9">
        <f t="shared" ca="1" si="77"/>
        <v>1944</v>
      </c>
      <c r="G357" s="12" t="str">
        <f t="shared" ca="1" si="78"/>
        <v>No</v>
      </c>
      <c r="H357" s="12">
        <f t="shared" ca="1" si="76"/>
        <v>0</v>
      </c>
      <c r="I357" s="10">
        <f t="shared" ca="1" si="69"/>
        <v>0</v>
      </c>
      <c r="J357" s="13">
        <f t="shared" ca="1" si="70"/>
        <v>0</v>
      </c>
      <c r="K357" s="14">
        <f t="shared" ca="1" si="71"/>
        <v>388.8</v>
      </c>
      <c r="L357" s="14">
        <f t="shared" ca="1" si="72"/>
        <v>0</v>
      </c>
      <c r="M357" s="15">
        <f t="shared" ca="1" si="73"/>
        <v>388.8</v>
      </c>
      <c r="N357" s="16">
        <f ca="1">SUM($M$9:M357)/A357</f>
        <v>336.52091690544404</v>
      </c>
    </row>
    <row r="358" spans="1:14" x14ac:dyDescent="0.25">
      <c r="A358" s="8">
        <v>350</v>
      </c>
      <c r="B358" s="9">
        <f t="shared" ca="1" si="67"/>
        <v>1944</v>
      </c>
      <c r="C358" s="10">
        <f t="shared" ca="1" si="68"/>
        <v>0</v>
      </c>
      <c r="D358" s="11">
        <f t="shared" ca="1" si="74"/>
        <v>0.164669862067928</v>
      </c>
      <c r="E358" s="9">
        <f t="shared" ca="1" si="75"/>
        <v>351</v>
      </c>
      <c r="F358" s="9">
        <f t="shared" ca="1" si="77"/>
        <v>1593</v>
      </c>
      <c r="G358" s="12" t="str">
        <f t="shared" ca="1" si="78"/>
        <v>No</v>
      </c>
      <c r="H358" s="12">
        <f t="shared" ca="1" si="76"/>
        <v>0</v>
      </c>
      <c r="I358" s="10">
        <f t="shared" ca="1" si="69"/>
        <v>0</v>
      </c>
      <c r="J358" s="13">
        <f t="shared" ca="1" si="70"/>
        <v>0</v>
      </c>
      <c r="K358" s="14">
        <f t="shared" ca="1" si="71"/>
        <v>318.60000000000002</v>
      </c>
      <c r="L358" s="14">
        <f t="shared" ca="1" si="72"/>
        <v>0</v>
      </c>
      <c r="M358" s="15">
        <f t="shared" ca="1" si="73"/>
        <v>318.60000000000002</v>
      </c>
      <c r="N358" s="16">
        <f ca="1">SUM($M$9:M358)/A358</f>
        <v>336.46971428571425</v>
      </c>
    </row>
    <row r="359" spans="1:14" x14ac:dyDescent="0.25">
      <c r="A359" s="8">
        <v>351</v>
      </c>
      <c r="B359" s="9">
        <f t="shared" ca="1" si="67"/>
        <v>1593</v>
      </c>
      <c r="C359" s="10">
        <f t="shared" ca="1" si="68"/>
        <v>0</v>
      </c>
      <c r="D359" s="11">
        <f t="shared" ca="1" si="74"/>
        <v>0.25303665730987013</v>
      </c>
      <c r="E359" s="9">
        <f t="shared" ca="1" si="75"/>
        <v>366</v>
      </c>
      <c r="F359" s="9">
        <f t="shared" ca="1" si="77"/>
        <v>1227</v>
      </c>
      <c r="G359" s="12" t="str">
        <f t="shared" ca="1" si="78"/>
        <v>No</v>
      </c>
      <c r="H359" s="12">
        <f t="shared" ca="1" si="76"/>
        <v>0</v>
      </c>
      <c r="I359" s="10">
        <f t="shared" ca="1" si="69"/>
        <v>0</v>
      </c>
      <c r="J359" s="13">
        <f t="shared" ca="1" si="70"/>
        <v>0</v>
      </c>
      <c r="K359" s="14">
        <f t="shared" ca="1" si="71"/>
        <v>245.4</v>
      </c>
      <c r="L359" s="14">
        <f t="shared" ca="1" si="72"/>
        <v>0</v>
      </c>
      <c r="M359" s="15">
        <f t="shared" ca="1" si="73"/>
        <v>245.4</v>
      </c>
      <c r="N359" s="16">
        <f ca="1">SUM($M$9:M359)/A359</f>
        <v>336.21025641025636</v>
      </c>
    </row>
    <row r="360" spans="1:14" x14ac:dyDescent="0.25">
      <c r="A360" s="8">
        <v>352</v>
      </c>
      <c r="B360" s="9">
        <f t="shared" ca="1" si="67"/>
        <v>1227</v>
      </c>
      <c r="C360" s="10">
        <f t="shared" ca="1" si="68"/>
        <v>0</v>
      </c>
      <c r="D360" s="11">
        <f t="shared" ca="1" si="74"/>
        <v>0.76772274011756902</v>
      </c>
      <c r="E360" s="9">
        <f t="shared" ca="1" si="75"/>
        <v>436</v>
      </c>
      <c r="F360" s="9">
        <f t="shared" ca="1" si="77"/>
        <v>791</v>
      </c>
      <c r="G360" s="12" t="str">
        <f t="shared" ca="1" si="78"/>
        <v>Yes</v>
      </c>
      <c r="H360" s="12">
        <f t="shared" ca="1" si="76"/>
        <v>0.96722116446903172</v>
      </c>
      <c r="I360" s="10">
        <f t="shared" ca="1" si="69"/>
        <v>3</v>
      </c>
      <c r="J360" s="13">
        <f t="shared" ca="1" si="70"/>
        <v>300</v>
      </c>
      <c r="K360" s="14">
        <f t="shared" ca="1" si="71"/>
        <v>158.20000000000002</v>
      </c>
      <c r="L360" s="14">
        <f t="shared" ca="1" si="72"/>
        <v>0</v>
      </c>
      <c r="M360" s="15">
        <f t="shared" ca="1" si="73"/>
        <v>458.20000000000005</v>
      </c>
      <c r="N360" s="16">
        <f ca="1">SUM($M$9:M360)/A360</f>
        <v>336.55681818181807</v>
      </c>
    </row>
    <row r="361" spans="1:14" x14ac:dyDescent="0.25">
      <c r="A361" s="8">
        <v>353</v>
      </c>
      <c r="B361" s="9">
        <f t="shared" ca="1" si="67"/>
        <v>791</v>
      </c>
      <c r="C361" s="10">
        <f t="shared" ca="1" si="68"/>
        <v>0</v>
      </c>
      <c r="D361" s="11">
        <f t="shared" ca="1" si="74"/>
        <v>0.20463727393629394</v>
      </c>
      <c r="E361" s="9">
        <f t="shared" ca="1" si="75"/>
        <v>358</v>
      </c>
      <c r="F361" s="9">
        <f t="shared" ca="1" si="77"/>
        <v>433</v>
      </c>
      <c r="G361" s="12" t="str">
        <f t="shared" ca="1" si="78"/>
        <v>No</v>
      </c>
      <c r="H361" s="12">
        <f t="shared" ca="1" si="76"/>
        <v>0</v>
      </c>
      <c r="I361" s="10">
        <f t="shared" ca="1" si="69"/>
        <v>2</v>
      </c>
      <c r="J361" s="13">
        <f t="shared" ca="1" si="70"/>
        <v>0</v>
      </c>
      <c r="K361" s="14">
        <f t="shared" ca="1" si="71"/>
        <v>86.600000000000009</v>
      </c>
      <c r="L361" s="14">
        <f t="shared" ca="1" si="72"/>
        <v>0</v>
      </c>
      <c r="M361" s="15">
        <f t="shared" ca="1" si="73"/>
        <v>86.600000000000009</v>
      </c>
      <c r="N361" s="16">
        <f ca="1">SUM($M$9:M361)/A361</f>
        <v>335.8487252124645</v>
      </c>
    </row>
    <row r="362" spans="1:14" x14ac:dyDescent="0.25">
      <c r="A362" s="8">
        <v>354</v>
      </c>
      <c r="B362" s="9">
        <f t="shared" ca="1" si="67"/>
        <v>433</v>
      </c>
      <c r="C362" s="10">
        <f t="shared" ca="1" si="68"/>
        <v>0</v>
      </c>
      <c r="D362" s="11">
        <f t="shared" ca="1" si="74"/>
        <v>4.439948512905989E-2</v>
      </c>
      <c r="E362" s="9">
        <f t="shared" ca="1" si="75"/>
        <v>314</v>
      </c>
      <c r="F362" s="9">
        <f t="shared" ca="1" si="77"/>
        <v>119</v>
      </c>
      <c r="G362" s="12" t="str">
        <f t="shared" ca="1" si="78"/>
        <v>No</v>
      </c>
      <c r="H362" s="12">
        <f t="shared" ca="1" si="76"/>
        <v>0</v>
      </c>
      <c r="I362" s="10">
        <f t="shared" ca="1" si="69"/>
        <v>1</v>
      </c>
      <c r="J362" s="13">
        <f t="shared" ca="1" si="70"/>
        <v>0</v>
      </c>
      <c r="K362" s="14">
        <f t="shared" ca="1" si="71"/>
        <v>23.8</v>
      </c>
      <c r="L362" s="14">
        <f t="shared" ca="1" si="72"/>
        <v>0</v>
      </c>
      <c r="M362" s="15">
        <f t="shared" ca="1" si="73"/>
        <v>23.8</v>
      </c>
      <c r="N362" s="16">
        <f ca="1">SUM($M$9:M362)/A362</f>
        <v>334.96723163841801</v>
      </c>
    </row>
    <row r="363" spans="1:14" x14ac:dyDescent="0.25">
      <c r="A363" s="8">
        <v>355</v>
      </c>
      <c r="B363" s="9">
        <f t="shared" ca="1" si="67"/>
        <v>1919</v>
      </c>
      <c r="C363" s="10">
        <f t="shared" ca="1" si="68"/>
        <v>1800</v>
      </c>
      <c r="D363" s="11">
        <f t="shared" ca="1" si="74"/>
        <v>0.90813631337064649</v>
      </c>
      <c r="E363" s="9">
        <f t="shared" ca="1" si="75"/>
        <v>466</v>
      </c>
      <c r="F363" s="9">
        <f t="shared" ca="1" si="77"/>
        <v>1453</v>
      </c>
      <c r="G363" s="12" t="str">
        <f t="shared" ca="1" si="78"/>
        <v>No</v>
      </c>
      <c r="H363" s="12">
        <f t="shared" ca="1" si="76"/>
        <v>0</v>
      </c>
      <c r="I363" s="10">
        <f t="shared" ca="1" si="69"/>
        <v>0</v>
      </c>
      <c r="J363" s="13">
        <f t="shared" ca="1" si="70"/>
        <v>0</v>
      </c>
      <c r="K363" s="14">
        <f t="shared" ca="1" si="71"/>
        <v>290.60000000000002</v>
      </c>
      <c r="L363" s="14">
        <f t="shared" ca="1" si="72"/>
        <v>0</v>
      </c>
      <c r="M363" s="15">
        <f t="shared" ca="1" si="73"/>
        <v>290.60000000000002</v>
      </c>
      <c r="N363" s="16">
        <f ca="1">SUM($M$9:M363)/A363</f>
        <v>334.84225352112674</v>
      </c>
    </row>
    <row r="364" spans="1:14" x14ac:dyDescent="0.25">
      <c r="A364" s="8">
        <v>356</v>
      </c>
      <c r="B364" s="9">
        <f t="shared" ca="1" si="67"/>
        <v>1453</v>
      </c>
      <c r="C364" s="10">
        <f t="shared" ca="1" si="68"/>
        <v>0</v>
      </c>
      <c r="D364" s="11">
        <f t="shared" ca="1" si="74"/>
        <v>0.99384182053121328</v>
      </c>
      <c r="E364" s="9">
        <f t="shared" ca="1" si="75"/>
        <v>525</v>
      </c>
      <c r="F364" s="9">
        <f t="shared" ca="1" si="77"/>
        <v>928</v>
      </c>
      <c r="G364" s="12" t="str">
        <f t="shared" ca="1" si="78"/>
        <v>No</v>
      </c>
      <c r="H364" s="12">
        <f t="shared" ca="1" si="76"/>
        <v>0</v>
      </c>
      <c r="I364" s="10">
        <f t="shared" ca="1" si="69"/>
        <v>0</v>
      </c>
      <c r="J364" s="13">
        <f t="shared" ca="1" si="70"/>
        <v>0</v>
      </c>
      <c r="K364" s="14">
        <f t="shared" ca="1" si="71"/>
        <v>185.60000000000002</v>
      </c>
      <c r="L364" s="14">
        <f t="shared" ca="1" si="72"/>
        <v>0</v>
      </c>
      <c r="M364" s="15">
        <f t="shared" ca="1" si="73"/>
        <v>185.60000000000002</v>
      </c>
      <c r="N364" s="16">
        <f ca="1">SUM($M$9:M364)/A364</f>
        <v>334.42303370786516</v>
      </c>
    </row>
    <row r="365" spans="1:14" x14ac:dyDescent="0.25">
      <c r="A365" s="8">
        <v>357</v>
      </c>
      <c r="B365" s="9">
        <f t="shared" ca="1" si="67"/>
        <v>928</v>
      </c>
      <c r="C365" s="10">
        <f t="shared" ca="1" si="68"/>
        <v>0</v>
      </c>
      <c r="D365" s="11">
        <f t="shared" ca="1" si="74"/>
        <v>0.93408738012221804</v>
      </c>
      <c r="E365" s="9">
        <f t="shared" ca="1" si="75"/>
        <v>475</v>
      </c>
      <c r="F365" s="9">
        <f t="shared" ca="1" si="77"/>
        <v>453</v>
      </c>
      <c r="G365" s="12" t="str">
        <f t="shared" ca="1" si="78"/>
        <v>Yes</v>
      </c>
      <c r="H365" s="12">
        <f t="shared" ca="1" si="76"/>
        <v>0.54456215122038087</v>
      </c>
      <c r="I365" s="10">
        <f t="shared" ca="1" si="69"/>
        <v>1</v>
      </c>
      <c r="J365" s="13">
        <f t="shared" ca="1" si="70"/>
        <v>300</v>
      </c>
      <c r="K365" s="14">
        <f t="shared" ca="1" si="71"/>
        <v>90.600000000000009</v>
      </c>
      <c r="L365" s="14">
        <f t="shared" ca="1" si="72"/>
        <v>0</v>
      </c>
      <c r="M365" s="15">
        <f t="shared" ca="1" si="73"/>
        <v>390.6</v>
      </c>
      <c r="N365" s="16">
        <f ca="1">SUM($M$9:M365)/A365</f>
        <v>334.58039215686273</v>
      </c>
    </row>
    <row r="366" spans="1:14" x14ac:dyDescent="0.25">
      <c r="A366" s="8">
        <v>358</v>
      </c>
      <c r="B366" s="9">
        <f t="shared" ca="1" si="67"/>
        <v>2253</v>
      </c>
      <c r="C366" s="10">
        <f t="shared" ca="1" si="68"/>
        <v>1800</v>
      </c>
      <c r="D366" s="11">
        <f t="shared" ca="1" si="74"/>
        <v>0.76816077413082584</v>
      </c>
      <c r="E366" s="9">
        <f t="shared" ca="1" si="75"/>
        <v>436</v>
      </c>
      <c r="F366" s="9">
        <f t="shared" ca="1" si="77"/>
        <v>1817</v>
      </c>
      <c r="G366" s="12" t="str">
        <f t="shared" ca="1" si="78"/>
        <v>No</v>
      </c>
      <c r="H366" s="12">
        <f t="shared" ca="1" si="76"/>
        <v>0</v>
      </c>
      <c r="I366" s="10">
        <f t="shared" ca="1" si="69"/>
        <v>0</v>
      </c>
      <c r="J366" s="13">
        <f t="shared" ca="1" si="70"/>
        <v>0</v>
      </c>
      <c r="K366" s="14">
        <f t="shared" ca="1" si="71"/>
        <v>363.40000000000003</v>
      </c>
      <c r="L366" s="14">
        <f t="shared" ca="1" si="72"/>
        <v>0</v>
      </c>
      <c r="M366" s="15">
        <f t="shared" ca="1" si="73"/>
        <v>363.40000000000003</v>
      </c>
      <c r="N366" s="16">
        <f ca="1">SUM($M$9:M366)/A366</f>
        <v>334.66089385474856</v>
      </c>
    </row>
    <row r="367" spans="1:14" x14ac:dyDescent="0.25">
      <c r="A367" s="8">
        <v>359</v>
      </c>
      <c r="B367" s="9">
        <f t="shared" ca="1" si="67"/>
        <v>1817</v>
      </c>
      <c r="C367" s="10">
        <f t="shared" ca="1" si="68"/>
        <v>0</v>
      </c>
      <c r="D367" s="11">
        <f t="shared" ca="1" si="74"/>
        <v>0.69355965136879993</v>
      </c>
      <c r="E367" s="9">
        <f t="shared" ca="1" si="75"/>
        <v>425</v>
      </c>
      <c r="F367" s="9">
        <f t="shared" ca="1" si="77"/>
        <v>1392</v>
      </c>
      <c r="G367" s="12" t="str">
        <f t="shared" ca="1" si="78"/>
        <v>No</v>
      </c>
      <c r="H367" s="12">
        <f t="shared" ca="1" si="76"/>
        <v>0</v>
      </c>
      <c r="I367" s="10">
        <f t="shared" ca="1" si="69"/>
        <v>0</v>
      </c>
      <c r="J367" s="13">
        <f t="shared" ca="1" si="70"/>
        <v>0</v>
      </c>
      <c r="K367" s="14">
        <f t="shared" ca="1" si="71"/>
        <v>278.40000000000003</v>
      </c>
      <c r="L367" s="14">
        <f t="shared" ca="1" si="72"/>
        <v>0</v>
      </c>
      <c r="M367" s="15">
        <f t="shared" ca="1" si="73"/>
        <v>278.40000000000003</v>
      </c>
      <c r="N367" s="16">
        <f ca="1">SUM($M$9:M367)/A367</f>
        <v>334.50417827298048</v>
      </c>
    </row>
    <row r="368" spans="1:14" x14ac:dyDescent="0.25">
      <c r="A368" s="8">
        <v>360</v>
      </c>
      <c r="B368" s="9">
        <f t="shared" ca="1" si="67"/>
        <v>1392</v>
      </c>
      <c r="C368" s="10">
        <f t="shared" ca="1" si="68"/>
        <v>0</v>
      </c>
      <c r="D368" s="11">
        <f t="shared" ca="1" si="74"/>
        <v>0.98508910007356631</v>
      </c>
      <c r="E368" s="9">
        <f t="shared" ca="1" si="75"/>
        <v>508</v>
      </c>
      <c r="F368" s="9">
        <f t="shared" ca="1" si="77"/>
        <v>884</v>
      </c>
      <c r="G368" s="12" t="str">
        <f t="shared" ca="1" si="78"/>
        <v>Yes</v>
      </c>
      <c r="H368" s="12">
        <f t="shared" ca="1" si="76"/>
        <v>0.49898549176078955</v>
      </c>
      <c r="I368" s="10">
        <f t="shared" ca="1" si="69"/>
        <v>1</v>
      </c>
      <c r="J368" s="13">
        <f t="shared" ca="1" si="70"/>
        <v>300</v>
      </c>
      <c r="K368" s="14">
        <f t="shared" ca="1" si="71"/>
        <v>176.8</v>
      </c>
      <c r="L368" s="14">
        <f t="shared" ca="1" si="72"/>
        <v>0</v>
      </c>
      <c r="M368" s="15">
        <f t="shared" ca="1" si="73"/>
        <v>476.8</v>
      </c>
      <c r="N368" s="16">
        <f ca="1">SUM($M$9:M368)/A368</f>
        <v>334.89944444444438</v>
      </c>
    </row>
    <row r="369" spans="1:14" x14ac:dyDescent="0.25">
      <c r="A369" s="8">
        <v>361</v>
      </c>
      <c r="B369" s="9">
        <f t="shared" ca="1" si="67"/>
        <v>2684</v>
      </c>
      <c r="C369" s="10">
        <f t="shared" ca="1" si="68"/>
        <v>1800</v>
      </c>
      <c r="D369" s="11">
        <f t="shared" ca="1" si="74"/>
        <v>0.96501931727369417</v>
      </c>
      <c r="E369" s="9">
        <f t="shared" ca="1" si="75"/>
        <v>490</v>
      </c>
      <c r="F369" s="9">
        <f t="shared" ca="1" si="77"/>
        <v>2194</v>
      </c>
      <c r="G369" s="12" t="str">
        <f t="shared" ca="1" si="78"/>
        <v>No</v>
      </c>
      <c r="H369" s="12">
        <f t="shared" ca="1" si="76"/>
        <v>0</v>
      </c>
      <c r="I369" s="10">
        <f t="shared" ca="1" si="69"/>
        <v>0</v>
      </c>
      <c r="J369" s="13">
        <f t="shared" ca="1" si="70"/>
        <v>0</v>
      </c>
      <c r="K369" s="14">
        <f t="shared" ca="1" si="71"/>
        <v>438.8</v>
      </c>
      <c r="L369" s="14">
        <f t="shared" ca="1" si="72"/>
        <v>0</v>
      </c>
      <c r="M369" s="15">
        <f t="shared" ca="1" si="73"/>
        <v>438.8</v>
      </c>
      <c r="N369" s="16">
        <f ca="1">SUM($M$9:M369)/A369</f>
        <v>335.18725761772851</v>
      </c>
    </row>
    <row r="370" spans="1:14" x14ac:dyDescent="0.25">
      <c r="A370" s="8">
        <v>362</v>
      </c>
      <c r="B370" s="9">
        <f t="shared" ca="1" si="67"/>
        <v>2194</v>
      </c>
      <c r="C370" s="10">
        <f t="shared" ca="1" si="68"/>
        <v>0</v>
      </c>
      <c r="D370" s="11">
        <f t="shared" ca="1" si="74"/>
        <v>0.51619096364292583</v>
      </c>
      <c r="E370" s="9">
        <f t="shared" ca="1" si="75"/>
        <v>402</v>
      </c>
      <c r="F370" s="9">
        <f t="shared" ca="1" si="77"/>
        <v>1792</v>
      </c>
      <c r="G370" s="12" t="str">
        <f t="shared" ca="1" si="78"/>
        <v>No</v>
      </c>
      <c r="H370" s="12">
        <f t="shared" ca="1" si="76"/>
        <v>0</v>
      </c>
      <c r="I370" s="10">
        <f t="shared" ca="1" si="69"/>
        <v>0</v>
      </c>
      <c r="J370" s="13">
        <f t="shared" ca="1" si="70"/>
        <v>0</v>
      </c>
      <c r="K370" s="14">
        <f t="shared" ca="1" si="71"/>
        <v>358.40000000000003</v>
      </c>
      <c r="L370" s="14">
        <f t="shared" ca="1" si="72"/>
        <v>0</v>
      </c>
      <c r="M370" s="15">
        <f t="shared" ca="1" si="73"/>
        <v>358.40000000000003</v>
      </c>
      <c r="N370" s="16">
        <f ca="1">SUM($M$9:M370)/A370</f>
        <v>335.25138121546956</v>
      </c>
    </row>
    <row r="371" spans="1:14" x14ac:dyDescent="0.25">
      <c r="A371" s="8">
        <v>363</v>
      </c>
      <c r="B371" s="9">
        <f t="shared" ca="1" si="67"/>
        <v>1792</v>
      </c>
      <c r="C371" s="10">
        <f t="shared" ca="1" si="68"/>
        <v>0</v>
      </c>
      <c r="D371" s="11">
        <f t="shared" ca="1" si="74"/>
        <v>0.82434475416615471</v>
      </c>
      <c r="E371" s="9">
        <f t="shared" ca="1" si="75"/>
        <v>446</v>
      </c>
      <c r="F371" s="9">
        <f t="shared" ca="1" si="77"/>
        <v>1346</v>
      </c>
      <c r="G371" s="12" t="str">
        <f t="shared" ca="1" si="78"/>
        <v>No</v>
      </c>
      <c r="H371" s="12">
        <f t="shared" ca="1" si="76"/>
        <v>0</v>
      </c>
      <c r="I371" s="10">
        <f t="shared" ca="1" si="69"/>
        <v>0</v>
      </c>
      <c r="J371" s="13">
        <f t="shared" ca="1" si="70"/>
        <v>0</v>
      </c>
      <c r="K371" s="14">
        <f t="shared" ca="1" si="71"/>
        <v>269.2</v>
      </c>
      <c r="L371" s="14">
        <f t="shared" ca="1" si="72"/>
        <v>0</v>
      </c>
      <c r="M371" s="15">
        <f t="shared" ca="1" si="73"/>
        <v>269.2</v>
      </c>
      <c r="N371" s="16">
        <f ca="1">SUM($M$9:M371)/A371</f>
        <v>335.06942148760328</v>
      </c>
    </row>
    <row r="372" spans="1:14" x14ac:dyDescent="0.25">
      <c r="A372" s="8">
        <v>364</v>
      </c>
      <c r="B372" s="9">
        <f t="shared" ca="1" si="67"/>
        <v>1346</v>
      </c>
      <c r="C372" s="10">
        <f t="shared" ca="1" si="68"/>
        <v>0</v>
      </c>
      <c r="D372" s="11">
        <f t="shared" ca="1" si="74"/>
        <v>0.11212546578994942</v>
      </c>
      <c r="E372" s="9">
        <f t="shared" ca="1" si="75"/>
        <v>339</v>
      </c>
      <c r="F372" s="9">
        <f t="shared" ca="1" si="77"/>
        <v>1007</v>
      </c>
      <c r="G372" s="12" t="str">
        <f t="shared" ca="1" si="78"/>
        <v>Yes</v>
      </c>
      <c r="H372" s="12">
        <f t="shared" ca="1" si="76"/>
        <v>0.49873609183107448</v>
      </c>
      <c r="I372" s="10">
        <f t="shared" ca="1" si="69"/>
        <v>1</v>
      </c>
      <c r="J372" s="13">
        <f t="shared" ca="1" si="70"/>
        <v>300</v>
      </c>
      <c r="K372" s="14">
        <f t="shared" ca="1" si="71"/>
        <v>201.4</v>
      </c>
      <c r="L372" s="14">
        <f t="shared" ca="1" si="72"/>
        <v>0</v>
      </c>
      <c r="M372" s="15">
        <f t="shared" ca="1" si="73"/>
        <v>501.4</v>
      </c>
      <c r="N372" s="16">
        <f ca="1">SUM($M$9:M372)/A372</f>
        <v>335.52637362637358</v>
      </c>
    </row>
    <row r="373" spans="1:14" x14ac:dyDescent="0.25">
      <c r="A373" s="8">
        <v>365</v>
      </c>
      <c r="B373" s="9">
        <f t="shared" ca="1" si="67"/>
        <v>2807</v>
      </c>
      <c r="C373" s="10">
        <f t="shared" ca="1" si="68"/>
        <v>1800</v>
      </c>
      <c r="D373" s="11">
        <f t="shared" ca="1" si="74"/>
        <v>0.44235290157882656</v>
      </c>
      <c r="E373" s="9">
        <f t="shared" ca="1" si="75"/>
        <v>392</v>
      </c>
      <c r="F373" s="9">
        <f t="shared" ca="1" si="77"/>
        <v>2415</v>
      </c>
      <c r="G373" s="12" t="str">
        <f t="shared" ca="1" si="78"/>
        <v>No</v>
      </c>
      <c r="H373" s="12">
        <f t="shared" ca="1" si="76"/>
        <v>0</v>
      </c>
      <c r="I373" s="10">
        <f t="shared" ca="1" si="69"/>
        <v>0</v>
      </c>
      <c r="J373" s="13">
        <f t="shared" ca="1" si="70"/>
        <v>0</v>
      </c>
      <c r="K373" s="14">
        <f t="shared" ca="1" si="71"/>
        <v>483</v>
      </c>
      <c r="L373" s="14">
        <f t="shared" ca="1" si="72"/>
        <v>0</v>
      </c>
      <c r="M373" s="15">
        <f t="shared" ca="1" si="73"/>
        <v>483</v>
      </c>
      <c r="N373" s="16">
        <f ca="1">SUM($M$9:M373)/A373</f>
        <v>335.93041095890402</v>
      </c>
    </row>
    <row r="374" spans="1:14" x14ac:dyDescent="0.25">
      <c r="A374" s="8">
        <v>366</v>
      </c>
      <c r="B374" s="9">
        <f t="shared" ca="1" si="67"/>
        <v>2415</v>
      </c>
      <c r="C374" s="10">
        <f t="shared" ca="1" si="68"/>
        <v>0</v>
      </c>
      <c r="D374" s="11">
        <f t="shared" ca="1" si="74"/>
        <v>0.90245126632961159</v>
      </c>
      <c r="E374" s="9">
        <f t="shared" ca="1" si="75"/>
        <v>464</v>
      </c>
      <c r="F374" s="9">
        <f t="shared" ca="1" si="77"/>
        <v>1951</v>
      </c>
      <c r="G374" s="12" t="str">
        <f t="shared" ca="1" si="78"/>
        <v>No</v>
      </c>
      <c r="H374" s="12">
        <f t="shared" ca="1" si="76"/>
        <v>0</v>
      </c>
      <c r="I374" s="10">
        <f t="shared" ca="1" si="69"/>
        <v>0</v>
      </c>
      <c r="J374" s="13">
        <f t="shared" ca="1" si="70"/>
        <v>0</v>
      </c>
      <c r="K374" s="14">
        <f t="shared" ca="1" si="71"/>
        <v>390.20000000000005</v>
      </c>
      <c r="L374" s="14">
        <f t="shared" ca="1" si="72"/>
        <v>0</v>
      </c>
      <c r="M374" s="15">
        <f t="shared" ca="1" si="73"/>
        <v>390.20000000000005</v>
      </c>
      <c r="N374" s="16">
        <f ca="1">SUM($M$9:M374)/A374</f>
        <v>336.07868852459012</v>
      </c>
    </row>
    <row r="375" spans="1:14" x14ac:dyDescent="0.25">
      <c r="A375" s="8">
        <v>367</v>
      </c>
      <c r="B375" s="9">
        <f t="shared" ca="1" si="67"/>
        <v>1951</v>
      </c>
      <c r="C375" s="10">
        <f t="shared" ca="1" si="68"/>
        <v>0</v>
      </c>
      <c r="D375" s="11">
        <f t="shared" ca="1" si="74"/>
        <v>0.99490583168106173</v>
      </c>
      <c r="E375" s="9">
        <f t="shared" ca="1" si="75"/>
        <v>528</v>
      </c>
      <c r="F375" s="9">
        <f t="shared" ca="1" si="77"/>
        <v>1423</v>
      </c>
      <c r="G375" s="12" t="str">
        <f t="shared" ca="1" si="78"/>
        <v>No</v>
      </c>
      <c r="H375" s="12">
        <f t="shared" ca="1" si="76"/>
        <v>0</v>
      </c>
      <c r="I375" s="10">
        <f t="shared" ca="1" si="69"/>
        <v>0</v>
      </c>
      <c r="J375" s="13">
        <f t="shared" ca="1" si="70"/>
        <v>0</v>
      </c>
      <c r="K375" s="14">
        <f t="shared" ca="1" si="71"/>
        <v>284.60000000000002</v>
      </c>
      <c r="L375" s="14">
        <f t="shared" ca="1" si="72"/>
        <v>0</v>
      </c>
      <c r="M375" s="15">
        <f t="shared" ca="1" si="73"/>
        <v>284.60000000000002</v>
      </c>
      <c r="N375" s="16">
        <f ca="1">SUM($M$9:M375)/A375</f>
        <v>335.93841961852854</v>
      </c>
    </row>
    <row r="376" spans="1:14" x14ac:dyDescent="0.25">
      <c r="A376" s="8">
        <v>368</v>
      </c>
      <c r="B376" s="9">
        <f t="shared" ca="1" si="67"/>
        <v>1423</v>
      </c>
      <c r="C376" s="10">
        <f t="shared" ca="1" si="68"/>
        <v>0</v>
      </c>
      <c r="D376" s="11">
        <f t="shared" ca="1" si="74"/>
        <v>2.4488024639643502E-2</v>
      </c>
      <c r="E376" s="9">
        <f t="shared" ca="1" si="75"/>
        <v>301</v>
      </c>
      <c r="F376" s="9">
        <f t="shared" ca="1" si="77"/>
        <v>1122</v>
      </c>
      <c r="G376" s="12" t="str">
        <f t="shared" ca="1" si="78"/>
        <v>No</v>
      </c>
      <c r="H376" s="12">
        <f t="shared" ca="1" si="76"/>
        <v>0</v>
      </c>
      <c r="I376" s="10">
        <f t="shared" ca="1" si="69"/>
        <v>0</v>
      </c>
      <c r="J376" s="13">
        <f t="shared" ca="1" si="70"/>
        <v>0</v>
      </c>
      <c r="K376" s="14">
        <f t="shared" ca="1" si="71"/>
        <v>224.4</v>
      </c>
      <c r="L376" s="14">
        <f t="shared" ca="1" si="72"/>
        <v>0</v>
      </c>
      <c r="M376" s="15">
        <f t="shared" ca="1" si="73"/>
        <v>224.4</v>
      </c>
      <c r="N376" s="16">
        <f ca="1">SUM($M$9:M376)/A376</f>
        <v>335.63532608695647</v>
      </c>
    </row>
    <row r="377" spans="1:14" x14ac:dyDescent="0.25">
      <c r="A377" s="8">
        <v>369</v>
      </c>
      <c r="B377" s="9">
        <f t="shared" ca="1" si="67"/>
        <v>1122</v>
      </c>
      <c r="C377" s="10">
        <f t="shared" ca="1" si="68"/>
        <v>0</v>
      </c>
      <c r="D377" s="11">
        <f t="shared" ca="1" si="74"/>
        <v>0.30489548643644238</v>
      </c>
      <c r="E377" s="9">
        <f t="shared" ca="1" si="75"/>
        <v>374</v>
      </c>
      <c r="F377" s="9">
        <f t="shared" ca="1" si="77"/>
        <v>748</v>
      </c>
      <c r="G377" s="12" t="str">
        <f t="shared" ca="1" si="78"/>
        <v>Yes</v>
      </c>
      <c r="H377" s="12">
        <f t="shared" ca="1" si="76"/>
        <v>0.58563384869153512</v>
      </c>
      <c r="I377" s="10">
        <f t="shared" ca="1" si="69"/>
        <v>1</v>
      </c>
      <c r="J377" s="13">
        <f t="shared" ca="1" si="70"/>
        <v>300</v>
      </c>
      <c r="K377" s="14">
        <f t="shared" ca="1" si="71"/>
        <v>149.6</v>
      </c>
      <c r="L377" s="14">
        <f t="shared" ca="1" si="72"/>
        <v>0</v>
      </c>
      <c r="M377" s="15">
        <f t="shared" ca="1" si="73"/>
        <v>449.6</v>
      </c>
      <c r="N377" s="16">
        <f ca="1">SUM($M$9:M377)/A377</f>
        <v>335.94417344173434</v>
      </c>
    </row>
    <row r="378" spans="1:14" x14ac:dyDescent="0.25">
      <c r="A378" s="8">
        <v>370</v>
      </c>
      <c r="B378" s="9">
        <f t="shared" ca="1" si="67"/>
        <v>2548</v>
      </c>
      <c r="C378" s="10">
        <f t="shared" ca="1" si="68"/>
        <v>1800</v>
      </c>
      <c r="D378" s="11">
        <f t="shared" ca="1" si="74"/>
        <v>0.51806169926837597</v>
      </c>
      <c r="E378" s="9">
        <f t="shared" ca="1" si="75"/>
        <v>402</v>
      </c>
      <c r="F378" s="9">
        <f t="shared" ca="1" si="77"/>
        <v>2146</v>
      </c>
      <c r="G378" s="12" t="str">
        <f t="shared" ca="1" si="78"/>
        <v>No</v>
      </c>
      <c r="H378" s="12">
        <f t="shared" ca="1" si="76"/>
        <v>0</v>
      </c>
      <c r="I378" s="10">
        <f t="shared" ca="1" si="69"/>
        <v>0</v>
      </c>
      <c r="J378" s="13">
        <f t="shared" ca="1" si="70"/>
        <v>0</v>
      </c>
      <c r="K378" s="14">
        <f t="shared" ca="1" si="71"/>
        <v>429.20000000000005</v>
      </c>
      <c r="L378" s="14">
        <f t="shared" ca="1" si="72"/>
        <v>0</v>
      </c>
      <c r="M378" s="15">
        <f t="shared" ca="1" si="73"/>
        <v>429.20000000000005</v>
      </c>
      <c r="N378" s="16">
        <f ca="1">SUM($M$9:M378)/A378</f>
        <v>336.19621621621616</v>
      </c>
    </row>
    <row r="379" spans="1:14" x14ac:dyDescent="0.25">
      <c r="A379" s="8">
        <v>371</v>
      </c>
      <c r="B379" s="9">
        <f t="shared" ca="1" si="67"/>
        <v>2146</v>
      </c>
      <c r="C379" s="10">
        <f t="shared" ca="1" si="68"/>
        <v>0</v>
      </c>
      <c r="D379" s="11">
        <f t="shared" ca="1" si="74"/>
        <v>0.25527511615838727</v>
      </c>
      <c r="E379" s="9">
        <f t="shared" ca="1" si="75"/>
        <v>367</v>
      </c>
      <c r="F379" s="9">
        <f t="shared" ca="1" si="77"/>
        <v>1779</v>
      </c>
      <c r="G379" s="12" t="str">
        <f t="shared" ca="1" si="78"/>
        <v>No</v>
      </c>
      <c r="H379" s="12">
        <f t="shared" ca="1" si="76"/>
        <v>0</v>
      </c>
      <c r="I379" s="10">
        <f t="shared" ca="1" si="69"/>
        <v>0</v>
      </c>
      <c r="J379" s="13">
        <f t="shared" ca="1" si="70"/>
        <v>0</v>
      </c>
      <c r="K379" s="14">
        <f t="shared" ca="1" si="71"/>
        <v>355.8</v>
      </c>
      <c r="L379" s="14">
        <f t="shared" ca="1" si="72"/>
        <v>0</v>
      </c>
      <c r="M379" s="15">
        <f t="shared" ca="1" si="73"/>
        <v>355.8</v>
      </c>
      <c r="N379" s="16">
        <f ca="1">SUM($M$9:M379)/A379</f>
        <v>336.24905660377351</v>
      </c>
    </row>
    <row r="380" spans="1:14" x14ac:dyDescent="0.25">
      <c r="A380" s="8">
        <v>372</v>
      </c>
      <c r="B380" s="9">
        <f t="shared" ca="1" si="67"/>
        <v>1779</v>
      </c>
      <c r="C380" s="10">
        <f t="shared" ca="1" si="68"/>
        <v>0</v>
      </c>
      <c r="D380" s="11">
        <f t="shared" ca="1" si="74"/>
        <v>0.44205181520736248</v>
      </c>
      <c r="E380" s="9">
        <f t="shared" ca="1" si="75"/>
        <v>392</v>
      </c>
      <c r="F380" s="9">
        <f t="shared" ca="1" si="77"/>
        <v>1387</v>
      </c>
      <c r="G380" s="12" t="str">
        <f t="shared" ca="1" si="78"/>
        <v>No</v>
      </c>
      <c r="H380" s="12">
        <f t="shared" ca="1" si="76"/>
        <v>0</v>
      </c>
      <c r="I380" s="10">
        <f t="shared" ca="1" si="69"/>
        <v>0</v>
      </c>
      <c r="J380" s="13">
        <f t="shared" ca="1" si="70"/>
        <v>0</v>
      </c>
      <c r="K380" s="14">
        <f t="shared" ca="1" si="71"/>
        <v>277.40000000000003</v>
      </c>
      <c r="L380" s="14">
        <f t="shared" ca="1" si="72"/>
        <v>0</v>
      </c>
      <c r="M380" s="15">
        <f t="shared" ca="1" si="73"/>
        <v>277.40000000000003</v>
      </c>
      <c r="N380" s="16">
        <f ca="1">SUM($M$9:M380)/A380</f>
        <v>336.09086021505368</v>
      </c>
    </row>
    <row r="381" spans="1:14" x14ac:dyDescent="0.25">
      <c r="A381" s="8">
        <v>373</v>
      </c>
      <c r="B381" s="9">
        <f t="shared" ca="1" si="67"/>
        <v>1387</v>
      </c>
      <c r="C381" s="10">
        <f t="shared" ca="1" si="68"/>
        <v>0</v>
      </c>
      <c r="D381" s="11">
        <f t="shared" ca="1" si="74"/>
        <v>3.9519172428708504E-2</v>
      </c>
      <c r="E381" s="9">
        <f t="shared" ca="1" si="75"/>
        <v>312</v>
      </c>
      <c r="F381" s="9">
        <f t="shared" ca="1" si="77"/>
        <v>1075</v>
      </c>
      <c r="G381" s="12" t="str">
        <f t="shared" ca="1" si="78"/>
        <v>Yes</v>
      </c>
      <c r="H381" s="12">
        <f t="shared" ca="1" si="76"/>
        <v>0.12990753803072319</v>
      </c>
      <c r="I381" s="10">
        <f t="shared" ca="1" si="69"/>
        <v>1</v>
      </c>
      <c r="J381" s="13">
        <f t="shared" ca="1" si="70"/>
        <v>300</v>
      </c>
      <c r="K381" s="14">
        <f t="shared" ca="1" si="71"/>
        <v>215</v>
      </c>
      <c r="L381" s="14">
        <f t="shared" ca="1" si="72"/>
        <v>0</v>
      </c>
      <c r="M381" s="15">
        <f t="shared" ca="1" si="73"/>
        <v>515</v>
      </c>
      <c r="N381" s="16">
        <f ca="1">SUM($M$9:M381)/A381</f>
        <v>336.57050938337795</v>
      </c>
    </row>
    <row r="382" spans="1:14" x14ac:dyDescent="0.25">
      <c r="A382" s="8">
        <v>374</v>
      </c>
      <c r="B382" s="9">
        <f t="shared" ca="1" si="67"/>
        <v>2875</v>
      </c>
      <c r="C382" s="10">
        <f t="shared" ca="1" si="68"/>
        <v>1800</v>
      </c>
      <c r="D382" s="11">
        <f t="shared" ca="1" si="74"/>
        <v>0.16809447769511965</v>
      </c>
      <c r="E382" s="9">
        <f t="shared" ca="1" si="75"/>
        <v>351</v>
      </c>
      <c r="F382" s="9">
        <f t="shared" ca="1" si="77"/>
        <v>2524</v>
      </c>
      <c r="G382" s="12" t="str">
        <f t="shared" ca="1" si="78"/>
        <v>No</v>
      </c>
      <c r="H382" s="12">
        <f t="shared" ca="1" si="76"/>
        <v>0</v>
      </c>
      <c r="I382" s="10">
        <f t="shared" ca="1" si="69"/>
        <v>0</v>
      </c>
      <c r="J382" s="13">
        <f t="shared" ca="1" si="70"/>
        <v>0</v>
      </c>
      <c r="K382" s="14">
        <f t="shared" ca="1" si="71"/>
        <v>504.8</v>
      </c>
      <c r="L382" s="14">
        <f t="shared" ca="1" si="72"/>
        <v>0</v>
      </c>
      <c r="M382" s="15">
        <f t="shared" ca="1" si="73"/>
        <v>504.8</v>
      </c>
      <c r="N382" s="16">
        <f ca="1">SUM($M$9:M382)/A382</f>
        <v>337.0203208556149</v>
      </c>
    </row>
    <row r="383" spans="1:14" x14ac:dyDescent="0.25">
      <c r="A383" s="8">
        <v>375</v>
      </c>
      <c r="B383" s="9">
        <f t="shared" ca="1" si="67"/>
        <v>2524</v>
      </c>
      <c r="C383" s="10">
        <f t="shared" ca="1" si="68"/>
        <v>0</v>
      </c>
      <c r="D383" s="11">
        <f t="shared" ca="1" si="74"/>
        <v>0.20219159346415849</v>
      </c>
      <c r="E383" s="9">
        <f t="shared" ca="1" si="75"/>
        <v>358</v>
      </c>
      <c r="F383" s="9">
        <f t="shared" ca="1" si="77"/>
        <v>2166</v>
      </c>
      <c r="G383" s="12" t="str">
        <f t="shared" ca="1" si="78"/>
        <v>No</v>
      </c>
      <c r="H383" s="12">
        <f t="shared" ca="1" si="76"/>
        <v>0</v>
      </c>
      <c r="I383" s="10">
        <f t="shared" ca="1" si="69"/>
        <v>0</v>
      </c>
      <c r="J383" s="13">
        <f t="shared" ca="1" si="70"/>
        <v>0</v>
      </c>
      <c r="K383" s="14">
        <f t="shared" ca="1" si="71"/>
        <v>433.20000000000005</v>
      </c>
      <c r="L383" s="14">
        <f t="shared" ca="1" si="72"/>
        <v>0</v>
      </c>
      <c r="M383" s="15">
        <f t="shared" ca="1" si="73"/>
        <v>433.20000000000005</v>
      </c>
      <c r="N383" s="16">
        <f ca="1">SUM($M$9:M383)/A383</f>
        <v>337.27679999999992</v>
      </c>
    </row>
    <row r="384" spans="1:14" x14ac:dyDescent="0.25">
      <c r="A384" s="8">
        <v>376</v>
      </c>
      <c r="B384" s="9">
        <f t="shared" ca="1" si="67"/>
        <v>2166</v>
      </c>
      <c r="C384" s="10">
        <f t="shared" ca="1" si="68"/>
        <v>0</v>
      </c>
      <c r="D384" s="11">
        <f t="shared" ca="1" si="74"/>
        <v>0.64710121318675473</v>
      </c>
      <c r="E384" s="9">
        <f t="shared" ca="1" si="75"/>
        <v>418</v>
      </c>
      <c r="F384" s="9">
        <f t="shared" ca="1" si="77"/>
        <v>1748</v>
      </c>
      <c r="G384" s="12" t="str">
        <f t="shared" ca="1" si="78"/>
        <v>No</v>
      </c>
      <c r="H384" s="12">
        <f t="shared" ca="1" si="76"/>
        <v>0</v>
      </c>
      <c r="I384" s="10">
        <f t="shared" ca="1" si="69"/>
        <v>0</v>
      </c>
      <c r="J384" s="13">
        <f t="shared" ca="1" si="70"/>
        <v>0</v>
      </c>
      <c r="K384" s="14">
        <f t="shared" ca="1" si="71"/>
        <v>349.6</v>
      </c>
      <c r="L384" s="14">
        <f t="shared" ca="1" si="72"/>
        <v>0</v>
      </c>
      <c r="M384" s="15">
        <f t="shared" ca="1" si="73"/>
        <v>349.6</v>
      </c>
      <c r="N384" s="16">
        <f ca="1">SUM($M$9:M384)/A384</f>
        <v>337.30957446808503</v>
      </c>
    </row>
    <row r="385" spans="1:14" x14ac:dyDescent="0.25">
      <c r="A385" s="8">
        <v>377</v>
      </c>
      <c r="B385" s="9">
        <f t="shared" ca="1" si="67"/>
        <v>1748</v>
      </c>
      <c r="C385" s="10">
        <f t="shared" ca="1" si="68"/>
        <v>0</v>
      </c>
      <c r="D385" s="11">
        <f t="shared" ca="1" si="74"/>
        <v>1.3779453295672428E-2</v>
      </c>
      <c r="E385" s="9">
        <f t="shared" ca="1" si="75"/>
        <v>289</v>
      </c>
      <c r="F385" s="9">
        <f t="shared" ca="1" si="77"/>
        <v>1459</v>
      </c>
      <c r="G385" s="12" t="str">
        <f t="shared" ca="1" si="78"/>
        <v>No</v>
      </c>
      <c r="H385" s="12">
        <f t="shared" ca="1" si="76"/>
        <v>0</v>
      </c>
      <c r="I385" s="10">
        <f t="shared" ca="1" si="69"/>
        <v>0</v>
      </c>
      <c r="J385" s="13">
        <f t="shared" ca="1" si="70"/>
        <v>0</v>
      </c>
      <c r="K385" s="14">
        <f t="shared" ca="1" si="71"/>
        <v>291.8</v>
      </c>
      <c r="L385" s="14">
        <f t="shared" ca="1" si="72"/>
        <v>0</v>
      </c>
      <c r="M385" s="15">
        <f t="shared" ca="1" si="73"/>
        <v>291.8</v>
      </c>
      <c r="N385" s="16">
        <f ca="1">SUM($M$9:M385)/A385</f>
        <v>337.18885941644555</v>
      </c>
    </row>
    <row r="386" spans="1:14" x14ac:dyDescent="0.25">
      <c r="A386" s="8">
        <v>378</v>
      </c>
      <c r="B386" s="9">
        <f t="shared" ca="1" si="67"/>
        <v>1459</v>
      </c>
      <c r="C386" s="10">
        <f t="shared" ca="1" si="68"/>
        <v>0</v>
      </c>
      <c r="D386" s="11">
        <f t="shared" ca="1" si="74"/>
        <v>0.49104835481215525</v>
      </c>
      <c r="E386" s="9">
        <f t="shared" ca="1" si="75"/>
        <v>398</v>
      </c>
      <c r="F386" s="9">
        <f t="shared" ca="1" si="77"/>
        <v>1061</v>
      </c>
      <c r="G386" s="12" t="str">
        <f t="shared" ca="1" si="78"/>
        <v>No</v>
      </c>
      <c r="H386" s="12">
        <f t="shared" ca="1" si="76"/>
        <v>0</v>
      </c>
      <c r="I386" s="10">
        <f t="shared" ca="1" si="69"/>
        <v>0</v>
      </c>
      <c r="J386" s="13">
        <f t="shared" ca="1" si="70"/>
        <v>0</v>
      </c>
      <c r="K386" s="14">
        <f t="shared" ca="1" si="71"/>
        <v>212.20000000000002</v>
      </c>
      <c r="L386" s="14">
        <f t="shared" ca="1" si="72"/>
        <v>0</v>
      </c>
      <c r="M386" s="15">
        <f t="shared" ca="1" si="73"/>
        <v>212.20000000000002</v>
      </c>
      <c r="N386" s="16">
        <f ca="1">SUM($M$9:M386)/A386</f>
        <v>336.85820105820102</v>
      </c>
    </row>
    <row r="387" spans="1:14" x14ac:dyDescent="0.25">
      <c r="A387" s="8">
        <v>379</v>
      </c>
      <c r="B387" s="9">
        <f t="shared" ref="B387:B408" ca="1" si="79">IF(I386=1,F386+Quantity,F386)</f>
        <v>1061</v>
      </c>
      <c r="C387" s="10">
        <f t="shared" ref="C387:C408" ca="1" si="80">IF(I386=1,Quantity,0)</f>
        <v>0</v>
      </c>
      <c r="D387" s="11">
        <f t="shared" ca="1" si="74"/>
        <v>0.82464489123594176</v>
      </c>
      <c r="E387" s="9">
        <f t="shared" ca="1" si="75"/>
        <v>446</v>
      </c>
      <c r="F387" s="9">
        <f t="shared" ca="1" si="77"/>
        <v>615</v>
      </c>
      <c r="G387" s="12" t="str">
        <f t="shared" ca="1" si="78"/>
        <v>Yes</v>
      </c>
      <c r="H387" s="12">
        <f t="shared" ca="1" si="76"/>
        <v>0.55074659799448666</v>
      </c>
      <c r="I387" s="10">
        <f t="shared" ref="I387:I408" ca="1" si="81">IF(I386&gt;0,I386-1,(IF(G387="Yes",(VLOOKUP(H387,LTD,3)),0)))</f>
        <v>1</v>
      </c>
      <c r="J387" s="13">
        <f t="shared" ref="J387:J408" ca="1" si="82">IF(G387="Yes",Order_Cost,0)</f>
        <v>300</v>
      </c>
      <c r="K387" s="14">
        <f t="shared" ref="K387:K408" ca="1" si="83">F387*Holding_Cost</f>
        <v>123</v>
      </c>
      <c r="L387" s="14">
        <f t="shared" ref="L387:L408" ca="1" si="84">IF(B387+C387&lt;E387,Shortage_Cost*(E387-B387-C387),0)</f>
        <v>0</v>
      </c>
      <c r="M387" s="15">
        <f t="shared" ref="M387:M408" ca="1" si="85">SUM(J387:L387)</f>
        <v>423</v>
      </c>
      <c r="N387" s="16">
        <f ca="1">SUM($M$9:M387)/A387</f>
        <v>337.08548812664901</v>
      </c>
    </row>
    <row r="388" spans="1:14" x14ac:dyDescent="0.25">
      <c r="A388" s="8">
        <v>380</v>
      </c>
      <c r="B388" s="9">
        <f t="shared" ca="1" si="79"/>
        <v>2415</v>
      </c>
      <c r="C388" s="10">
        <f t="shared" ca="1" si="80"/>
        <v>1800</v>
      </c>
      <c r="D388" s="11">
        <f t="shared" ca="1" si="74"/>
        <v>1.4305680670101739E-2</v>
      </c>
      <c r="E388" s="9">
        <f t="shared" ca="1" si="75"/>
        <v>290</v>
      </c>
      <c r="F388" s="9">
        <f t="shared" ca="1" si="77"/>
        <v>2125</v>
      </c>
      <c r="G388" s="12" t="str">
        <f t="shared" ca="1" si="78"/>
        <v>No</v>
      </c>
      <c r="H388" s="12">
        <f t="shared" ca="1" si="76"/>
        <v>0</v>
      </c>
      <c r="I388" s="10">
        <f t="shared" ca="1" si="81"/>
        <v>0</v>
      </c>
      <c r="J388" s="13">
        <f t="shared" ca="1" si="82"/>
        <v>0</v>
      </c>
      <c r="K388" s="14">
        <f t="shared" ca="1" si="83"/>
        <v>425</v>
      </c>
      <c r="L388" s="14">
        <f t="shared" ca="1" si="84"/>
        <v>0</v>
      </c>
      <c r="M388" s="15">
        <f t="shared" ca="1" si="85"/>
        <v>425</v>
      </c>
      <c r="N388" s="16">
        <f ca="1">SUM($M$9:M388)/A388</f>
        <v>337.31684210526311</v>
      </c>
    </row>
    <row r="389" spans="1:14" x14ac:dyDescent="0.25">
      <c r="A389" s="8">
        <v>381</v>
      </c>
      <c r="B389" s="9">
        <f t="shared" ca="1" si="79"/>
        <v>2125</v>
      </c>
      <c r="C389" s="10">
        <f t="shared" ca="1" si="80"/>
        <v>0</v>
      </c>
      <c r="D389" s="11">
        <f t="shared" ca="1" si="74"/>
        <v>0.37854125390989712</v>
      </c>
      <c r="E389" s="9">
        <f t="shared" ca="1" si="75"/>
        <v>384</v>
      </c>
      <c r="F389" s="9">
        <f t="shared" ca="1" si="77"/>
        <v>1741</v>
      </c>
      <c r="G389" s="12" t="str">
        <f t="shared" ca="1" si="78"/>
        <v>No</v>
      </c>
      <c r="H389" s="12">
        <f t="shared" ca="1" si="76"/>
        <v>0</v>
      </c>
      <c r="I389" s="10">
        <f t="shared" ca="1" si="81"/>
        <v>0</v>
      </c>
      <c r="J389" s="13">
        <f t="shared" ca="1" si="82"/>
        <v>0</v>
      </c>
      <c r="K389" s="14">
        <f t="shared" ca="1" si="83"/>
        <v>348.20000000000005</v>
      </c>
      <c r="L389" s="14">
        <f t="shared" ca="1" si="84"/>
        <v>0</v>
      </c>
      <c r="M389" s="15">
        <f t="shared" ca="1" si="85"/>
        <v>348.20000000000005</v>
      </c>
      <c r="N389" s="16">
        <f ca="1">SUM($M$9:M389)/A389</f>
        <v>337.34540682414695</v>
      </c>
    </row>
    <row r="390" spans="1:14" x14ac:dyDescent="0.25">
      <c r="A390" s="8">
        <v>382</v>
      </c>
      <c r="B390" s="9">
        <f t="shared" ca="1" si="79"/>
        <v>1741</v>
      </c>
      <c r="C390" s="10">
        <f t="shared" ca="1" si="80"/>
        <v>0</v>
      </c>
      <c r="D390" s="11">
        <f t="shared" ca="1" si="74"/>
        <v>0.77479279152992586</v>
      </c>
      <c r="E390" s="9">
        <f t="shared" ca="1" si="75"/>
        <v>437</v>
      </c>
      <c r="F390" s="9">
        <f t="shared" ca="1" si="77"/>
        <v>1304</v>
      </c>
      <c r="G390" s="12" t="str">
        <f t="shared" ca="1" si="78"/>
        <v>No</v>
      </c>
      <c r="H390" s="12">
        <f t="shared" ca="1" si="76"/>
        <v>0</v>
      </c>
      <c r="I390" s="10">
        <f t="shared" ca="1" si="81"/>
        <v>0</v>
      </c>
      <c r="J390" s="13">
        <f t="shared" ca="1" si="82"/>
        <v>0</v>
      </c>
      <c r="K390" s="14">
        <f t="shared" ca="1" si="83"/>
        <v>260.8</v>
      </c>
      <c r="L390" s="14">
        <f t="shared" ca="1" si="84"/>
        <v>0</v>
      </c>
      <c r="M390" s="15">
        <f t="shared" ca="1" si="85"/>
        <v>260.8</v>
      </c>
      <c r="N390" s="16">
        <f ca="1">SUM($M$9:M390)/A390</f>
        <v>337.14502617801043</v>
      </c>
    </row>
    <row r="391" spans="1:14" x14ac:dyDescent="0.25">
      <c r="A391" s="8">
        <v>383</v>
      </c>
      <c r="B391" s="9">
        <f t="shared" ca="1" si="79"/>
        <v>1304</v>
      </c>
      <c r="C391" s="10">
        <f t="shared" ca="1" si="80"/>
        <v>0</v>
      </c>
      <c r="D391" s="11">
        <f t="shared" ca="1" si="74"/>
        <v>8.2586054449114377E-2</v>
      </c>
      <c r="E391" s="9">
        <f t="shared" ca="1" si="75"/>
        <v>330</v>
      </c>
      <c r="F391" s="9">
        <f t="shared" ca="1" si="77"/>
        <v>974</v>
      </c>
      <c r="G391" s="12" t="str">
        <f t="shared" ca="1" si="78"/>
        <v>Yes</v>
      </c>
      <c r="H391" s="12">
        <f t="shared" ca="1" si="76"/>
        <v>0.46534524799837673</v>
      </c>
      <c r="I391" s="10">
        <f t="shared" ca="1" si="81"/>
        <v>1</v>
      </c>
      <c r="J391" s="13">
        <f t="shared" ca="1" si="82"/>
        <v>300</v>
      </c>
      <c r="K391" s="14">
        <f t="shared" ca="1" si="83"/>
        <v>194.8</v>
      </c>
      <c r="L391" s="14">
        <f t="shared" ca="1" si="84"/>
        <v>0</v>
      </c>
      <c r="M391" s="15">
        <f t="shared" ca="1" si="85"/>
        <v>494.8</v>
      </c>
      <c r="N391" s="16">
        <f ca="1">SUM($M$9:M391)/A391</f>
        <v>337.55665796344641</v>
      </c>
    </row>
    <row r="392" spans="1:14" x14ac:dyDescent="0.25">
      <c r="A392" s="8">
        <v>384</v>
      </c>
      <c r="B392" s="9">
        <f t="shared" ca="1" si="79"/>
        <v>2774</v>
      </c>
      <c r="C392" s="10">
        <f t="shared" ca="1" si="80"/>
        <v>1800</v>
      </c>
      <c r="D392" s="11">
        <f t="shared" ca="1" si="74"/>
        <v>0.90161423741617142</v>
      </c>
      <c r="E392" s="9">
        <f t="shared" ca="1" si="75"/>
        <v>464</v>
      </c>
      <c r="F392" s="9">
        <f t="shared" ca="1" si="77"/>
        <v>2310</v>
      </c>
      <c r="G392" s="12" t="str">
        <f t="shared" ca="1" si="78"/>
        <v>No</v>
      </c>
      <c r="H392" s="12">
        <f t="shared" ca="1" si="76"/>
        <v>0</v>
      </c>
      <c r="I392" s="10">
        <f t="shared" ca="1" si="81"/>
        <v>0</v>
      </c>
      <c r="J392" s="13">
        <f t="shared" ca="1" si="82"/>
        <v>0</v>
      </c>
      <c r="K392" s="14">
        <f t="shared" ca="1" si="83"/>
        <v>462</v>
      </c>
      <c r="L392" s="14">
        <f t="shared" ca="1" si="84"/>
        <v>0</v>
      </c>
      <c r="M392" s="15">
        <f t="shared" ca="1" si="85"/>
        <v>462</v>
      </c>
      <c r="N392" s="16">
        <f ca="1">SUM($M$9:M392)/A392</f>
        <v>337.88072916666664</v>
      </c>
    </row>
    <row r="393" spans="1:14" x14ac:dyDescent="0.25">
      <c r="A393" s="8">
        <v>385</v>
      </c>
      <c r="B393" s="9">
        <f t="shared" ca="1" si="79"/>
        <v>2310</v>
      </c>
      <c r="C393" s="10">
        <f t="shared" ca="1" si="80"/>
        <v>0</v>
      </c>
      <c r="D393" s="11">
        <f t="shared" ca="1" si="74"/>
        <v>0.68971980422955748</v>
      </c>
      <c r="E393" s="9">
        <f t="shared" ca="1" si="75"/>
        <v>424</v>
      </c>
      <c r="F393" s="9">
        <f t="shared" ca="1" si="77"/>
        <v>1886</v>
      </c>
      <c r="G393" s="12" t="str">
        <f t="shared" ca="1" si="78"/>
        <v>No</v>
      </c>
      <c r="H393" s="12">
        <f t="shared" ca="1" si="76"/>
        <v>0</v>
      </c>
      <c r="I393" s="10">
        <f t="shared" ca="1" si="81"/>
        <v>0</v>
      </c>
      <c r="J393" s="13">
        <f t="shared" ca="1" si="82"/>
        <v>0</v>
      </c>
      <c r="K393" s="14">
        <f t="shared" ca="1" si="83"/>
        <v>377.20000000000005</v>
      </c>
      <c r="L393" s="14">
        <f t="shared" ca="1" si="84"/>
        <v>0</v>
      </c>
      <c r="M393" s="15">
        <f t="shared" ca="1" si="85"/>
        <v>377.20000000000005</v>
      </c>
      <c r="N393" s="16">
        <f ca="1">SUM($M$9:M393)/A393</f>
        <v>337.98285714285709</v>
      </c>
    </row>
    <row r="394" spans="1:14" x14ac:dyDescent="0.25">
      <c r="A394" s="8">
        <v>386</v>
      </c>
      <c r="B394" s="9">
        <f t="shared" ca="1" si="79"/>
        <v>1886</v>
      </c>
      <c r="C394" s="10">
        <f t="shared" ca="1" si="80"/>
        <v>0</v>
      </c>
      <c r="D394" s="11">
        <f t="shared" ref="D394:D457" ca="1" si="86">RAND()</f>
        <v>0.10584182172411261</v>
      </c>
      <c r="E394" s="9">
        <f t="shared" ref="E394:E457" ca="1" si="87">INT(NORMINV(D394,D_Mean,D_StdDev))</f>
        <v>337</v>
      </c>
      <c r="F394" s="9">
        <f t="shared" ca="1" si="77"/>
        <v>1549</v>
      </c>
      <c r="G394" s="12" t="str">
        <f t="shared" ca="1" si="78"/>
        <v>No</v>
      </c>
      <c r="H394" s="12">
        <f t="shared" ref="H394:H457" ca="1" si="88">IF(G394="Yes",RAND(),0)</f>
        <v>0</v>
      </c>
      <c r="I394" s="10">
        <f t="shared" ca="1" si="81"/>
        <v>0</v>
      </c>
      <c r="J394" s="13">
        <f t="shared" ca="1" si="82"/>
        <v>0</v>
      </c>
      <c r="K394" s="14">
        <f t="shared" ca="1" si="83"/>
        <v>309.8</v>
      </c>
      <c r="L394" s="14">
        <f t="shared" ca="1" si="84"/>
        <v>0</v>
      </c>
      <c r="M394" s="15">
        <f t="shared" ca="1" si="85"/>
        <v>309.8</v>
      </c>
      <c r="N394" s="16">
        <f ca="1">SUM($M$9:M394)/A394</f>
        <v>337.90984455958545</v>
      </c>
    </row>
    <row r="395" spans="1:14" x14ac:dyDescent="0.25">
      <c r="A395" s="8">
        <v>387</v>
      </c>
      <c r="B395" s="9">
        <f t="shared" ca="1" si="79"/>
        <v>1549</v>
      </c>
      <c r="C395" s="10">
        <f t="shared" ca="1" si="80"/>
        <v>0</v>
      </c>
      <c r="D395" s="11">
        <f t="shared" ca="1" si="86"/>
        <v>0.87752228561604118</v>
      </c>
      <c r="E395" s="9">
        <f t="shared" ca="1" si="87"/>
        <v>458</v>
      </c>
      <c r="F395" s="9">
        <f t="shared" ref="F395:F458" ca="1" si="89">IF(B395+C395-E395&lt;0,0,B395-E395)</f>
        <v>1091</v>
      </c>
      <c r="G395" s="12" t="str">
        <f t="shared" ca="1" si="78"/>
        <v>No</v>
      </c>
      <c r="H395" s="12">
        <f t="shared" ca="1" si="88"/>
        <v>0</v>
      </c>
      <c r="I395" s="10">
        <f t="shared" ca="1" si="81"/>
        <v>0</v>
      </c>
      <c r="J395" s="13">
        <f t="shared" ca="1" si="82"/>
        <v>0</v>
      </c>
      <c r="K395" s="14">
        <f t="shared" ca="1" si="83"/>
        <v>218.20000000000002</v>
      </c>
      <c r="L395" s="14">
        <f t="shared" ca="1" si="84"/>
        <v>0</v>
      </c>
      <c r="M395" s="15">
        <f t="shared" ca="1" si="85"/>
        <v>218.20000000000002</v>
      </c>
      <c r="N395" s="16">
        <f ca="1">SUM($M$9:M395)/A395</f>
        <v>337.60051679586559</v>
      </c>
    </row>
    <row r="396" spans="1:14" x14ac:dyDescent="0.25">
      <c r="A396" s="8">
        <v>388</v>
      </c>
      <c r="B396" s="9">
        <f t="shared" ca="1" si="79"/>
        <v>1091</v>
      </c>
      <c r="C396" s="10">
        <f t="shared" ca="1" si="80"/>
        <v>0</v>
      </c>
      <c r="D396" s="11">
        <f t="shared" ca="1" si="86"/>
        <v>0.76578058739407195</v>
      </c>
      <c r="E396" s="9">
        <f t="shared" ca="1" si="87"/>
        <v>436</v>
      </c>
      <c r="F396" s="9">
        <f t="shared" ca="1" si="89"/>
        <v>655</v>
      </c>
      <c r="G396" s="12" t="str">
        <f t="shared" ref="G396:G408" ca="1" si="90">IF(B396&lt;Point,IF(I395=0,"Yes","No"),"No")</f>
        <v>Yes</v>
      </c>
      <c r="H396" s="12">
        <f t="shared" ca="1" si="88"/>
        <v>0.34690942847366435</v>
      </c>
      <c r="I396" s="10">
        <f t="shared" ca="1" si="81"/>
        <v>1</v>
      </c>
      <c r="J396" s="13">
        <f t="shared" ca="1" si="82"/>
        <v>300</v>
      </c>
      <c r="K396" s="14">
        <f t="shared" ca="1" si="83"/>
        <v>131</v>
      </c>
      <c r="L396" s="14">
        <f t="shared" ca="1" si="84"/>
        <v>0</v>
      </c>
      <c r="M396" s="15">
        <f t="shared" ca="1" si="85"/>
        <v>431</v>
      </c>
      <c r="N396" s="16">
        <f ca="1">SUM($M$9:M396)/A396</f>
        <v>337.84123711340197</v>
      </c>
    </row>
    <row r="397" spans="1:14" x14ac:dyDescent="0.25">
      <c r="A397" s="8">
        <v>389</v>
      </c>
      <c r="B397" s="9">
        <f t="shared" ca="1" si="79"/>
        <v>2455</v>
      </c>
      <c r="C397" s="10">
        <f t="shared" ca="1" si="80"/>
        <v>1800</v>
      </c>
      <c r="D397" s="11">
        <f t="shared" ca="1" si="86"/>
        <v>5.5326550184752965E-2</v>
      </c>
      <c r="E397" s="9">
        <f t="shared" ca="1" si="87"/>
        <v>320</v>
      </c>
      <c r="F397" s="9">
        <f t="shared" ca="1" si="89"/>
        <v>2135</v>
      </c>
      <c r="G397" s="12" t="str">
        <f t="shared" ca="1" si="90"/>
        <v>No</v>
      </c>
      <c r="H397" s="12">
        <f t="shared" ca="1" si="88"/>
        <v>0</v>
      </c>
      <c r="I397" s="10">
        <f t="shared" ca="1" si="81"/>
        <v>0</v>
      </c>
      <c r="J397" s="13">
        <f t="shared" ca="1" si="82"/>
        <v>0</v>
      </c>
      <c r="K397" s="14">
        <f t="shared" ca="1" si="83"/>
        <v>427</v>
      </c>
      <c r="L397" s="14">
        <f t="shared" ca="1" si="84"/>
        <v>0</v>
      </c>
      <c r="M397" s="15">
        <f t="shared" ca="1" si="85"/>
        <v>427</v>
      </c>
      <c r="N397" s="16">
        <f ca="1">SUM($M$9:M397)/A397</f>
        <v>338.07043701799478</v>
      </c>
    </row>
    <row r="398" spans="1:14" x14ac:dyDescent="0.25">
      <c r="A398" s="8">
        <v>390</v>
      </c>
      <c r="B398" s="9">
        <f t="shared" ca="1" si="79"/>
        <v>2135</v>
      </c>
      <c r="C398" s="10">
        <f t="shared" ca="1" si="80"/>
        <v>0</v>
      </c>
      <c r="D398" s="11">
        <f t="shared" ca="1" si="86"/>
        <v>0.50431908474413212</v>
      </c>
      <c r="E398" s="9">
        <f t="shared" ca="1" si="87"/>
        <v>400</v>
      </c>
      <c r="F398" s="9">
        <f t="shared" ca="1" si="89"/>
        <v>1735</v>
      </c>
      <c r="G398" s="12" t="str">
        <f t="shared" ca="1" si="90"/>
        <v>No</v>
      </c>
      <c r="H398" s="12">
        <f t="shared" ca="1" si="88"/>
        <v>0</v>
      </c>
      <c r="I398" s="10">
        <f t="shared" ca="1" si="81"/>
        <v>0</v>
      </c>
      <c r="J398" s="13">
        <f t="shared" ca="1" si="82"/>
        <v>0</v>
      </c>
      <c r="K398" s="14">
        <f t="shared" ca="1" si="83"/>
        <v>347</v>
      </c>
      <c r="L398" s="14">
        <f t="shared" ca="1" si="84"/>
        <v>0</v>
      </c>
      <c r="M398" s="15">
        <f t="shared" ca="1" si="85"/>
        <v>347</v>
      </c>
      <c r="N398" s="16">
        <f ca="1">SUM($M$9:M398)/A398</f>
        <v>338.09333333333325</v>
      </c>
    </row>
    <row r="399" spans="1:14" x14ac:dyDescent="0.25">
      <c r="A399" s="8">
        <v>391</v>
      </c>
      <c r="B399" s="9">
        <f t="shared" ca="1" si="79"/>
        <v>1735</v>
      </c>
      <c r="C399" s="10">
        <f t="shared" ca="1" si="80"/>
        <v>0</v>
      </c>
      <c r="D399" s="11">
        <f t="shared" ca="1" si="86"/>
        <v>0.28429056018677223</v>
      </c>
      <c r="E399" s="9">
        <f t="shared" ca="1" si="87"/>
        <v>371</v>
      </c>
      <c r="F399" s="9">
        <f t="shared" ca="1" si="89"/>
        <v>1364</v>
      </c>
      <c r="G399" s="12" t="str">
        <f t="shared" ca="1" si="90"/>
        <v>No</v>
      </c>
      <c r="H399" s="12">
        <f t="shared" ca="1" si="88"/>
        <v>0</v>
      </c>
      <c r="I399" s="10">
        <f t="shared" ca="1" si="81"/>
        <v>0</v>
      </c>
      <c r="J399" s="13">
        <f t="shared" ca="1" si="82"/>
        <v>0</v>
      </c>
      <c r="K399" s="14">
        <f t="shared" ca="1" si="83"/>
        <v>272.8</v>
      </c>
      <c r="L399" s="14">
        <f t="shared" ca="1" si="84"/>
        <v>0</v>
      </c>
      <c r="M399" s="15">
        <f t="shared" ca="1" si="85"/>
        <v>272.8</v>
      </c>
      <c r="N399" s="16">
        <f ca="1">SUM($M$9:M399)/A399</f>
        <v>337.92634271099735</v>
      </c>
    </row>
    <row r="400" spans="1:14" x14ac:dyDescent="0.25">
      <c r="A400" s="8">
        <v>392</v>
      </c>
      <c r="B400" s="9">
        <f t="shared" ca="1" si="79"/>
        <v>1364</v>
      </c>
      <c r="C400" s="10">
        <f t="shared" ca="1" si="80"/>
        <v>0</v>
      </c>
      <c r="D400" s="11">
        <f t="shared" ca="1" si="86"/>
        <v>0.8990839483720342</v>
      </c>
      <c r="E400" s="9">
        <f t="shared" ca="1" si="87"/>
        <v>463</v>
      </c>
      <c r="F400" s="9">
        <f t="shared" ca="1" si="89"/>
        <v>901</v>
      </c>
      <c r="G400" s="12" t="str">
        <f t="shared" ca="1" si="90"/>
        <v>Yes</v>
      </c>
      <c r="H400" s="12">
        <f t="shared" ca="1" si="88"/>
        <v>0.19360602490164625</v>
      </c>
      <c r="I400" s="10">
        <f t="shared" ca="1" si="81"/>
        <v>1</v>
      </c>
      <c r="J400" s="13">
        <f t="shared" ca="1" si="82"/>
        <v>300</v>
      </c>
      <c r="K400" s="14">
        <f t="shared" ca="1" si="83"/>
        <v>180.20000000000002</v>
      </c>
      <c r="L400" s="14">
        <f t="shared" ca="1" si="84"/>
        <v>0</v>
      </c>
      <c r="M400" s="15">
        <f t="shared" ca="1" si="85"/>
        <v>480.20000000000005</v>
      </c>
      <c r="N400" s="16">
        <f ca="1">SUM($M$9:M400)/A400</f>
        <v>338.2892857142856</v>
      </c>
    </row>
    <row r="401" spans="1:14" x14ac:dyDescent="0.25">
      <c r="A401" s="8">
        <v>393</v>
      </c>
      <c r="B401" s="9">
        <f t="shared" ca="1" si="79"/>
        <v>2701</v>
      </c>
      <c r="C401" s="10">
        <f t="shared" ca="1" si="80"/>
        <v>1800</v>
      </c>
      <c r="D401" s="11">
        <f t="shared" ca="1" si="86"/>
        <v>0.94626465004588833</v>
      </c>
      <c r="E401" s="9">
        <f t="shared" ca="1" si="87"/>
        <v>480</v>
      </c>
      <c r="F401" s="9">
        <f t="shared" ca="1" si="89"/>
        <v>2221</v>
      </c>
      <c r="G401" s="12" t="str">
        <f t="shared" ca="1" si="90"/>
        <v>No</v>
      </c>
      <c r="H401" s="12">
        <f t="shared" ca="1" si="88"/>
        <v>0</v>
      </c>
      <c r="I401" s="10">
        <f t="shared" ca="1" si="81"/>
        <v>0</v>
      </c>
      <c r="J401" s="13">
        <f t="shared" ca="1" si="82"/>
        <v>0</v>
      </c>
      <c r="K401" s="14">
        <f t="shared" ca="1" si="83"/>
        <v>444.20000000000005</v>
      </c>
      <c r="L401" s="14">
        <f t="shared" ca="1" si="84"/>
        <v>0</v>
      </c>
      <c r="M401" s="15">
        <f t="shared" ca="1" si="85"/>
        <v>444.20000000000005</v>
      </c>
      <c r="N401" s="16">
        <f ca="1">SUM($M$9:M401)/A401</f>
        <v>338.55877862595412</v>
      </c>
    </row>
    <row r="402" spans="1:14" x14ac:dyDescent="0.25">
      <c r="A402" s="8">
        <v>394</v>
      </c>
      <c r="B402" s="9">
        <f t="shared" ca="1" si="79"/>
        <v>2221</v>
      </c>
      <c r="C402" s="10">
        <f t="shared" ca="1" si="80"/>
        <v>0</v>
      </c>
      <c r="D402" s="11">
        <f t="shared" ca="1" si="86"/>
        <v>0.81400851981603195</v>
      </c>
      <c r="E402" s="9">
        <f t="shared" ca="1" si="87"/>
        <v>444</v>
      </c>
      <c r="F402" s="9">
        <f t="shared" ca="1" si="89"/>
        <v>1777</v>
      </c>
      <c r="G402" s="12" t="str">
        <f t="shared" ca="1" si="90"/>
        <v>No</v>
      </c>
      <c r="H402" s="12">
        <f t="shared" ca="1" si="88"/>
        <v>0</v>
      </c>
      <c r="I402" s="10">
        <f t="shared" ca="1" si="81"/>
        <v>0</v>
      </c>
      <c r="J402" s="13">
        <f t="shared" ca="1" si="82"/>
        <v>0</v>
      </c>
      <c r="K402" s="14">
        <f t="shared" ca="1" si="83"/>
        <v>355.40000000000003</v>
      </c>
      <c r="L402" s="14">
        <f t="shared" ca="1" si="84"/>
        <v>0</v>
      </c>
      <c r="M402" s="15">
        <f t="shared" ca="1" si="85"/>
        <v>355.40000000000003</v>
      </c>
      <c r="N402" s="16">
        <f ca="1">SUM($M$9:M402)/A402</f>
        <v>338.6015228426395</v>
      </c>
    </row>
    <row r="403" spans="1:14" x14ac:dyDescent="0.25">
      <c r="A403" s="8">
        <v>395</v>
      </c>
      <c r="B403" s="9">
        <f t="shared" ca="1" si="79"/>
        <v>1777</v>
      </c>
      <c r="C403" s="10">
        <f t="shared" ca="1" si="80"/>
        <v>0</v>
      </c>
      <c r="D403" s="11">
        <f t="shared" ca="1" si="86"/>
        <v>0.58689334638645585</v>
      </c>
      <c r="E403" s="9">
        <f t="shared" ca="1" si="87"/>
        <v>410</v>
      </c>
      <c r="F403" s="9">
        <f t="shared" ca="1" si="89"/>
        <v>1367</v>
      </c>
      <c r="G403" s="12" t="str">
        <f t="shared" ca="1" si="90"/>
        <v>No</v>
      </c>
      <c r="H403" s="12">
        <f t="shared" ca="1" si="88"/>
        <v>0</v>
      </c>
      <c r="I403" s="10">
        <f t="shared" ca="1" si="81"/>
        <v>0</v>
      </c>
      <c r="J403" s="13">
        <f t="shared" ca="1" si="82"/>
        <v>0</v>
      </c>
      <c r="K403" s="14">
        <f t="shared" ca="1" si="83"/>
        <v>273.40000000000003</v>
      </c>
      <c r="L403" s="14">
        <f t="shared" ca="1" si="84"/>
        <v>0</v>
      </c>
      <c r="M403" s="15">
        <f t="shared" ca="1" si="85"/>
        <v>273.40000000000003</v>
      </c>
      <c r="N403" s="16">
        <f ca="1">SUM($M$9:M403)/A403</f>
        <v>338.43645569620242</v>
      </c>
    </row>
    <row r="404" spans="1:14" x14ac:dyDescent="0.25">
      <c r="A404" s="8">
        <v>396</v>
      </c>
      <c r="B404" s="9">
        <f t="shared" ca="1" si="79"/>
        <v>1367</v>
      </c>
      <c r="C404" s="10">
        <f t="shared" ca="1" si="80"/>
        <v>0</v>
      </c>
      <c r="D404" s="11">
        <f t="shared" ca="1" si="86"/>
        <v>0.71382873162552007</v>
      </c>
      <c r="E404" s="9">
        <f t="shared" ca="1" si="87"/>
        <v>428</v>
      </c>
      <c r="F404" s="9">
        <f t="shared" ca="1" si="89"/>
        <v>939</v>
      </c>
      <c r="G404" s="12" t="str">
        <f t="shared" ca="1" si="90"/>
        <v>Yes</v>
      </c>
      <c r="H404" s="12">
        <f t="shared" ca="1" si="88"/>
        <v>0.18834993954239321</v>
      </c>
      <c r="I404" s="10">
        <f t="shared" ca="1" si="81"/>
        <v>1</v>
      </c>
      <c r="J404" s="13">
        <f t="shared" ca="1" si="82"/>
        <v>300</v>
      </c>
      <c r="K404" s="14">
        <f t="shared" ca="1" si="83"/>
        <v>187.8</v>
      </c>
      <c r="L404" s="14">
        <f t="shared" ca="1" si="84"/>
        <v>0</v>
      </c>
      <c r="M404" s="15">
        <f t="shared" ca="1" si="85"/>
        <v>487.8</v>
      </c>
      <c r="N404" s="16">
        <f ca="1">SUM($M$9:M404)/A404</f>
        <v>338.81363636363625</v>
      </c>
    </row>
    <row r="405" spans="1:14" x14ac:dyDescent="0.25">
      <c r="A405" s="8">
        <v>397</v>
      </c>
      <c r="B405" s="9">
        <f t="shared" ca="1" si="79"/>
        <v>2739</v>
      </c>
      <c r="C405" s="10">
        <f t="shared" ca="1" si="80"/>
        <v>1800</v>
      </c>
      <c r="D405" s="11">
        <f t="shared" ca="1" si="86"/>
        <v>0.66199226885758355</v>
      </c>
      <c r="E405" s="9">
        <f t="shared" ca="1" si="87"/>
        <v>420</v>
      </c>
      <c r="F405" s="9">
        <f t="shared" ca="1" si="89"/>
        <v>2319</v>
      </c>
      <c r="G405" s="12" t="str">
        <f t="shared" ca="1" si="90"/>
        <v>No</v>
      </c>
      <c r="H405" s="12">
        <f t="shared" ca="1" si="88"/>
        <v>0</v>
      </c>
      <c r="I405" s="10">
        <f t="shared" ca="1" si="81"/>
        <v>0</v>
      </c>
      <c r="J405" s="13">
        <f t="shared" ca="1" si="82"/>
        <v>0</v>
      </c>
      <c r="K405" s="14">
        <f t="shared" ca="1" si="83"/>
        <v>463.8</v>
      </c>
      <c r="L405" s="14">
        <f t="shared" ca="1" si="84"/>
        <v>0</v>
      </c>
      <c r="M405" s="15">
        <f t="shared" ca="1" si="85"/>
        <v>463.8</v>
      </c>
      <c r="N405" s="16">
        <f ca="1">SUM($M$9:M405)/A405</f>
        <v>339.12846347607041</v>
      </c>
    </row>
    <row r="406" spans="1:14" x14ac:dyDescent="0.25">
      <c r="A406" s="8">
        <v>398</v>
      </c>
      <c r="B406" s="9">
        <f t="shared" ca="1" si="79"/>
        <v>2319</v>
      </c>
      <c r="C406" s="10">
        <f t="shared" ca="1" si="80"/>
        <v>0</v>
      </c>
      <c r="D406" s="11">
        <f t="shared" ca="1" si="86"/>
        <v>0.12639774779517254</v>
      </c>
      <c r="E406" s="9">
        <f t="shared" ca="1" si="87"/>
        <v>342</v>
      </c>
      <c r="F406" s="9">
        <f t="shared" ca="1" si="89"/>
        <v>1977</v>
      </c>
      <c r="G406" s="12" t="str">
        <f t="shared" ca="1" si="90"/>
        <v>No</v>
      </c>
      <c r="H406" s="12">
        <f t="shared" ca="1" si="88"/>
        <v>0</v>
      </c>
      <c r="I406" s="10">
        <f t="shared" ca="1" si="81"/>
        <v>0</v>
      </c>
      <c r="J406" s="13">
        <f t="shared" ca="1" si="82"/>
        <v>0</v>
      </c>
      <c r="K406" s="14">
        <f t="shared" ca="1" si="83"/>
        <v>395.40000000000003</v>
      </c>
      <c r="L406" s="14">
        <f t="shared" ca="1" si="84"/>
        <v>0</v>
      </c>
      <c r="M406" s="15">
        <f t="shared" ca="1" si="85"/>
        <v>395.40000000000003</v>
      </c>
      <c r="N406" s="16">
        <f ca="1">SUM($M$9:M406)/A406</f>
        <v>339.26984924623099</v>
      </c>
    </row>
    <row r="407" spans="1:14" x14ac:dyDescent="0.25">
      <c r="A407" s="8">
        <v>399</v>
      </c>
      <c r="B407" s="9">
        <f t="shared" ca="1" si="79"/>
        <v>1977</v>
      </c>
      <c r="C407" s="10">
        <f t="shared" ca="1" si="80"/>
        <v>0</v>
      </c>
      <c r="D407" s="11">
        <f t="shared" ca="1" si="86"/>
        <v>0.99181797184678788</v>
      </c>
      <c r="E407" s="9">
        <f t="shared" ca="1" si="87"/>
        <v>520</v>
      </c>
      <c r="F407" s="9">
        <f t="shared" ca="1" si="89"/>
        <v>1457</v>
      </c>
      <c r="G407" s="12" t="str">
        <f t="shared" ca="1" si="90"/>
        <v>No</v>
      </c>
      <c r="H407" s="12">
        <f t="shared" ca="1" si="88"/>
        <v>0</v>
      </c>
      <c r="I407" s="10">
        <f t="shared" ca="1" si="81"/>
        <v>0</v>
      </c>
      <c r="J407" s="13">
        <f t="shared" ca="1" si="82"/>
        <v>0</v>
      </c>
      <c r="K407" s="14">
        <f t="shared" ca="1" si="83"/>
        <v>291.40000000000003</v>
      </c>
      <c r="L407" s="14">
        <f t="shared" ca="1" si="84"/>
        <v>0</v>
      </c>
      <c r="M407" s="15">
        <f t="shared" ca="1" si="85"/>
        <v>291.40000000000003</v>
      </c>
      <c r="N407" s="16">
        <f ca="1">SUM($M$9:M407)/A407</f>
        <v>339.1498746867166</v>
      </c>
    </row>
    <row r="408" spans="1:14" x14ac:dyDescent="0.25">
      <c r="A408" s="8">
        <v>400</v>
      </c>
      <c r="B408" s="9">
        <f t="shared" ca="1" si="79"/>
        <v>1457</v>
      </c>
      <c r="C408" s="10">
        <f t="shared" ca="1" si="80"/>
        <v>0</v>
      </c>
      <c r="D408" s="11">
        <f t="shared" ca="1" si="86"/>
        <v>0.69356943335765686</v>
      </c>
      <c r="E408" s="9">
        <f t="shared" ca="1" si="87"/>
        <v>425</v>
      </c>
      <c r="F408" s="9">
        <f t="shared" ca="1" si="89"/>
        <v>1032</v>
      </c>
      <c r="G408" s="12" t="str">
        <f t="shared" ca="1" si="90"/>
        <v>No</v>
      </c>
      <c r="H408" s="12">
        <f t="shared" ca="1" si="88"/>
        <v>0</v>
      </c>
      <c r="I408" s="10">
        <f t="shared" ca="1" si="81"/>
        <v>0</v>
      </c>
      <c r="J408" s="13">
        <f t="shared" ca="1" si="82"/>
        <v>0</v>
      </c>
      <c r="K408" s="14">
        <f t="shared" ca="1" si="83"/>
        <v>206.4</v>
      </c>
      <c r="L408" s="14">
        <f t="shared" ca="1" si="84"/>
        <v>0</v>
      </c>
      <c r="M408" s="15">
        <f t="shared" ca="1" si="85"/>
        <v>206.4</v>
      </c>
      <c r="N408" s="16">
        <f ca="1">SUM($M$9:M408)/A408</f>
        <v>338.81799999999981</v>
      </c>
    </row>
    <row r="409" spans="1:14" x14ac:dyDescent="0.25">
      <c r="A409" s="8">
        <v>401</v>
      </c>
      <c r="B409" s="9">
        <f t="shared" ref="B409:B472" ca="1" si="91">IF(I408=1,F408+Quantity,F408)</f>
        <v>1032</v>
      </c>
      <c r="C409" s="10">
        <f t="shared" ref="C409:C472" ca="1" si="92">IF(I408=1,Quantity,0)</f>
        <v>0</v>
      </c>
      <c r="D409" s="11">
        <f t="shared" ca="1" si="86"/>
        <v>0.26722931127325988</v>
      </c>
      <c r="E409" s="9">
        <f t="shared" ca="1" si="87"/>
        <v>368</v>
      </c>
      <c r="F409" s="9">
        <f t="shared" ca="1" si="89"/>
        <v>664</v>
      </c>
      <c r="G409" s="12" t="str">
        <f t="shared" ref="G409:G472" ca="1" si="93">IF(B409&lt;Point,IF(I408=0,"Yes","No"),"No")</f>
        <v>Yes</v>
      </c>
      <c r="H409" s="12">
        <f t="shared" ca="1" si="88"/>
        <v>0.43358744930723647</v>
      </c>
      <c r="I409" s="10">
        <f t="shared" ref="I409:I472" ca="1" si="94">IF(I408&gt;0,I408-1,(IF(G409="Yes",(VLOOKUP(H409,LTD,3)),0)))</f>
        <v>1</v>
      </c>
      <c r="J409" s="13">
        <f t="shared" ref="J409:J472" ca="1" si="95">IF(G409="Yes",Order_Cost,0)</f>
        <v>300</v>
      </c>
      <c r="K409" s="14">
        <f t="shared" ref="K409:K472" ca="1" si="96">F409*Holding_Cost</f>
        <v>132.80000000000001</v>
      </c>
      <c r="L409" s="14">
        <f t="shared" ref="L409:L472" ca="1" si="97">IF(B409+C409&lt;E409,Shortage_Cost*(E409-B409-C409),0)</f>
        <v>0</v>
      </c>
      <c r="M409" s="15">
        <f t="shared" ref="M409:M472" ca="1" si="98">SUM(J409:L409)</f>
        <v>432.8</v>
      </c>
      <c r="N409" s="16">
        <f ca="1">SUM($M$9:M409)/A409</f>
        <v>339.05236907730654</v>
      </c>
    </row>
    <row r="410" spans="1:14" x14ac:dyDescent="0.25">
      <c r="A410" s="8">
        <v>402</v>
      </c>
      <c r="B410" s="9">
        <f t="shared" ca="1" si="91"/>
        <v>2464</v>
      </c>
      <c r="C410" s="10">
        <f t="shared" ca="1" si="92"/>
        <v>1800</v>
      </c>
      <c r="D410" s="11">
        <f t="shared" ca="1" si="86"/>
        <v>0.98266127352148358</v>
      </c>
      <c r="E410" s="9">
        <f t="shared" ca="1" si="87"/>
        <v>505</v>
      </c>
      <c r="F410" s="9">
        <f t="shared" ca="1" si="89"/>
        <v>1959</v>
      </c>
      <c r="G410" s="12" t="str">
        <f t="shared" ca="1" si="93"/>
        <v>No</v>
      </c>
      <c r="H410" s="12">
        <f t="shared" ca="1" si="88"/>
        <v>0</v>
      </c>
      <c r="I410" s="10">
        <f t="shared" ca="1" si="94"/>
        <v>0</v>
      </c>
      <c r="J410" s="13">
        <f t="shared" ca="1" si="95"/>
        <v>0</v>
      </c>
      <c r="K410" s="14">
        <f t="shared" ca="1" si="96"/>
        <v>391.8</v>
      </c>
      <c r="L410" s="14">
        <f t="shared" ca="1" si="97"/>
        <v>0</v>
      </c>
      <c r="M410" s="15">
        <f t="shared" ca="1" si="98"/>
        <v>391.8</v>
      </c>
      <c r="N410" s="16">
        <f ca="1">SUM($M$9:M410)/A410</f>
        <v>339.18358208955198</v>
      </c>
    </row>
    <row r="411" spans="1:14" x14ac:dyDescent="0.25">
      <c r="A411" s="8">
        <v>403</v>
      </c>
      <c r="B411" s="9">
        <f t="shared" ca="1" si="91"/>
        <v>1959</v>
      </c>
      <c r="C411" s="10">
        <f t="shared" ca="1" si="92"/>
        <v>0</v>
      </c>
      <c r="D411" s="11">
        <f t="shared" ca="1" si="86"/>
        <v>0.84527296702958687</v>
      </c>
      <c r="E411" s="9">
        <f t="shared" ca="1" si="87"/>
        <v>450</v>
      </c>
      <c r="F411" s="9">
        <f t="shared" ca="1" si="89"/>
        <v>1509</v>
      </c>
      <c r="G411" s="12" t="str">
        <f t="shared" ca="1" si="93"/>
        <v>No</v>
      </c>
      <c r="H411" s="12">
        <f t="shared" ca="1" si="88"/>
        <v>0</v>
      </c>
      <c r="I411" s="10">
        <f t="shared" ca="1" si="94"/>
        <v>0</v>
      </c>
      <c r="J411" s="13">
        <f t="shared" ca="1" si="95"/>
        <v>0</v>
      </c>
      <c r="K411" s="14">
        <f t="shared" ca="1" si="96"/>
        <v>301.8</v>
      </c>
      <c r="L411" s="14">
        <f t="shared" ca="1" si="97"/>
        <v>0</v>
      </c>
      <c r="M411" s="15">
        <f t="shared" ca="1" si="98"/>
        <v>301.8</v>
      </c>
      <c r="N411" s="16">
        <f ca="1">SUM($M$9:M411)/A411</f>
        <v>339.09081885856051</v>
      </c>
    </row>
    <row r="412" spans="1:14" x14ac:dyDescent="0.25">
      <c r="A412" s="8">
        <v>404</v>
      </c>
      <c r="B412" s="9">
        <f t="shared" ca="1" si="91"/>
        <v>1509</v>
      </c>
      <c r="C412" s="10">
        <f t="shared" ca="1" si="92"/>
        <v>0</v>
      </c>
      <c r="D412" s="11">
        <f t="shared" ca="1" si="86"/>
        <v>0.86447616190625853</v>
      </c>
      <c r="E412" s="9">
        <f t="shared" ca="1" si="87"/>
        <v>455</v>
      </c>
      <c r="F412" s="9">
        <f t="shared" ca="1" si="89"/>
        <v>1054</v>
      </c>
      <c r="G412" s="12" t="str">
        <f t="shared" ca="1" si="93"/>
        <v>No</v>
      </c>
      <c r="H412" s="12">
        <f t="shared" ca="1" si="88"/>
        <v>0</v>
      </c>
      <c r="I412" s="10">
        <f t="shared" ca="1" si="94"/>
        <v>0</v>
      </c>
      <c r="J412" s="13">
        <f t="shared" ca="1" si="95"/>
        <v>0</v>
      </c>
      <c r="K412" s="14">
        <f t="shared" ca="1" si="96"/>
        <v>210.8</v>
      </c>
      <c r="L412" s="14">
        <f t="shared" ca="1" si="97"/>
        <v>0</v>
      </c>
      <c r="M412" s="15">
        <f t="shared" ca="1" si="98"/>
        <v>210.8</v>
      </c>
      <c r="N412" s="16">
        <f ca="1">SUM($M$9:M412)/A412</f>
        <v>338.77326732673237</v>
      </c>
    </row>
    <row r="413" spans="1:14" x14ac:dyDescent="0.25">
      <c r="A413" s="8">
        <v>405</v>
      </c>
      <c r="B413" s="9">
        <f t="shared" ca="1" si="91"/>
        <v>1054</v>
      </c>
      <c r="C413" s="10">
        <f t="shared" ca="1" si="92"/>
        <v>0</v>
      </c>
      <c r="D413" s="11">
        <f t="shared" ca="1" si="86"/>
        <v>0.11416792244211238</v>
      </c>
      <c r="E413" s="9">
        <f t="shared" ca="1" si="87"/>
        <v>339</v>
      </c>
      <c r="F413" s="9">
        <f t="shared" ca="1" si="89"/>
        <v>715</v>
      </c>
      <c r="G413" s="12" t="str">
        <f t="shared" ca="1" si="93"/>
        <v>Yes</v>
      </c>
      <c r="H413" s="12">
        <f t="shared" ca="1" si="88"/>
        <v>0.64416725911525308</v>
      </c>
      <c r="I413" s="10">
        <f t="shared" ca="1" si="94"/>
        <v>1</v>
      </c>
      <c r="J413" s="13">
        <f t="shared" ca="1" si="95"/>
        <v>300</v>
      </c>
      <c r="K413" s="14">
        <f t="shared" ca="1" si="96"/>
        <v>143</v>
      </c>
      <c r="L413" s="14">
        <f t="shared" ca="1" si="97"/>
        <v>0</v>
      </c>
      <c r="M413" s="15">
        <f t="shared" ca="1" si="98"/>
        <v>443</v>
      </c>
      <c r="N413" s="16">
        <f ca="1">SUM($M$9:M413)/A413</f>
        <v>339.03061728395033</v>
      </c>
    </row>
    <row r="414" spans="1:14" x14ac:dyDescent="0.25">
      <c r="A414" s="8">
        <v>406</v>
      </c>
      <c r="B414" s="9">
        <f t="shared" ca="1" si="91"/>
        <v>2515</v>
      </c>
      <c r="C414" s="10">
        <f t="shared" ca="1" si="92"/>
        <v>1800</v>
      </c>
      <c r="D414" s="11">
        <f t="shared" ca="1" si="86"/>
        <v>0.58761188721756186</v>
      </c>
      <c r="E414" s="9">
        <f t="shared" ca="1" si="87"/>
        <v>411</v>
      </c>
      <c r="F414" s="9">
        <f t="shared" ca="1" si="89"/>
        <v>2104</v>
      </c>
      <c r="G414" s="12" t="str">
        <f t="shared" ca="1" si="93"/>
        <v>No</v>
      </c>
      <c r="H414" s="12">
        <f t="shared" ca="1" si="88"/>
        <v>0</v>
      </c>
      <c r="I414" s="10">
        <f t="shared" ca="1" si="94"/>
        <v>0</v>
      </c>
      <c r="J414" s="13">
        <f t="shared" ca="1" si="95"/>
        <v>0</v>
      </c>
      <c r="K414" s="14">
        <f t="shared" ca="1" si="96"/>
        <v>420.8</v>
      </c>
      <c r="L414" s="14">
        <f t="shared" ca="1" si="97"/>
        <v>0</v>
      </c>
      <c r="M414" s="15">
        <f t="shared" ca="1" si="98"/>
        <v>420.8</v>
      </c>
      <c r="N414" s="16">
        <f ca="1">SUM($M$9:M414)/A414</f>
        <v>339.23201970443318</v>
      </c>
    </row>
    <row r="415" spans="1:14" x14ac:dyDescent="0.25">
      <c r="A415" s="8">
        <v>407</v>
      </c>
      <c r="B415" s="9">
        <f t="shared" ca="1" si="91"/>
        <v>2104</v>
      </c>
      <c r="C415" s="10">
        <f t="shared" ca="1" si="92"/>
        <v>0</v>
      </c>
      <c r="D415" s="11">
        <f t="shared" ca="1" si="86"/>
        <v>0.96654688650119658</v>
      </c>
      <c r="E415" s="9">
        <f t="shared" ca="1" si="87"/>
        <v>491</v>
      </c>
      <c r="F415" s="9">
        <f t="shared" ca="1" si="89"/>
        <v>1613</v>
      </c>
      <c r="G415" s="12" t="str">
        <f t="shared" ca="1" si="93"/>
        <v>No</v>
      </c>
      <c r="H415" s="12">
        <f t="shared" ca="1" si="88"/>
        <v>0</v>
      </c>
      <c r="I415" s="10">
        <f t="shared" ca="1" si="94"/>
        <v>0</v>
      </c>
      <c r="J415" s="13">
        <f t="shared" ca="1" si="95"/>
        <v>0</v>
      </c>
      <c r="K415" s="14">
        <f t="shared" ca="1" si="96"/>
        <v>322.60000000000002</v>
      </c>
      <c r="L415" s="14">
        <f t="shared" ca="1" si="97"/>
        <v>0</v>
      </c>
      <c r="M415" s="15">
        <f t="shared" ca="1" si="98"/>
        <v>322.60000000000002</v>
      </c>
      <c r="N415" s="16">
        <f ca="1">SUM($M$9:M415)/A415</f>
        <v>339.19115479115447</v>
      </c>
    </row>
    <row r="416" spans="1:14" x14ac:dyDescent="0.25">
      <c r="A416" s="8">
        <v>408</v>
      </c>
      <c r="B416" s="9">
        <f t="shared" ca="1" si="91"/>
        <v>1613</v>
      </c>
      <c r="C416" s="10">
        <f t="shared" ca="1" si="92"/>
        <v>0</v>
      </c>
      <c r="D416" s="11">
        <f t="shared" ca="1" si="86"/>
        <v>0.46596794820822762</v>
      </c>
      <c r="E416" s="9">
        <f t="shared" ca="1" si="87"/>
        <v>395</v>
      </c>
      <c r="F416" s="9">
        <f t="shared" ca="1" si="89"/>
        <v>1218</v>
      </c>
      <c r="G416" s="12" t="str">
        <f t="shared" ca="1" si="93"/>
        <v>No</v>
      </c>
      <c r="H416" s="12">
        <f t="shared" ca="1" si="88"/>
        <v>0</v>
      </c>
      <c r="I416" s="10">
        <f t="shared" ca="1" si="94"/>
        <v>0</v>
      </c>
      <c r="J416" s="13">
        <f t="shared" ca="1" si="95"/>
        <v>0</v>
      </c>
      <c r="K416" s="14">
        <f t="shared" ca="1" si="96"/>
        <v>243.60000000000002</v>
      </c>
      <c r="L416" s="14">
        <f t="shared" ca="1" si="97"/>
        <v>0</v>
      </c>
      <c r="M416" s="15">
        <f t="shared" ca="1" si="98"/>
        <v>243.60000000000002</v>
      </c>
      <c r="N416" s="16">
        <f ca="1">SUM($M$9:M416)/A416</f>
        <v>338.95686274509774</v>
      </c>
    </row>
    <row r="417" spans="1:14" x14ac:dyDescent="0.25">
      <c r="A417" s="8">
        <v>409</v>
      </c>
      <c r="B417" s="9">
        <f t="shared" ca="1" si="91"/>
        <v>1218</v>
      </c>
      <c r="C417" s="10">
        <f t="shared" ca="1" si="92"/>
        <v>0</v>
      </c>
      <c r="D417" s="11">
        <f t="shared" ca="1" si="86"/>
        <v>1.0127129767778964E-2</v>
      </c>
      <c r="E417" s="9">
        <f t="shared" ca="1" si="87"/>
        <v>283</v>
      </c>
      <c r="F417" s="9">
        <f t="shared" ca="1" si="89"/>
        <v>935</v>
      </c>
      <c r="G417" s="12" t="str">
        <f t="shared" ca="1" si="93"/>
        <v>Yes</v>
      </c>
      <c r="H417" s="12">
        <f t="shared" ca="1" si="88"/>
        <v>0.72171493495124572</v>
      </c>
      <c r="I417" s="10">
        <f t="shared" ca="1" si="94"/>
        <v>2</v>
      </c>
      <c r="J417" s="13">
        <f t="shared" ca="1" si="95"/>
        <v>300</v>
      </c>
      <c r="K417" s="14">
        <f t="shared" ca="1" si="96"/>
        <v>187</v>
      </c>
      <c r="L417" s="14">
        <f t="shared" ca="1" si="97"/>
        <v>0</v>
      </c>
      <c r="M417" s="15">
        <f t="shared" ca="1" si="98"/>
        <v>487</v>
      </c>
      <c r="N417" s="16">
        <f ca="1">SUM($M$9:M417)/A417</f>
        <v>339.3188264058677</v>
      </c>
    </row>
    <row r="418" spans="1:14" x14ac:dyDescent="0.25">
      <c r="A418" s="8">
        <v>410</v>
      </c>
      <c r="B418" s="9">
        <f t="shared" ca="1" si="91"/>
        <v>935</v>
      </c>
      <c r="C418" s="10">
        <f t="shared" ca="1" si="92"/>
        <v>0</v>
      </c>
      <c r="D418" s="11">
        <f t="shared" ca="1" si="86"/>
        <v>0.97339980097207401</v>
      </c>
      <c r="E418" s="9">
        <f t="shared" ca="1" si="87"/>
        <v>496</v>
      </c>
      <c r="F418" s="9">
        <f t="shared" ca="1" si="89"/>
        <v>439</v>
      </c>
      <c r="G418" s="12" t="str">
        <f t="shared" ca="1" si="93"/>
        <v>No</v>
      </c>
      <c r="H418" s="12">
        <f t="shared" ca="1" si="88"/>
        <v>0</v>
      </c>
      <c r="I418" s="10">
        <f t="shared" ca="1" si="94"/>
        <v>1</v>
      </c>
      <c r="J418" s="13">
        <f t="shared" ca="1" si="95"/>
        <v>0</v>
      </c>
      <c r="K418" s="14">
        <f t="shared" ca="1" si="96"/>
        <v>87.800000000000011</v>
      </c>
      <c r="L418" s="14">
        <f t="shared" ca="1" si="97"/>
        <v>0</v>
      </c>
      <c r="M418" s="15">
        <f t="shared" ca="1" si="98"/>
        <v>87.800000000000011</v>
      </c>
      <c r="N418" s="16">
        <f ca="1">SUM($M$9:M418)/A418</f>
        <v>338.70536585365824</v>
      </c>
    </row>
    <row r="419" spans="1:14" x14ac:dyDescent="0.25">
      <c r="A419" s="8">
        <v>411</v>
      </c>
      <c r="B419" s="9">
        <f t="shared" ca="1" si="91"/>
        <v>2239</v>
      </c>
      <c r="C419" s="10">
        <f t="shared" ca="1" si="92"/>
        <v>1800</v>
      </c>
      <c r="D419" s="11">
        <f t="shared" ca="1" si="86"/>
        <v>0.56765521126663299</v>
      </c>
      <c r="E419" s="9">
        <f t="shared" ca="1" si="87"/>
        <v>408</v>
      </c>
      <c r="F419" s="9">
        <f t="shared" ca="1" si="89"/>
        <v>1831</v>
      </c>
      <c r="G419" s="12" t="str">
        <f t="shared" ca="1" si="93"/>
        <v>No</v>
      </c>
      <c r="H419" s="12">
        <f t="shared" ca="1" si="88"/>
        <v>0</v>
      </c>
      <c r="I419" s="10">
        <f t="shared" ca="1" si="94"/>
        <v>0</v>
      </c>
      <c r="J419" s="13">
        <f t="shared" ca="1" si="95"/>
        <v>0</v>
      </c>
      <c r="K419" s="14">
        <f t="shared" ca="1" si="96"/>
        <v>366.20000000000005</v>
      </c>
      <c r="L419" s="14">
        <f t="shared" ca="1" si="97"/>
        <v>0</v>
      </c>
      <c r="M419" s="15">
        <f t="shared" ca="1" si="98"/>
        <v>366.20000000000005</v>
      </c>
      <c r="N419" s="16">
        <f ca="1">SUM($M$9:M419)/A419</f>
        <v>338.77226277372233</v>
      </c>
    </row>
    <row r="420" spans="1:14" x14ac:dyDescent="0.25">
      <c r="A420" s="8">
        <v>412</v>
      </c>
      <c r="B420" s="9">
        <f t="shared" ca="1" si="91"/>
        <v>1831</v>
      </c>
      <c r="C420" s="10">
        <f t="shared" ca="1" si="92"/>
        <v>0</v>
      </c>
      <c r="D420" s="11">
        <f t="shared" ca="1" si="86"/>
        <v>0.62444407388398138</v>
      </c>
      <c r="E420" s="9">
        <f t="shared" ca="1" si="87"/>
        <v>415</v>
      </c>
      <c r="F420" s="9">
        <f t="shared" ca="1" si="89"/>
        <v>1416</v>
      </c>
      <c r="G420" s="12" t="str">
        <f t="shared" ca="1" si="93"/>
        <v>No</v>
      </c>
      <c r="H420" s="12">
        <f t="shared" ca="1" si="88"/>
        <v>0</v>
      </c>
      <c r="I420" s="10">
        <f t="shared" ca="1" si="94"/>
        <v>0</v>
      </c>
      <c r="J420" s="13">
        <f t="shared" ca="1" si="95"/>
        <v>0</v>
      </c>
      <c r="K420" s="14">
        <f t="shared" ca="1" si="96"/>
        <v>283.2</v>
      </c>
      <c r="L420" s="14">
        <f t="shared" ca="1" si="97"/>
        <v>0</v>
      </c>
      <c r="M420" s="15">
        <f t="shared" ca="1" si="98"/>
        <v>283.2</v>
      </c>
      <c r="N420" s="16">
        <f ca="1">SUM($M$9:M420)/A420</f>
        <v>338.63737864077643</v>
      </c>
    </row>
    <row r="421" spans="1:14" x14ac:dyDescent="0.25">
      <c r="A421" s="8">
        <v>413</v>
      </c>
      <c r="B421" s="9">
        <f t="shared" ca="1" si="91"/>
        <v>1416</v>
      </c>
      <c r="C421" s="10">
        <f t="shared" ca="1" si="92"/>
        <v>0</v>
      </c>
      <c r="D421" s="11">
        <f t="shared" ca="1" si="86"/>
        <v>0.14728249271493377</v>
      </c>
      <c r="E421" s="9">
        <f t="shared" ca="1" si="87"/>
        <v>347</v>
      </c>
      <c r="F421" s="9">
        <f t="shared" ca="1" si="89"/>
        <v>1069</v>
      </c>
      <c r="G421" s="12" t="str">
        <f t="shared" ca="1" si="93"/>
        <v>No</v>
      </c>
      <c r="H421" s="12">
        <f t="shared" ca="1" si="88"/>
        <v>0</v>
      </c>
      <c r="I421" s="10">
        <f t="shared" ca="1" si="94"/>
        <v>0</v>
      </c>
      <c r="J421" s="13">
        <f t="shared" ca="1" si="95"/>
        <v>0</v>
      </c>
      <c r="K421" s="14">
        <f t="shared" ca="1" si="96"/>
        <v>213.8</v>
      </c>
      <c r="L421" s="14">
        <f t="shared" ca="1" si="97"/>
        <v>0</v>
      </c>
      <c r="M421" s="15">
        <f t="shared" ca="1" si="98"/>
        <v>213.8</v>
      </c>
      <c r="N421" s="16">
        <f ca="1">SUM($M$9:M421)/A421</f>
        <v>338.33510895883745</v>
      </c>
    </row>
    <row r="422" spans="1:14" x14ac:dyDescent="0.25">
      <c r="A422" s="8">
        <v>414</v>
      </c>
      <c r="B422" s="9">
        <f t="shared" ca="1" si="91"/>
        <v>1069</v>
      </c>
      <c r="C422" s="10">
        <f t="shared" ca="1" si="92"/>
        <v>0</v>
      </c>
      <c r="D422" s="11">
        <f t="shared" ca="1" si="86"/>
        <v>0.51055639727359003</v>
      </c>
      <c r="E422" s="9">
        <f t="shared" ca="1" si="87"/>
        <v>401</v>
      </c>
      <c r="F422" s="9">
        <f t="shared" ca="1" si="89"/>
        <v>668</v>
      </c>
      <c r="G422" s="12" t="str">
        <f t="shared" ca="1" si="93"/>
        <v>Yes</v>
      </c>
      <c r="H422" s="12">
        <f t="shared" ca="1" si="88"/>
        <v>0.98511763812543696</v>
      </c>
      <c r="I422" s="10">
        <f t="shared" ca="1" si="94"/>
        <v>3</v>
      </c>
      <c r="J422" s="13">
        <f t="shared" ca="1" si="95"/>
        <v>300</v>
      </c>
      <c r="K422" s="14">
        <f t="shared" ca="1" si="96"/>
        <v>133.6</v>
      </c>
      <c r="L422" s="14">
        <f t="shared" ca="1" si="97"/>
        <v>0</v>
      </c>
      <c r="M422" s="15">
        <f t="shared" ca="1" si="98"/>
        <v>433.6</v>
      </c>
      <c r="N422" s="16">
        <f ca="1">SUM($M$9:M422)/A422</f>
        <v>338.56521739130409</v>
      </c>
    </row>
    <row r="423" spans="1:14" x14ac:dyDescent="0.25">
      <c r="A423" s="8">
        <v>415</v>
      </c>
      <c r="B423" s="9">
        <f t="shared" ca="1" si="91"/>
        <v>668</v>
      </c>
      <c r="C423" s="10">
        <f t="shared" ca="1" si="92"/>
        <v>0</v>
      </c>
      <c r="D423" s="11">
        <f t="shared" ca="1" si="86"/>
        <v>0.26536004833059645</v>
      </c>
      <c r="E423" s="9">
        <f t="shared" ca="1" si="87"/>
        <v>368</v>
      </c>
      <c r="F423" s="9">
        <f t="shared" ca="1" si="89"/>
        <v>300</v>
      </c>
      <c r="G423" s="12" t="str">
        <f t="shared" ca="1" si="93"/>
        <v>No</v>
      </c>
      <c r="H423" s="12">
        <f t="shared" ca="1" si="88"/>
        <v>0</v>
      </c>
      <c r="I423" s="10">
        <f t="shared" ca="1" si="94"/>
        <v>2</v>
      </c>
      <c r="J423" s="13">
        <f t="shared" ca="1" si="95"/>
        <v>0</v>
      </c>
      <c r="K423" s="14">
        <f t="shared" ca="1" si="96"/>
        <v>60</v>
      </c>
      <c r="L423" s="14">
        <f t="shared" ca="1" si="97"/>
        <v>0</v>
      </c>
      <c r="M423" s="15">
        <f t="shared" ca="1" si="98"/>
        <v>60</v>
      </c>
      <c r="N423" s="16">
        <f ca="1">SUM($M$9:M423)/A423</f>
        <v>337.8939759036142</v>
      </c>
    </row>
    <row r="424" spans="1:14" x14ac:dyDescent="0.25">
      <c r="A424" s="8">
        <v>416</v>
      </c>
      <c r="B424" s="9">
        <f t="shared" ca="1" si="91"/>
        <v>300</v>
      </c>
      <c r="C424" s="10">
        <f t="shared" ca="1" si="92"/>
        <v>0</v>
      </c>
      <c r="D424" s="11">
        <f t="shared" ca="1" si="86"/>
        <v>0.73605817136541318</v>
      </c>
      <c r="E424" s="9">
        <f t="shared" ca="1" si="87"/>
        <v>431</v>
      </c>
      <c r="F424" s="9">
        <f t="shared" ca="1" si="89"/>
        <v>0</v>
      </c>
      <c r="G424" s="12" t="str">
        <f t="shared" ca="1" si="93"/>
        <v>No</v>
      </c>
      <c r="H424" s="12">
        <f t="shared" ca="1" si="88"/>
        <v>0</v>
      </c>
      <c r="I424" s="10">
        <f t="shared" ca="1" si="94"/>
        <v>1</v>
      </c>
      <c r="J424" s="13">
        <f t="shared" ca="1" si="95"/>
        <v>0</v>
      </c>
      <c r="K424" s="14">
        <f t="shared" ca="1" si="96"/>
        <v>0</v>
      </c>
      <c r="L424" s="14">
        <f t="shared" ca="1" si="97"/>
        <v>262</v>
      </c>
      <c r="M424" s="15">
        <f t="shared" ca="1" si="98"/>
        <v>262</v>
      </c>
      <c r="N424" s="16">
        <f ca="1">SUM($M$9:M424)/A424</f>
        <v>337.71153846153817</v>
      </c>
    </row>
    <row r="425" spans="1:14" x14ac:dyDescent="0.25">
      <c r="A425" s="8">
        <v>417</v>
      </c>
      <c r="B425" s="9">
        <f t="shared" ca="1" si="91"/>
        <v>1800</v>
      </c>
      <c r="C425" s="10">
        <f t="shared" ca="1" si="92"/>
        <v>1800</v>
      </c>
      <c r="D425" s="11">
        <f t="shared" ca="1" si="86"/>
        <v>0.72917596547239727</v>
      </c>
      <c r="E425" s="9">
        <f t="shared" ca="1" si="87"/>
        <v>430</v>
      </c>
      <c r="F425" s="9">
        <f t="shared" ca="1" si="89"/>
        <v>1370</v>
      </c>
      <c r="G425" s="12" t="str">
        <f t="shared" ca="1" si="93"/>
        <v>No</v>
      </c>
      <c r="H425" s="12">
        <f t="shared" ca="1" si="88"/>
        <v>0</v>
      </c>
      <c r="I425" s="10">
        <f t="shared" ca="1" si="94"/>
        <v>0</v>
      </c>
      <c r="J425" s="13">
        <f t="shared" ca="1" si="95"/>
        <v>0</v>
      </c>
      <c r="K425" s="14">
        <f t="shared" ca="1" si="96"/>
        <v>274</v>
      </c>
      <c r="L425" s="14">
        <f t="shared" ca="1" si="97"/>
        <v>0</v>
      </c>
      <c r="M425" s="15">
        <f t="shared" ca="1" si="98"/>
        <v>274</v>
      </c>
      <c r="N425" s="16">
        <f ca="1">SUM($M$9:M425)/A425</f>
        <v>337.55875299760163</v>
      </c>
    </row>
    <row r="426" spans="1:14" x14ac:dyDescent="0.25">
      <c r="A426" s="8">
        <v>418</v>
      </c>
      <c r="B426" s="9">
        <f t="shared" ca="1" si="91"/>
        <v>1370</v>
      </c>
      <c r="C426" s="10">
        <f t="shared" ca="1" si="92"/>
        <v>0</v>
      </c>
      <c r="D426" s="11">
        <f t="shared" ca="1" si="86"/>
        <v>0.49316421640880825</v>
      </c>
      <c r="E426" s="9">
        <f t="shared" ca="1" si="87"/>
        <v>399</v>
      </c>
      <c r="F426" s="9">
        <f t="shared" ca="1" si="89"/>
        <v>971</v>
      </c>
      <c r="G426" s="12" t="str">
        <f t="shared" ca="1" si="93"/>
        <v>Yes</v>
      </c>
      <c r="H426" s="12">
        <f t="shared" ca="1" si="88"/>
        <v>1.13056773728899E-2</v>
      </c>
      <c r="I426" s="10">
        <f t="shared" ca="1" si="94"/>
        <v>1</v>
      </c>
      <c r="J426" s="13">
        <f t="shared" ca="1" si="95"/>
        <v>300</v>
      </c>
      <c r="K426" s="14">
        <f t="shared" ca="1" si="96"/>
        <v>194.20000000000002</v>
      </c>
      <c r="L426" s="14">
        <f t="shared" ca="1" si="97"/>
        <v>0</v>
      </c>
      <c r="M426" s="15">
        <f t="shared" ca="1" si="98"/>
        <v>494.20000000000005</v>
      </c>
      <c r="N426" s="16">
        <f ca="1">SUM($M$9:M426)/A426</f>
        <v>337.93349282296623</v>
      </c>
    </row>
    <row r="427" spans="1:14" x14ac:dyDescent="0.25">
      <c r="A427" s="8">
        <v>419</v>
      </c>
      <c r="B427" s="9">
        <f t="shared" ca="1" si="91"/>
        <v>2771</v>
      </c>
      <c r="C427" s="10">
        <f t="shared" ca="1" si="92"/>
        <v>1800</v>
      </c>
      <c r="D427" s="11">
        <f t="shared" ca="1" si="86"/>
        <v>9.6290660783490134E-2</v>
      </c>
      <c r="E427" s="9">
        <f t="shared" ca="1" si="87"/>
        <v>334</v>
      </c>
      <c r="F427" s="9">
        <f t="shared" ca="1" si="89"/>
        <v>2437</v>
      </c>
      <c r="G427" s="12" t="str">
        <f t="shared" ca="1" si="93"/>
        <v>No</v>
      </c>
      <c r="H427" s="12">
        <f t="shared" ca="1" si="88"/>
        <v>0</v>
      </c>
      <c r="I427" s="10">
        <f t="shared" ca="1" si="94"/>
        <v>0</v>
      </c>
      <c r="J427" s="13">
        <f t="shared" ca="1" si="95"/>
        <v>0</v>
      </c>
      <c r="K427" s="14">
        <f t="shared" ca="1" si="96"/>
        <v>487.40000000000003</v>
      </c>
      <c r="L427" s="14">
        <f t="shared" ca="1" si="97"/>
        <v>0</v>
      </c>
      <c r="M427" s="15">
        <f t="shared" ca="1" si="98"/>
        <v>487.40000000000003</v>
      </c>
      <c r="N427" s="16">
        <f ca="1">SUM($M$9:M427)/A427</f>
        <v>338.29021479713577</v>
      </c>
    </row>
    <row r="428" spans="1:14" x14ac:dyDescent="0.25">
      <c r="A428" s="8">
        <v>420</v>
      </c>
      <c r="B428" s="9">
        <f t="shared" ca="1" si="91"/>
        <v>2437</v>
      </c>
      <c r="C428" s="10">
        <f t="shared" ca="1" si="92"/>
        <v>0</v>
      </c>
      <c r="D428" s="11">
        <f t="shared" ca="1" si="86"/>
        <v>0.2630266414411575</v>
      </c>
      <c r="E428" s="9">
        <f t="shared" ca="1" si="87"/>
        <v>368</v>
      </c>
      <c r="F428" s="9">
        <f t="shared" ca="1" si="89"/>
        <v>2069</v>
      </c>
      <c r="G428" s="12" t="str">
        <f t="shared" ca="1" si="93"/>
        <v>No</v>
      </c>
      <c r="H428" s="12">
        <f t="shared" ca="1" si="88"/>
        <v>0</v>
      </c>
      <c r="I428" s="10">
        <f t="shared" ca="1" si="94"/>
        <v>0</v>
      </c>
      <c r="J428" s="13">
        <f t="shared" ca="1" si="95"/>
        <v>0</v>
      </c>
      <c r="K428" s="14">
        <f t="shared" ca="1" si="96"/>
        <v>413.8</v>
      </c>
      <c r="L428" s="14">
        <f t="shared" ca="1" si="97"/>
        <v>0</v>
      </c>
      <c r="M428" s="15">
        <f t="shared" ca="1" si="98"/>
        <v>413.8</v>
      </c>
      <c r="N428" s="16">
        <f ca="1">SUM($M$9:M428)/A428</f>
        <v>338.46999999999969</v>
      </c>
    </row>
    <row r="429" spans="1:14" x14ac:dyDescent="0.25">
      <c r="A429" s="8">
        <v>421</v>
      </c>
      <c r="B429" s="9">
        <f t="shared" ca="1" si="91"/>
        <v>2069</v>
      </c>
      <c r="C429" s="10">
        <f t="shared" ca="1" si="92"/>
        <v>0</v>
      </c>
      <c r="D429" s="11">
        <f t="shared" ca="1" si="86"/>
        <v>0.7554993966583563</v>
      </c>
      <c r="E429" s="9">
        <f t="shared" ca="1" si="87"/>
        <v>434</v>
      </c>
      <c r="F429" s="9">
        <f t="shared" ca="1" si="89"/>
        <v>1635</v>
      </c>
      <c r="G429" s="12" t="str">
        <f t="shared" ca="1" si="93"/>
        <v>No</v>
      </c>
      <c r="H429" s="12">
        <f t="shared" ca="1" si="88"/>
        <v>0</v>
      </c>
      <c r="I429" s="10">
        <f t="shared" ca="1" si="94"/>
        <v>0</v>
      </c>
      <c r="J429" s="13">
        <f t="shared" ca="1" si="95"/>
        <v>0</v>
      </c>
      <c r="K429" s="14">
        <f t="shared" ca="1" si="96"/>
        <v>327</v>
      </c>
      <c r="L429" s="14">
        <f t="shared" ca="1" si="97"/>
        <v>0</v>
      </c>
      <c r="M429" s="15">
        <f t="shared" ca="1" si="98"/>
        <v>327</v>
      </c>
      <c r="N429" s="16">
        <f ca="1">SUM($M$9:M429)/A429</f>
        <v>338.44275534441778</v>
      </c>
    </row>
    <row r="430" spans="1:14" x14ac:dyDescent="0.25">
      <c r="A430" s="8">
        <v>422</v>
      </c>
      <c r="B430" s="9">
        <f t="shared" ca="1" si="91"/>
        <v>1635</v>
      </c>
      <c r="C430" s="10">
        <f t="shared" ca="1" si="92"/>
        <v>0</v>
      </c>
      <c r="D430" s="11">
        <f t="shared" ca="1" si="86"/>
        <v>0.43121598367075586</v>
      </c>
      <c r="E430" s="9">
        <f t="shared" ca="1" si="87"/>
        <v>391</v>
      </c>
      <c r="F430" s="9">
        <f t="shared" ca="1" si="89"/>
        <v>1244</v>
      </c>
      <c r="G430" s="12" t="str">
        <f t="shared" ca="1" si="93"/>
        <v>No</v>
      </c>
      <c r="H430" s="12">
        <f t="shared" ca="1" si="88"/>
        <v>0</v>
      </c>
      <c r="I430" s="10">
        <f t="shared" ca="1" si="94"/>
        <v>0</v>
      </c>
      <c r="J430" s="13">
        <f t="shared" ca="1" si="95"/>
        <v>0</v>
      </c>
      <c r="K430" s="14">
        <f t="shared" ca="1" si="96"/>
        <v>248.8</v>
      </c>
      <c r="L430" s="14">
        <f t="shared" ca="1" si="97"/>
        <v>0</v>
      </c>
      <c r="M430" s="15">
        <f t="shared" ca="1" si="98"/>
        <v>248.8</v>
      </c>
      <c r="N430" s="16">
        <f ca="1">SUM($M$9:M430)/A430</f>
        <v>338.2303317535542</v>
      </c>
    </row>
    <row r="431" spans="1:14" x14ac:dyDescent="0.25">
      <c r="A431" s="8">
        <v>423</v>
      </c>
      <c r="B431" s="9">
        <f t="shared" ca="1" si="91"/>
        <v>1244</v>
      </c>
      <c r="C431" s="10">
        <f t="shared" ca="1" si="92"/>
        <v>0</v>
      </c>
      <c r="D431" s="11">
        <f t="shared" ca="1" si="86"/>
        <v>0.21254120365753615</v>
      </c>
      <c r="E431" s="9">
        <f t="shared" ca="1" si="87"/>
        <v>360</v>
      </c>
      <c r="F431" s="9">
        <f t="shared" ca="1" si="89"/>
        <v>884</v>
      </c>
      <c r="G431" s="12" t="str">
        <f t="shared" ca="1" si="93"/>
        <v>Yes</v>
      </c>
      <c r="H431" s="12">
        <f t="shared" ca="1" si="88"/>
        <v>0.82663821357853173</v>
      </c>
      <c r="I431" s="10">
        <f t="shared" ca="1" si="94"/>
        <v>2</v>
      </c>
      <c r="J431" s="13">
        <f t="shared" ca="1" si="95"/>
        <v>300</v>
      </c>
      <c r="K431" s="14">
        <f t="shared" ca="1" si="96"/>
        <v>176.8</v>
      </c>
      <c r="L431" s="14">
        <f t="shared" ca="1" si="97"/>
        <v>0</v>
      </c>
      <c r="M431" s="15">
        <f t="shared" ca="1" si="98"/>
        <v>476.8</v>
      </c>
      <c r="N431" s="16">
        <f ca="1">SUM($M$9:M431)/A431</f>
        <v>338.55791962174908</v>
      </c>
    </row>
    <row r="432" spans="1:14" x14ac:dyDescent="0.25">
      <c r="A432" s="8">
        <v>424</v>
      </c>
      <c r="B432" s="9">
        <f t="shared" ca="1" si="91"/>
        <v>884</v>
      </c>
      <c r="C432" s="10">
        <f t="shared" ca="1" si="92"/>
        <v>0</v>
      </c>
      <c r="D432" s="11">
        <f t="shared" ca="1" si="86"/>
        <v>0.50446315995732782</v>
      </c>
      <c r="E432" s="9">
        <f t="shared" ca="1" si="87"/>
        <v>400</v>
      </c>
      <c r="F432" s="9">
        <f t="shared" ca="1" si="89"/>
        <v>484</v>
      </c>
      <c r="G432" s="12" t="str">
        <f t="shared" ca="1" si="93"/>
        <v>No</v>
      </c>
      <c r="H432" s="12">
        <f t="shared" ca="1" si="88"/>
        <v>0</v>
      </c>
      <c r="I432" s="10">
        <f t="shared" ca="1" si="94"/>
        <v>1</v>
      </c>
      <c r="J432" s="13">
        <f t="shared" ca="1" si="95"/>
        <v>0</v>
      </c>
      <c r="K432" s="14">
        <f t="shared" ca="1" si="96"/>
        <v>96.800000000000011</v>
      </c>
      <c r="L432" s="14">
        <f t="shared" ca="1" si="97"/>
        <v>0</v>
      </c>
      <c r="M432" s="15">
        <f t="shared" ca="1" si="98"/>
        <v>96.800000000000011</v>
      </c>
      <c r="N432" s="16">
        <f ca="1">SUM($M$9:M432)/A432</f>
        <v>337.98773584905621</v>
      </c>
    </row>
    <row r="433" spans="1:14" x14ac:dyDescent="0.25">
      <c r="A433" s="8">
        <v>425</v>
      </c>
      <c r="B433" s="9">
        <f t="shared" ca="1" si="91"/>
        <v>2284</v>
      </c>
      <c r="C433" s="10">
        <f t="shared" ca="1" si="92"/>
        <v>1800</v>
      </c>
      <c r="D433" s="11">
        <f t="shared" ca="1" si="86"/>
        <v>0.23601516354229612</v>
      </c>
      <c r="E433" s="9">
        <f t="shared" ca="1" si="87"/>
        <v>364</v>
      </c>
      <c r="F433" s="9">
        <f t="shared" ca="1" si="89"/>
        <v>1920</v>
      </c>
      <c r="G433" s="12" t="str">
        <f t="shared" ca="1" si="93"/>
        <v>No</v>
      </c>
      <c r="H433" s="12">
        <f t="shared" ca="1" si="88"/>
        <v>0</v>
      </c>
      <c r="I433" s="10">
        <f t="shared" ca="1" si="94"/>
        <v>0</v>
      </c>
      <c r="J433" s="13">
        <f t="shared" ca="1" si="95"/>
        <v>0</v>
      </c>
      <c r="K433" s="14">
        <f t="shared" ca="1" si="96"/>
        <v>384</v>
      </c>
      <c r="L433" s="14">
        <f t="shared" ca="1" si="97"/>
        <v>0</v>
      </c>
      <c r="M433" s="15">
        <f t="shared" ca="1" si="98"/>
        <v>384</v>
      </c>
      <c r="N433" s="16">
        <f ca="1">SUM($M$9:M433)/A433</f>
        <v>338.09599999999961</v>
      </c>
    </row>
    <row r="434" spans="1:14" x14ac:dyDescent="0.25">
      <c r="A434" s="8">
        <v>426</v>
      </c>
      <c r="B434" s="9">
        <f t="shared" ca="1" si="91"/>
        <v>1920</v>
      </c>
      <c r="C434" s="10">
        <f t="shared" ca="1" si="92"/>
        <v>0</v>
      </c>
      <c r="D434" s="11">
        <f t="shared" ca="1" si="86"/>
        <v>0.67011983298288147</v>
      </c>
      <c r="E434" s="9">
        <f t="shared" ca="1" si="87"/>
        <v>422</v>
      </c>
      <c r="F434" s="9">
        <f t="shared" ca="1" si="89"/>
        <v>1498</v>
      </c>
      <c r="G434" s="12" t="str">
        <f t="shared" ca="1" si="93"/>
        <v>No</v>
      </c>
      <c r="H434" s="12">
        <f t="shared" ca="1" si="88"/>
        <v>0</v>
      </c>
      <c r="I434" s="10">
        <f t="shared" ca="1" si="94"/>
        <v>0</v>
      </c>
      <c r="J434" s="13">
        <f t="shared" ca="1" si="95"/>
        <v>0</v>
      </c>
      <c r="K434" s="14">
        <f t="shared" ca="1" si="96"/>
        <v>299.60000000000002</v>
      </c>
      <c r="L434" s="14">
        <f t="shared" ca="1" si="97"/>
        <v>0</v>
      </c>
      <c r="M434" s="15">
        <f t="shared" ca="1" si="98"/>
        <v>299.60000000000002</v>
      </c>
      <c r="N434" s="16">
        <f ca="1">SUM($M$9:M434)/A434</f>
        <v>338.00563380281653</v>
      </c>
    </row>
    <row r="435" spans="1:14" x14ac:dyDescent="0.25">
      <c r="A435" s="8">
        <v>427</v>
      </c>
      <c r="B435" s="9">
        <f t="shared" ca="1" si="91"/>
        <v>1498</v>
      </c>
      <c r="C435" s="10">
        <f t="shared" ca="1" si="92"/>
        <v>0</v>
      </c>
      <c r="D435" s="11">
        <f t="shared" ca="1" si="86"/>
        <v>0.45420227315714023</v>
      </c>
      <c r="E435" s="9">
        <f t="shared" ca="1" si="87"/>
        <v>394</v>
      </c>
      <c r="F435" s="9">
        <f t="shared" ca="1" si="89"/>
        <v>1104</v>
      </c>
      <c r="G435" s="12" t="str">
        <f t="shared" ca="1" si="93"/>
        <v>No</v>
      </c>
      <c r="H435" s="12">
        <f t="shared" ca="1" si="88"/>
        <v>0</v>
      </c>
      <c r="I435" s="10">
        <f t="shared" ca="1" si="94"/>
        <v>0</v>
      </c>
      <c r="J435" s="13">
        <f t="shared" ca="1" si="95"/>
        <v>0</v>
      </c>
      <c r="K435" s="14">
        <f t="shared" ca="1" si="96"/>
        <v>220.8</v>
      </c>
      <c r="L435" s="14">
        <f t="shared" ca="1" si="97"/>
        <v>0</v>
      </c>
      <c r="M435" s="15">
        <f t="shared" ca="1" si="98"/>
        <v>220.8</v>
      </c>
      <c r="N435" s="16">
        <f ca="1">SUM($M$9:M435)/A435</f>
        <v>337.73114754098322</v>
      </c>
    </row>
    <row r="436" spans="1:14" x14ac:dyDescent="0.25">
      <c r="A436" s="8">
        <v>428</v>
      </c>
      <c r="B436" s="9">
        <f t="shared" ca="1" si="91"/>
        <v>1104</v>
      </c>
      <c r="C436" s="10">
        <f t="shared" ca="1" si="92"/>
        <v>0</v>
      </c>
      <c r="D436" s="11">
        <f t="shared" ca="1" si="86"/>
        <v>0.22357840715122856</v>
      </c>
      <c r="E436" s="9">
        <f t="shared" ca="1" si="87"/>
        <v>361</v>
      </c>
      <c r="F436" s="9">
        <f t="shared" ca="1" si="89"/>
        <v>743</v>
      </c>
      <c r="G436" s="12" t="str">
        <f t="shared" ca="1" si="93"/>
        <v>Yes</v>
      </c>
      <c r="H436" s="12">
        <f t="shared" ca="1" si="88"/>
        <v>5.1116133120097329E-2</v>
      </c>
      <c r="I436" s="10">
        <f t="shared" ca="1" si="94"/>
        <v>1</v>
      </c>
      <c r="J436" s="13">
        <f t="shared" ca="1" si="95"/>
        <v>300</v>
      </c>
      <c r="K436" s="14">
        <f t="shared" ca="1" si="96"/>
        <v>148.6</v>
      </c>
      <c r="L436" s="14">
        <f t="shared" ca="1" si="97"/>
        <v>0</v>
      </c>
      <c r="M436" s="15">
        <f t="shared" ca="1" si="98"/>
        <v>448.6</v>
      </c>
      <c r="N436" s="16">
        <f ca="1">SUM($M$9:M436)/A436</f>
        <v>337.99018691588748</v>
      </c>
    </row>
    <row r="437" spans="1:14" x14ac:dyDescent="0.25">
      <c r="A437" s="8">
        <v>429</v>
      </c>
      <c r="B437" s="9">
        <f t="shared" ca="1" si="91"/>
        <v>2543</v>
      </c>
      <c r="C437" s="10">
        <f t="shared" ca="1" si="92"/>
        <v>1800</v>
      </c>
      <c r="D437" s="11">
        <f t="shared" ca="1" si="86"/>
        <v>0.39588342029696533</v>
      </c>
      <c r="E437" s="9">
        <f t="shared" ca="1" si="87"/>
        <v>386</v>
      </c>
      <c r="F437" s="9">
        <f t="shared" ca="1" si="89"/>
        <v>2157</v>
      </c>
      <c r="G437" s="12" t="str">
        <f t="shared" ca="1" si="93"/>
        <v>No</v>
      </c>
      <c r="H437" s="12">
        <f t="shared" ca="1" si="88"/>
        <v>0</v>
      </c>
      <c r="I437" s="10">
        <f t="shared" ca="1" si="94"/>
        <v>0</v>
      </c>
      <c r="J437" s="13">
        <f t="shared" ca="1" si="95"/>
        <v>0</v>
      </c>
      <c r="K437" s="14">
        <f t="shared" ca="1" si="96"/>
        <v>431.40000000000003</v>
      </c>
      <c r="L437" s="14">
        <f t="shared" ca="1" si="97"/>
        <v>0</v>
      </c>
      <c r="M437" s="15">
        <f t="shared" ca="1" si="98"/>
        <v>431.40000000000003</v>
      </c>
      <c r="N437" s="16">
        <f ca="1">SUM($M$9:M437)/A437</f>
        <v>338.20792540792502</v>
      </c>
    </row>
    <row r="438" spans="1:14" x14ac:dyDescent="0.25">
      <c r="A438" s="8">
        <v>430</v>
      </c>
      <c r="B438" s="9">
        <f t="shared" ca="1" si="91"/>
        <v>2157</v>
      </c>
      <c r="C438" s="10">
        <f t="shared" ca="1" si="92"/>
        <v>0</v>
      </c>
      <c r="D438" s="11">
        <f t="shared" ca="1" si="86"/>
        <v>0.90893069035101082</v>
      </c>
      <c r="E438" s="9">
        <f t="shared" ca="1" si="87"/>
        <v>466</v>
      </c>
      <c r="F438" s="9">
        <f t="shared" ca="1" si="89"/>
        <v>1691</v>
      </c>
      <c r="G438" s="12" t="str">
        <f t="shared" ca="1" si="93"/>
        <v>No</v>
      </c>
      <c r="H438" s="12">
        <f t="shared" ca="1" si="88"/>
        <v>0</v>
      </c>
      <c r="I438" s="10">
        <f t="shared" ca="1" si="94"/>
        <v>0</v>
      </c>
      <c r="J438" s="13">
        <f t="shared" ca="1" si="95"/>
        <v>0</v>
      </c>
      <c r="K438" s="14">
        <f t="shared" ca="1" si="96"/>
        <v>338.20000000000005</v>
      </c>
      <c r="L438" s="14">
        <f t="shared" ca="1" si="97"/>
        <v>0</v>
      </c>
      <c r="M438" s="15">
        <f t="shared" ca="1" si="98"/>
        <v>338.20000000000005</v>
      </c>
      <c r="N438" s="16">
        <f ca="1">SUM($M$9:M438)/A438</f>
        <v>338.20790697674386</v>
      </c>
    </row>
    <row r="439" spans="1:14" x14ac:dyDescent="0.25">
      <c r="A439" s="8">
        <v>431</v>
      </c>
      <c r="B439" s="9">
        <f t="shared" ca="1" si="91"/>
        <v>1691</v>
      </c>
      <c r="C439" s="10">
        <f t="shared" ca="1" si="92"/>
        <v>0</v>
      </c>
      <c r="D439" s="11">
        <f t="shared" ca="1" si="86"/>
        <v>0.35643491168563046</v>
      </c>
      <c r="E439" s="9">
        <f t="shared" ca="1" si="87"/>
        <v>381</v>
      </c>
      <c r="F439" s="9">
        <f t="shared" ca="1" si="89"/>
        <v>1310</v>
      </c>
      <c r="G439" s="12" t="str">
        <f t="shared" ca="1" si="93"/>
        <v>No</v>
      </c>
      <c r="H439" s="12">
        <f t="shared" ca="1" si="88"/>
        <v>0</v>
      </c>
      <c r="I439" s="10">
        <f t="shared" ca="1" si="94"/>
        <v>0</v>
      </c>
      <c r="J439" s="13">
        <f t="shared" ca="1" si="95"/>
        <v>0</v>
      </c>
      <c r="K439" s="14">
        <f t="shared" ca="1" si="96"/>
        <v>262</v>
      </c>
      <c r="L439" s="14">
        <f t="shared" ca="1" si="97"/>
        <v>0</v>
      </c>
      <c r="M439" s="15">
        <f t="shared" ca="1" si="98"/>
        <v>262</v>
      </c>
      <c r="N439" s="16">
        <f ca="1">SUM($M$9:M439)/A439</f>
        <v>338.0310904872386</v>
      </c>
    </row>
    <row r="440" spans="1:14" x14ac:dyDescent="0.25">
      <c r="A440" s="8">
        <v>432</v>
      </c>
      <c r="B440" s="9">
        <f t="shared" ca="1" si="91"/>
        <v>1310</v>
      </c>
      <c r="C440" s="10">
        <f t="shared" ca="1" si="92"/>
        <v>0</v>
      </c>
      <c r="D440" s="11">
        <f t="shared" ca="1" si="86"/>
        <v>0.91729386326280971</v>
      </c>
      <c r="E440" s="9">
        <f t="shared" ca="1" si="87"/>
        <v>469</v>
      </c>
      <c r="F440" s="9">
        <f t="shared" ca="1" si="89"/>
        <v>841</v>
      </c>
      <c r="G440" s="12" t="str">
        <f t="shared" ca="1" si="93"/>
        <v>Yes</v>
      </c>
      <c r="H440" s="12">
        <f t="shared" ca="1" si="88"/>
        <v>0.4343835935860616</v>
      </c>
      <c r="I440" s="10">
        <f t="shared" ca="1" si="94"/>
        <v>1</v>
      </c>
      <c r="J440" s="13">
        <f t="shared" ca="1" si="95"/>
        <v>300</v>
      </c>
      <c r="K440" s="14">
        <f t="shared" ca="1" si="96"/>
        <v>168.20000000000002</v>
      </c>
      <c r="L440" s="14">
        <f t="shared" ca="1" si="97"/>
        <v>0</v>
      </c>
      <c r="M440" s="15">
        <f t="shared" ca="1" si="98"/>
        <v>468.20000000000005</v>
      </c>
      <c r="N440" s="16">
        <f ca="1">SUM($M$9:M440)/A440</f>
        <v>338.33240740740706</v>
      </c>
    </row>
    <row r="441" spans="1:14" x14ac:dyDescent="0.25">
      <c r="A441" s="8">
        <v>433</v>
      </c>
      <c r="B441" s="9">
        <f t="shared" ca="1" si="91"/>
        <v>2641</v>
      </c>
      <c r="C441" s="10">
        <f t="shared" ca="1" si="92"/>
        <v>1800</v>
      </c>
      <c r="D441" s="11">
        <f t="shared" ca="1" si="86"/>
        <v>0.44330399263213949</v>
      </c>
      <c r="E441" s="9">
        <f t="shared" ca="1" si="87"/>
        <v>392</v>
      </c>
      <c r="F441" s="9">
        <f t="shared" ca="1" si="89"/>
        <v>2249</v>
      </c>
      <c r="G441" s="12" t="str">
        <f t="shared" ca="1" si="93"/>
        <v>No</v>
      </c>
      <c r="H441" s="12">
        <f t="shared" ca="1" si="88"/>
        <v>0</v>
      </c>
      <c r="I441" s="10">
        <f t="shared" ca="1" si="94"/>
        <v>0</v>
      </c>
      <c r="J441" s="13">
        <f t="shared" ca="1" si="95"/>
        <v>0</v>
      </c>
      <c r="K441" s="14">
        <f t="shared" ca="1" si="96"/>
        <v>449.8</v>
      </c>
      <c r="L441" s="14">
        <f t="shared" ca="1" si="97"/>
        <v>0</v>
      </c>
      <c r="M441" s="15">
        <f t="shared" ca="1" si="98"/>
        <v>449.8</v>
      </c>
      <c r="N441" s="16">
        <f ca="1">SUM($M$9:M441)/A441</f>
        <v>338.58983833718207</v>
      </c>
    </row>
    <row r="442" spans="1:14" x14ac:dyDescent="0.25">
      <c r="A442" s="8">
        <v>434</v>
      </c>
      <c r="B442" s="9">
        <f t="shared" ca="1" si="91"/>
        <v>2249</v>
      </c>
      <c r="C442" s="10">
        <f t="shared" ca="1" si="92"/>
        <v>0</v>
      </c>
      <c r="D442" s="11">
        <f t="shared" ca="1" si="86"/>
        <v>0.89592702248842992</v>
      </c>
      <c r="E442" s="9">
        <f t="shared" ca="1" si="87"/>
        <v>462</v>
      </c>
      <c r="F442" s="9">
        <f t="shared" ca="1" si="89"/>
        <v>1787</v>
      </c>
      <c r="G442" s="12" t="str">
        <f t="shared" ca="1" si="93"/>
        <v>No</v>
      </c>
      <c r="H442" s="12">
        <f t="shared" ca="1" si="88"/>
        <v>0</v>
      </c>
      <c r="I442" s="10">
        <f t="shared" ca="1" si="94"/>
        <v>0</v>
      </c>
      <c r="J442" s="13">
        <f t="shared" ca="1" si="95"/>
        <v>0</v>
      </c>
      <c r="K442" s="14">
        <f t="shared" ca="1" si="96"/>
        <v>357.40000000000003</v>
      </c>
      <c r="L442" s="14">
        <f t="shared" ca="1" si="97"/>
        <v>0</v>
      </c>
      <c r="M442" s="15">
        <f t="shared" ca="1" si="98"/>
        <v>357.40000000000003</v>
      </c>
      <c r="N442" s="16">
        <f ca="1">SUM($M$9:M442)/A442</f>
        <v>338.63317972350194</v>
      </c>
    </row>
    <row r="443" spans="1:14" x14ac:dyDescent="0.25">
      <c r="A443" s="8">
        <v>435</v>
      </c>
      <c r="B443" s="9">
        <f t="shared" ca="1" si="91"/>
        <v>1787</v>
      </c>
      <c r="C443" s="10">
        <f t="shared" ca="1" si="92"/>
        <v>0</v>
      </c>
      <c r="D443" s="11">
        <f t="shared" ca="1" si="86"/>
        <v>0.78190843360044349</v>
      </c>
      <c r="E443" s="9">
        <f t="shared" ca="1" si="87"/>
        <v>438</v>
      </c>
      <c r="F443" s="9">
        <f t="shared" ca="1" si="89"/>
        <v>1349</v>
      </c>
      <c r="G443" s="12" t="str">
        <f t="shared" ca="1" si="93"/>
        <v>No</v>
      </c>
      <c r="H443" s="12">
        <f t="shared" ca="1" si="88"/>
        <v>0</v>
      </c>
      <c r="I443" s="10">
        <f t="shared" ca="1" si="94"/>
        <v>0</v>
      </c>
      <c r="J443" s="13">
        <f t="shared" ca="1" si="95"/>
        <v>0</v>
      </c>
      <c r="K443" s="14">
        <f t="shared" ca="1" si="96"/>
        <v>269.8</v>
      </c>
      <c r="L443" s="14">
        <f t="shared" ca="1" si="97"/>
        <v>0</v>
      </c>
      <c r="M443" s="15">
        <f t="shared" ca="1" si="98"/>
        <v>269.8</v>
      </c>
      <c r="N443" s="16">
        <f ca="1">SUM($M$9:M443)/A443</f>
        <v>338.47494252873526</v>
      </c>
    </row>
    <row r="444" spans="1:14" x14ac:dyDescent="0.25">
      <c r="A444" s="8">
        <v>436</v>
      </c>
      <c r="B444" s="9">
        <f t="shared" ca="1" si="91"/>
        <v>1349</v>
      </c>
      <c r="C444" s="10">
        <f t="shared" ca="1" si="92"/>
        <v>0</v>
      </c>
      <c r="D444" s="11">
        <f t="shared" ca="1" si="86"/>
        <v>0.81578543825879601</v>
      </c>
      <c r="E444" s="9">
        <f t="shared" ca="1" si="87"/>
        <v>444</v>
      </c>
      <c r="F444" s="9">
        <f t="shared" ca="1" si="89"/>
        <v>905</v>
      </c>
      <c r="G444" s="12" t="str">
        <f t="shared" ca="1" si="93"/>
        <v>Yes</v>
      </c>
      <c r="H444" s="12">
        <f t="shared" ca="1" si="88"/>
        <v>0.83660261297594651</v>
      </c>
      <c r="I444" s="10">
        <f t="shared" ca="1" si="94"/>
        <v>2</v>
      </c>
      <c r="J444" s="13">
        <f t="shared" ca="1" si="95"/>
        <v>300</v>
      </c>
      <c r="K444" s="14">
        <f t="shared" ca="1" si="96"/>
        <v>181</v>
      </c>
      <c r="L444" s="14">
        <f t="shared" ca="1" si="97"/>
        <v>0</v>
      </c>
      <c r="M444" s="15">
        <f t="shared" ca="1" si="98"/>
        <v>481</v>
      </c>
      <c r="N444" s="16">
        <f ca="1">SUM($M$9:M444)/A444</f>
        <v>338.80183486238491</v>
      </c>
    </row>
    <row r="445" spans="1:14" x14ac:dyDescent="0.25">
      <c r="A445" s="8">
        <v>437</v>
      </c>
      <c r="B445" s="9">
        <f t="shared" ca="1" si="91"/>
        <v>905</v>
      </c>
      <c r="C445" s="10">
        <f t="shared" ca="1" si="92"/>
        <v>0</v>
      </c>
      <c r="D445" s="11">
        <f t="shared" ca="1" si="86"/>
        <v>0.10320162533171851</v>
      </c>
      <c r="E445" s="9">
        <f t="shared" ca="1" si="87"/>
        <v>336</v>
      </c>
      <c r="F445" s="9">
        <f t="shared" ca="1" si="89"/>
        <v>569</v>
      </c>
      <c r="G445" s="12" t="str">
        <f t="shared" ca="1" si="93"/>
        <v>No</v>
      </c>
      <c r="H445" s="12">
        <f t="shared" ca="1" si="88"/>
        <v>0</v>
      </c>
      <c r="I445" s="10">
        <f t="shared" ca="1" si="94"/>
        <v>1</v>
      </c>
      <c r="J445" s="13">
        <f t="shared" ca="1" si="95"/>
        <v>0</v>
      </c>
      <c r="K445" s="14">
        <f t="shared" ca="1" si="96"/>
        <v>113.80000000000001</v>
      </c>
      <c r="L445" s="14">
        <f t="shared" ca="1" si="97"/>
        <v>0</v>
      </c>
      <c r="M445" s="15">
        <f t="shared" ca="1" si="98"/>
        <v>113.80000000000001</v>
      </c>
      <c r="N445" s="16">
        <f ca="1">SUM($M$9:M445)/A445</f>
        <v>338.28695652173872</v>
      </c>
    </row>
    <row r="446" spans="1:14" x14ac:dyDescent="0.25">
      <c r="A446" s="8">
        <v>438</v>
      </c>
      <c r="B446" s="9">
        <f t="shared" ca="1" si="91"/>
        <v>2369</v>
      </c>
      <c r="C446" s="10">
        <f t="shared" ca="1" si="92"/>
        <v>1800</v>
      </c>
      <c r="D446" s="11">
        <f t="shared" ca="1" si="86"/>
        <v>0.38645066359587632</v>
      </c>
      <c r="E446" s="9">
        <f t="shared" ca="1" si="87"/>
        <v>385</v>
      </c>
      <c r="F446" s="9">
        <f t="shared" ca="1" si="89"/>
        <v>1984</v>
      </c>
      <c r="G446" s="12" t="str">
        <f t="shared" ca="1" si="93"/>
        <v>No</v>
      </c>
      <c r="H446" s="12">
        <f t="shared" ca="1" si="88"/>
        <v>0</v>
      </c>
      <c r="I446" s="10">
        <f t="shared" ca="1" si="94"/>
        <v>0</v>
      </c>
      <c r="J446" s="13">
        <f t="shared" ca="1" si="95"/>
        <v>0</v>
      </c>
      <c r="K446" s="14">
        <f t="shared" ca="1" si="96"/>
        <v>396.8</v>
      </c>
      <c r="L446" s="14">
        <f t="shared" ca="1" si="97"/>
        <v>0</v>
      </c>
      <c r="M446" s="15">
        <f t="shared" ca="1" si="98"/>
        <v>396.8</v>
      </c>
      <c r="N446" s="16">
        <f ca="1">SUM($M$9:M446)/A446</f>
        <v>338.42054794520504</v>
      </c>
    </row>
    <row r="447" spans="1:14" x14ac:dyDescent="0.25">
      <c r="A447" s="8">
        <v>439</v>
      </c>
      <c r="B447" s="9">
        <f t="shared" ca="1" si="91"/>
        <v>1984</v>
      </c>
      <c r="C447" s="10">
        <f t="shared" ca="1" si="92"/>
        <v>0</v>
      </c>
      <c r="D447" s="11">
        <f t="shared" ca="1" si="86"/>
        <v>0.9069707374474647</v>
      </c>
      <c r="E447" s="9">
        <f t="shared" ca="1" si="87"/>
        <v>466</v>
      </c>
      <c r="F447" s="9">
        <f t="shared" ca="1" si="89"/>
        <v>1518</v>
      </c>
      <c r="G447" s="12" t="str">
        <f t="shared" ca="1" si="93"/>
        <v>No</v>
      </c>
      <c r="H447" s="12">
        <f t="shared" ca="1" si="88"/>
        <v>0</v>
      </c>
      <c r="I447" s="10">
        <f t="shared" ca="1" si="94"/>
        <v>0</v>
      </c>
      <c r="J447" s="13">
        <f t="shared" ca="1" si="95"/>
        <v>0</v>
      </c>
      <c r="K447" s="14">
        <f t="shared" ca="1" si="96"/>
        <v>303.60000000000002</v>
      </c>
      <c r="L447" s="14">
        <f t="shared" ca="1" si="97"/>
        <v>0</v>
      </c>
      <c r="M447" s="15">
        <f t="shared" ca="1" si="98"/>
        <v>303.60000000000002</v>
      </c>
      <c r="N447" s="16">
        <f ca="1">SUM($M$9:M447)/A447</f>
        <v>338.3412300683367</v>
      </c>
    </row>
    <row r="448" spans="1:14" x14ac:dyDescent="0.25">
      <c r="A448" s="8">
        <v>440</v>
      </c>
      <c r="B448" s="9">
        <f t="shared" ca="1" si="91"/>
        <v>1518</v>
      </c>
      <c r="C448" s="10">
        <f t="shared" ca="1" si="92"/>
        <v>0</v>
      </c>
      <c r="D448" s="11">
        <f t="shared" ca="1" si="86"/>
        <v>0.2938165826270841</v>
      </c>
      <c r="E448" s="9">
        <f t="shared" ca="1" si="87"/>
        <v>372</v>
      </c>
      <c r="F448" s="9">
        <f t="shared" ca="1" si="89"/>
        <v>1146</v>
      </c>
      <c r="G448" s="12" t="str">
        <f t="shared" ca="1" si="93"/>
        <v>No</v>
      </c>
      <c r="H448" s="12">
        <f t="shared" ca="1" si="88"/>
        <v>0</v>
      </c>
      <c r="I448" s="10">
        <f t="shared" ca="1" si="94"/>
        <v>0</v>
      </c>
      <c r="J448" s="13">
        <f t="shared" ca="1" si="95"/>
        <v>0</v>
      </c>
      <c r="K448" s="14">
        <f t="shared" ca="1" si="96"/>
        <v>229.20000000000002</v>
      </c>
      <c r="L448" s="14">
        <f t="shared" ca="1" si="97"/>
        <v>0</v>
      </c>
      <c r="M448" s="15">
        <f t="shared" ca="1" si="98"/>
        <v>229.20000000000002</v>
      </c>
      <c r="N448" s="16">
        <f ca="1">SUM($M$9:M448)/A448</f>
        <v>338.09318181818145</v>
      </c>
    </row>
    <row r="449" spans="1:14" x14ac:dyDescent="0.25">
      <c r="A449" s="8">
        <v>441</v>
      </c>
      <c r="B449" s="9">
        <f t="shared" ca="1" si="91"/>
        <v>1146</v>
      </c>
      <c r="C449" s="10">
        <f t="shared" ca="1" si="92"/>
        <v>0</v>
      </c>
      <c r="D449" s="11">
        <f t="shared" ca="1" si="86"/>
        <v>0.46489752261770545</v>
      </c>
      <c r="E449" s="9">
        <f t="shared" ca="1" si="87"/>
        <v>395</v>
      </c>
      <c r="F449" s="9">
        <f t="shared" ca="1" si="89"/>
        <v>751</v>
      </c>
      <c r="G449" s="12" t="str">
        <f t="shared" ca="1" si="93"/>
        <v>Yes</v>
      </c>
      <c r="H449" s="12">
        <f t="shared" ca="1" si="88"/>
        <v>2.9235914746306046E-2</v>
      </c>
      <c r="I449" s="10">
        <f t="shared" ca="1" si="94"/>
        <v>1</v>
      </c>
      <c r="J449" s="13">
        <f t="shared" ca="1" si="95"/>
        <v>300</v>
      </c>
      <c r="K449" s="14">
        <f t="shared" ca="1" si="96"/>
        <v>150.20000000000002</v>
      </c>
      <c r="L449" s="14">
        <f t="shared" ca="1" si="97"/>
        <v>0</v>
      </c>
      <c r="M449" s="15">
        <f t="shared" ca="1" si="98"/>
        <v>450.20000000000005</v>
      </c>
      <c r="N449" s="16">
        <f ca="1">SUM($M$9:M449)/A449</f>
        <v>338.34739229024905</v>
      </c>
    </row>
    <row r="450" spans="1:14" x14ac:dyDescent="0.25">
      <c r="A450" s="8">
        <v>442</v>
      </c>
      <c r="B450" s="9">
        <f t="shared" ca="1" si="91"/>
        <v>2551</v>
      </c>
      <c r="C450" s="10">
        <f t="shared" ca="1" si="92"/>
        <v>1800</v>
      </c>
      <c r="D450" s="11">
        <f t="shared" ca="1" si="86"/>
        <v>0.3758813637008821</v>
      </c>
      <c r="E450" s="9">
        <f t="shared" ca="1" si="87"/>
        <v>384</v>
      </c>
      <c r="F450" s="9">
        <f t="shared" ca="1" si="89"/>
        <v>2167</v>
      </c>
      <c r="G450" s="12" t="str">
        <f t="shared" ca="1" si="93"/>
        <v>No</v>
      </c>
      <c r="H450" s="12">
        <f t="shared" ca="1" si="88"/>
        <v>0</v>
      </c>
      <c r="I450" s="10">
        <f t="shared" ca="1" si="94"/>
        <v>0</v>
      </c>
      <c r="J450" s="13">
        <f t="shared" ca="1" si="95"/>
        <v>0</v>
      </c>
      <c r="K450" s="14">
        <f t="shared" ca="1" si="96"/>
        <v>433.40000000000003</v>
      </c>
      <c r="L450" s="14">
        <f t="shared" ca="1" si="97"/>
        <v>0</v>
      </c>
      <c r="M450" s="15">
        <f t="shared" ca="1" si="98"/>
        <v>433.40000000000003</v>
      </c>
      <c r="N450" s="16">
        <f ca="1">SUM($M$9:M450)/A450</f>
        <v>338.56244343891365</v>
      </c>
    </row>
    <row r="451" spans="1:14" x14ac:dyDescent="0.25">
      <c r="A451" s="8">
        <v>443</v>
      </c>
      <c r="B451" s="9">
        <f t="shared" ca="1" si="91"/>
        <v>2167</v>
      </c>
      <c r="C451" s="10">
        <f t="shared" ca="1" si="92"/>
        <v>0</v>
      </c>
      <c r="D451" s="11">
        <f t="shared" ca="1" si="86"/>
        <v>0.6295880468336732</v>
      </c>
      <c r="E451" s="9">
        <f t="shared" ca="1" si="87"/>
        <v>416</v>
      </c>
      <c r="F451" s="9">
        <f t="shared" ca="1" si="89"/>
        <v>1751</v>
      </c>
      <c r="G451" s="12" t="str">
        <f t="shared" ca="1" si="93"/>
        <v>No</v>
      </c>
      <c r="H451" s="12">
        <f t="shared" ca="1" si="88"/>
        <v>0</v>
      </c>
      <c r="I451" s="10">
        <f t="shared" ca="1" si="94"/>
        <v>0</v>
      </c>
      <c r="J451" s="13">
        <f t="shared" ca="1" si="95"/>
        <v>0</v>
      </c>
      <c r="K451" s="14">
        <f t="shared" ca="1" si="96"/>
        <v>350.20000000000005</v>
      </c>
      <c r="L451" s="14">
        <f t="shared" ca="1" si="97"/>
        <v>0</v>
      </c>
      <c r="M451" s="15">
        <f t="shared" ca="1" si="98"/>
        <v>350.20000000000005</v>
      </c>
      <c r="N451" s="16">
        <f ca="1">SUM($M$9:M451)/A451</f>
        <v>338.58871331828408</v>
      </c>
    </row>
    <row r="452" spans="1:14" x14ac:dyDescent="0.25">
      <c r="A452" s="8">
        <v>444</v>
      </c>
      <c r="B452" s="9">
        <f t="shared" ca="1" si="91"/>
        <v>1751</v>
      </c>
      <c r="C452" s="10">
        <f t="shared" ca="1" si="92"/>
        <v>0</v>
      </c>
      <c r="D452" s="11">
        <f t="shared" ca="1" si="86"/>
        <v>0.4359109253390363</v>
      </c>
      <c r="E452" s="9">
        <f t="shared" ca="1" si="87"/>
        <v>391</v>
      </c>
      <c r="F452" s="9">
        <f t="shared" ca="1" si="89"/>
        <v>1360</v>
      </c>
      <c r="G452" s="12" t="str">
        <f t="shared" ca="1" si="93"/>
        <v>No</v>
      </c>
      <c r="H452" s="12">
        <f t="shared" ca="1" si="88"/>
        <v>0</v>
      </c>
      <c r="I452" s="10">
        <f t="shared" ca="1" si="94"/>
        <v>0</v>
      </c>
      <c r="J452" s="13">
        <f t="shared" ca="1" si="95"/>
        <v>0</v>
      </c>
      <c r="K452" s="14">
        <f t="shared" ca="1" si="96"/>
        <v>272</v>
      </c>
      <c r="L452" s="14">
        <f t="shared" ca="1" si="97"/>
        <v>0</v>
      </c>
      <c r="M452" s="15">
        <f t="shared" ca="1" si="98"/>
        <v>272</v>
      </c>
      <c r="N452" s="16">
        <f ca="1">SUM($M$9:M452)/A452</f>
        <v>338.43873873873838</v>
      </c>
    </row>
    <row r="453" spans="1:14" x14ac:dyDescent="0.25">
      <c r="A453" s="8">
        <v>445</v>
      </c>
      <c r="B453" s="9">
        <f t="shared" ca="1" si="91"/>
        <v>1360</v>
      </c>
      <c r="C453" s="10">
        <f t="shared" ca="1" si="92"/>
        <v>0</v>
      </c>
      <c r="D453" s="11">
        <f t="shared" ca="1" si="86"/>
        <v>0.60273064796379883</v>
      </c>
      <c r="E453" s="9">
        <f t="shared" ca="1" si="87"/>
        <v>413</v>
      </c>
      <c r="F453" s="9">
        <f t="shared" ca="1" si="89"/>
        <v>947</v>
      </c>
      <c r="G453" s="12" t="str">
        <f t="shared" ca="1" si="93"/>
        <v>Yes</v>
      </c>
      <c r="H453" s="12">
        <f t="shared" ca="1" si="88"/>
        <v>0.52595191261094731</v>
      </c>
      <c r="I453" s="10">
        <f t="shared" ca="1" si="94"/>
        <v>1</v>
      </c>
      <c r="J453" s="13">
        <f t="shared" ca="1" si="95"/>
        <v>300</v>
      </c>
      <c r="K453" s="14">
        <f t="shared" ca="1" si="96"/>
        <v>189.4</v>
      </c>
      <c r="L453" s="14">
        <f t="shared" ca="1" si="97"/>
        <v>0</v>
      </c>
      <c r="M453" s="15">
        <f t="shared" ca="1" si="98"/>
        <v>489.4</v>
      </c>
      <c r="N453" s="16">
        <f ca="1">SUM($M$9:M453)/A453</f>
        <v>338.77797752808954</v>
      </c>
    </row>
    <row r="454" spans="1:14" x14ac:dyDescent="0.25">
      <c r="A454" s="8">
        <v>446</v>
      </c>
      <c r="B454" s="9">
        <f t="shared" ca="1" si="91"/>
        <v>2747</v>
      </c>
      <c r="C454" s="10">
        <f t="shared" ca="1" si="92"/>
        <v>1800</v>
      </c>
      <c r="D454" s="11">
        <f t="shared" ca="1" si="86"/>
        <v>0.20254271237567822</v>
      </c>
      <c r="E454" s="9">
        <f t="shared" ca="1" si="87"/>
        <v>358</v>
      </c>
      <c r="F454" s="9">
        <f t="shared" ca="1" si="89"/>
        <v>2389</v>
      </c>
      <c r="G454" s="12" t="str">
        <f t="shared" ca="1" si="93"/>
        <v>No</v>
      </c>
      <c r="H454" s="12">
        <f t="shared" ca="1" si="88"/>
        <v>0</v>
      </c>
      <c r="I454" s="10">
        <f t="shared" ca="1" si="94"/>
        <v>0</v>
      </c>
      <c r="J454" s="13">
        <f t="shared" ca="1" si="95"/>
        <v>0</v>
      </c>
      <c r="K454" s="14">
        <f t="shared" ca="1" si="96"/>
        <v>477.8</v>
      </c>
      <c r="L454" s="14">
        <f t="shared" ca="1" si="97"/>
        <v>0</v>
      </c>
      <c r="M454" s="15">
        <f t="shared" ca="1" si="98"/>
        <v>477.8</v>
      </c>
      <c r="N454" s="16">
        <f ca="1">SUM($M$9:M454)/A454</f>
        <v>339.08968609865434</v>
      </c>
    </row>
    <row r="455" spans="1:14" x14ac:dyDescent="0.25">
      <c r="A455" s="8">
        <v>447</v>
      </c>
      <c r="B455" s="9">
        <f t="shared" ca="1" si="91"/>
        <v>2389</v>
      </c>
      <c r="C455" s="10">
        <f t="shared" ca="1" si="92"/>
        <v>0</v>
      </c>
      <c r="D455" s="11">
        <f t="shared" ca="1" si="86"/>
        <v>0.23282216329295113</v>
      </c>
      <c r="E455" s="9">
        <f t="shared" ca="1" si="87"/>
        <v>363</v>
      </c>
      <c r="F455" s="9">
        <f t="shared" ca="1" si="89"/>
        <v>2026</v>
      </c>
      <c r="G455" s="12" t="str">
        <f t="shared" ca="1" si="93"/>
        <v>No</v>
      </c>
      <c r="H455" s="12">
        <f t="shared" ca="1" si="88"/>
        <v>0</v>
      </c>
      <c r="I455" s="10">
        <f t="shared" ca="1" si="94"/>
        <v>0</v>
      </c>
      <c r="J455" s="13">
        <f t="shared" ca="1" si="95"/>
        <v>0</v>
      </c>
      <c r="K455" s="14">
        <f t="shared" ca="1" si="96"/>
        <v>405.20000000000005</v>
      </c>
      <c r="L455" s="14">
        <f t="shared" ca="1" si="97"/>
        <v>0</v>
      </c>
      <c r="M455" s="15">
        <f t="shared" ca="1" si="98"/>
        <v>405.20000000000005</v>
      </c>
      <c r="N455" s="16">
        <f ca="1">SUM($M$9:M455)/A455</f>
        <v>339.23758389261707</v>
      </c>
    </row>
    <row r="456" spans="1:14" x14ac:dyDescent="0.25">
      <c r="A456" s="8">
        <v>448</v>
      </c>
      <c r="B456" s="9">
        <f t="shared" ca="1" si="91"/>
        <v>2026</v>
      </c>
      <c r="C456" s="10">
        <f t="shared" ca="1" si="92"/>
        <v>0</v>
      </c>
      <c r="D456" s="11">
        <f t="shared" ca="1" si="86"/>
        <v>0.16462659633378074</v>
      </c>
      <c r="E456" s="9">
        <f t="shared" ca="1" si="87"/>
        <v>351</v>
      </c>
      <c r="F456" s="9">
        <f t="shared" ca="1" si="89"/>
        <v>1675</v>
      </c>
      <c r="G456" s="12" t="str">
        <f t="shared" ca="1" si="93"/>
        <v>No</v>
      </c>
      <c r="H456" s="12">
        <f t="shared" ca="1" si="88"/>
        <v>0</v>
      </c>
      <c r="I456" s="10">
        <f t="shared" ca="1" si="94"/>
        <v>0</v>
      </c>
      <c r="J456" s="13">
        <f t="shared" ca="1" si="95"/>
        <v>0</v>
      </c>
      <c r="K456" s="14">
        <f t="shared" ca="1" si="96"/>
        <v>335</v>
      </c>
      <c r="L456" s="14">
        <f t="shared" ca="1" si="97"/>
        <v>0</v>
      </c>
      <c r="M456" s="15">
        <f t="shared" ca="1" si="98"/>
        <v>335</v>
      </c>
      <c r="N456" s="16">
        <f ca="1">SUM($M$9:M456)/A456</f>
        <v>339.22812499999964</v>
      </c>
    </row>
    <row r="457" spans="1:14" x14ac:dyDescent="0.25">
      <c r="A457" s="8">
        <v>449</v>
      </c>
      <c r="B457" s="9">
        <f t="shared" ca="1" si="91"/>
        <v>1675</v>
      </c>
      <c r="C457" s="10">
        <f t="shared" ca="1" si="92"/>
        <v>0</v>
      </c>
      <c r="D457" s="11">
        <f t="shared" ca="1" si="86"/>
        <v>0.45112465499503884</v>
      </c>
      <c r="E457" s="9">
        <f t="shared" ca="1" si="87"/>
        <v>393</v>
      </c>
      <c r="F457" s="9">
        <f t="shared" ca="1" si="89"/>
        <v>1282</v>
      </c>
      <c r="G457" s="12" t="str">
        <f t="shared" ca="1" si="93"/>
        <v>No</v>
      </c>
      <c r="H457" s="12">
        <f t="shared" ca="1" si="88"/>
        <v>0</v>
      </c>
      <c r="I457" s="10">
        <f t="shared" ca="1" si="94"/>
        <v>0</v>
      </c>
      <c r="J457" s="13">
        <f t="shared" ca="1" si="95"/>
        <v>0</v>
      </c>
      <c r="K457" s="14">
        <f t="shared" ca="1" si="96"/>
        <v>256.40000000000003</v>
      </c>
      <c r="L457" s="14">
        <f t="shared" ca="1" si="97"/>
        <v>0</v>
      </c>
      <c r="M457" s="15">
        <f t="shared" ca="1" si="98"/>
        <v>256.40000000000003</v>
      </c>
      <c r="N457" s="16">
        <f ca="1">SUM($M$9:M457)/A457</f>
        <v>339.04365256124686</v>
      </c>
    </row>
    <row r="458" spans="1:14" x14ac:dyDescent="0.25">
      <c r="A458" s="8">
        <v>450</v>
      </c>
      <c r="B458" s="9">
        <f t="shared" ca="1" si="91"/>
        <v>1282</v>
      </c>
      <c r="C458" s="10">
        <f t="shared" ca="1" si="92"/>
        <v>0</v>
      </c>
      <c r="D458" s="11">
        <f t="shared" ref="D458:D521" ca="1" si="99">RAND()</f>
        <v>0.15069131927044321</v>
      </c>
      <c r="E458" s="9">
        <f t="shared" ref="E458:E521" ca="1" si="100">INT(NORMINV(D458,D_Mean,D_StdDev))</f>
        <v>348</v>
      </c>
      <c r="F458" s="9">
        <f t="shared" ca="1" si="89"/>
        <v>934</v>
      </c>
      <c r="G458" s="12" t="str">
        <f t="shared" ca="1" si="93"/>
        <v>Yes</v>
      </c>
      <c r="H458" s="12">
        <f t="shared" ref="H458:H521" ca="1" si="101">IF(G458="Yes",RAND(),0)</f>
        <v>0.409898037028948</v>
      </c>
      <c r="I458" s="10">
        <f t="shared" ca="1" si="94"/>
        <v>1</v>
      </c>
      <c r="J458" s="13">
        <f t="shared" ca="1" si="95"/>
        <v>300</v>
      </c>
      <c r="K458" s="14">
        <f t="shared" ca="1" si="96"/>
        <v>186.8</v>
      </c>
      <c r="L458" s="14">
        <f t="shared" ca="1" si="97"/>
        <v>0</v>
      </c>
      <c r="M458" s="15">
        <f t="shared" ca="1" si="98"/>
        <v>486.8</v>
      </c>
      <c r="N458" s="16">
        <f ca="1">SUM($M$9:M458)/A458</f>
        <v>339.37199999999962</v>
      </c>
    </row>
    <row r="459" spans="1:14" x14ac:dyDescent="0.25">
      <c r="A459" s="8">
        <v>451</v>
      </c>
      <c r="B459" s="9">
        <f t="shared" ca="1" si="91"/>
        <v>2734</v>
      </c>
      <c r="C459" s="10">
        <f t="shared" ca="1" si="92"/>
        <v>1800</v>
      </c>
      <c r="D459" s="11">
        <f t="shared" ca="1" si="99"/>
        <v>0.75531785075920554</v>
      </c>
      <c r="E459" s="9">
        <f t="shared" ca="1" si="100"/>
        <v>434</v>
      </c>
      <c r="F459" s="9">
        <f t="shared" ref="F459:F508" ca="1" si="102">IF(B459+C459-E459&lt;0,0,B459-E459)</f>
        <v>2300</v>
      </c>
      <c r="G459" s="12" t="str">
        <f t="shared" ca="1" si="93"/>
        <v>No</v>
      </c>
      <c r="H459" s="12">
        <f t="shared" ca="1" si="101"/>
        <v>0</v>
      </c>
      <c r="I459" s="10">
        <f t="shared" ca="1" si="94"/>
        <v>0</v>
      </c>
      <c r="J459" s="13">
        <f t="shared" ca="1" si="95"/>
        <v>0</v>
      </c>
      <c r="K459" s="14">
        <f t="shared" ca="1" si="96"/>
        <v>460</v>
      </c>
      <c r="L459" s="14">
        <f t="shared" ca="1" si="97"/>
        <v>0</v>
      </c>
      <c r="M459" s="15">
        <f t="shared" ca="1" si="98"/>
        <v>460</v>
      </c>
      <c r="N459" s="16">
        <f ca="1">SUM($M$9:M459)/A459</f>
        <v>339.63946784922354</v>
      </c>
    </row>
    <row r="460" spans="1:14" x14ac:dyDescent="0.25">
      <c r="A460" s="8">
        <v>452</v>
      </c>
      <c r="B460" s="9">
        <f t="shared" ca="1" si="91"/>
        <v>2300</v>
      </c>
      <c r="C460" s="10">
        <f t="shared" ca="1" si="92"/>
        <v>0</v>
      </c>
      <c r="D460" s="11">
        <f t="shared" ca="1" si="99"/>
        <v>0.39881460216505726</v>
      </c>
      <c r="E460" s="9">
        <f t="shared" ca="1" si="100"/>
        <v>387</v>
      </c>
      <c r="F460" s="9">
        <f t="shared" ca="1" si="102"/>
        <v>1913</v>
      </c>
      <c r="G460" s="12" t="str">
        <f t="shared" ca="1" si="93"/>
        <v>No</v>
      </c>
      <c r="H460" s="12">
        <f t="shared" ca="1" si="101"/>
        <v>0</v>
      </c>
      <c r="I460" s="10">
        <f t="shared" ca="1" si="94"/>
        <v>0</v>
      </c>
      <c r="J460" s="13">
        <f t="shared" ca="1" si="95"/>
        <v>0</v>
      </c>
      <c r="K460" s="14">
        <f t="shared" ca="1" si="96"/>
        <v>382.6</v>
      </c>
      <c r="L460" s="14">
        <f t="shared" ca="1" si="97"/>
        <v>0</v>
      </c>
      <c r="M460" s="15">
        <f t="shared" ca="1" si="98"/>
        <v>382.6</v>
      </c>
      <c r="N460" s="16">
        <f ca="1">SUM($M$9:M460)/A460</f>
        <v>339.73451327433588</v>
      </c>
    </row>
    <row r="461" spans="1:14" x14ac:dyDescent="0.25">
      <c r="A461" s="8">
        <v>453</v>
      </c>
      <c r="B461" s="9">
        <f t="shared" ca="1" si="91"/>
        <v>1913</v>
      </c>
      <c r="C461" s="10">
        <f t="shared" ca="1" si="92"/>
        <v>0</v>
      </c>
      <c r="D461" s="11">
        <f t="shared" ca="1" si="99"/>
        <v>0.53587652961194077</v>
      </c>
      <c r="E461" s="9">
        <f t="shared" ca="1" si="100"/>
        <v>404</v>
      </c>
      <c r="F461" s="9">
        <f t="shared" ca="1" si="102"/>
        <v>1509</v>
      </c>
      <c r="G461" s="12" t="str">
        <f t="shared" ca="1" si="93"/>
        <v>No</v>
      </c>
      <c r="H461" s="12">
        <f t="shared" ca="1" si="101"/>
        <v>0</v>
      </c>
      <c r="I461" s="10">
        <f t="shared" ca="1" si="94"/>
        <v>0</v>
      </c>
      <c r="J461" s="13">
        <f t="shared" ca="1" si="95"/>
        <v>0</v>
      </c>
      <c r="K461" s="14">
        <f t="shared" ca="1" si="96"/>
        <v>301.8</v>
      </c>
      <c r="L461" s="14">
        <f t="shared" ca="1" si="97"/>
        <v>0</v>
      </c>
      <c r="M461" s="15">
        <f t="shared" ca="1" si="98"/>
        <v>301.8</v>
      </c>
      <c r="N461" s="16">
        <f ca="1">SUM($M$9:M461)/A461</f>
        <v>339.65077262693114</v>
      </c>
    </row>
    <row r="462" spans="1:14" x14ac:dyDescent="0.25">
      <c r="A462" s="8">
        <v>454</v>
      </c>
      <c r="B462" s="9">
        <f t="shared" ca="1" si="91"/>
        <v>1509</v>
      </c>
      <c r="C462" s="10">
        <f t="shared" ca="1" si="92"/>
        <v>0</v>
      </c>
      <c r="D462" s="11">
        <f t="shared" ca="1" si="99"/>
        <v>0.37358780923612356</v>
      </c>
      <c r="E462" s="9">
        <f t="shared" ca="1" si="100"/>
        <v>383</v>
      </c>
      <c r="F462" s="9">
        <f t="shared" ca="1" si="102"/>
        <v>1126</v>
      </c>
      <c r="G462" s="12" t="str">
        <f t="shared" ca="1" si="93"/>
        <v>No</v>
      </c>
      <c r="H462" s="12">
        <f t="shared" ca="1" si="101"/>
        <v>0</v>
      </c>
      <c r="I462" s="10">
        <f t="shared" ca="1" si="94"/>
        <v>0</v>
      </c>
      <c r="J462" s="13">
        <f t="shared" ca="1" si="95"/>
        <v>0</v>
      </c>
      <c r="K462" s="14">
        <f t="shared" ca="1" si="96"/>
        <v>225.20000000000002</v>
      </c>
      <c r="L462" s="14">
        <f t="shared" ca="1" si="97"/>
        <v>0</v>
      </c>
      <c r="M462" s="15">
        <f t="shared" ca="1" si="98"/>
        <v>225.20000000000002</v>
      </c>
      <c r="N462" s="16">
        <f ca="1">SUM($M$9:M462)/A462</f>
        <v>339.39867841409654</v>
      </c>
    </row>
    <row r="463" spans="1:14" x14ac:dyDescent="0.25">
      <c r="A463" s="8">
        <v>455</v>
      </c>
      <c r="B463" s="9">
        <f t="shared" ca="1" si="91"/>
        <v>1126</v>
      </c>
      <c r="C463" s="10">
        <f t="shared" ca="1" si="92"/>
        <v>0</v>
      </c>
      <c r="D463" s="11">
        <f t="shared" ca="1" si="99"/>
        <v>0.65642595447819063</v>
      </c>
      <c r="E463" s="9">
        <f t="shared" ca="1" si="100"/>
        <v>420</v>
      </c>
      <c r="F463" s="9">
        <f t="shared" ca="1" si="102"/>
        <v>706</v>
      </c>
      <c r="G463" s="12" t="str">
        <f t="shared" ca="1" si="93"/>
        <v>Yes</v>
      </c>
      <c r="H463" s="12">
        <f t="shared" ca="1" si="101"/>
        <v>0.39001839186253284</v>
      </c>
      <c r="I463" s="10">
        <f t="shared" ca="1" si="94"/>
        <v>1</v>
      </c>
      <c r="J463" s="13">
        <f t="shared" ca="1" si="95"/>
        <v>300</v>
      </c>
      <c r="K463" s="14">
        <f t="shared" ca="1" si="96"/>
        <v>141.20000000000002</v>
      </c>
      <c r="L463" s="14">
        <f t="shared" ca="1" si="97"/>
        <v>0</v>
      </c>
      <c r="M463" s="15">
        <f t="shared" ca="1" si="98"/>
        <v>441.20000000000005</v>
      </c>
      <c r="N463" s="16">
        <f ca="1">SUM($M$9:M463)/A463</f>
        <v>339.6224175824172</v>
      </c>
    </row>
    <row r="464" spans="1:14" x14ac:dyDescent="0.25">
      <c r="A464" s="8">
        <v>456</v>
      </c>
      <c r="B464" s="9">
        <f t="shared" ca="1" si="91"/>
        <v>2506</v>
      </c>
      <c r="C464" s="10">
        <f t="shared" ca="1" si="92"/>
        <v>1800</v>
      </c>
      <c r="D464" s="11">
        <f t="shared" ca="1" si="99"/>
        <v>0.23802070844449796</v>
      </c>
      <c r="E464" s="9">
        <f t="shared" ca="1" si="100"/>
        <v>364</v>
      </c>
      <c r="F464" s="9">
        <f t="shared" ca="1" si="102"/>
        <v>2142</v>
      </c>
      <c r="G464" s="12" t="str">
        <f t="shared" ca="1" si="93"/>
        <v>No</v>
      </c>
      <c r="H464" s="12">
        <f t="shared" ca="1" si="101"/>
        <v>0</v>
      </c>
      <c r="I464" s="10">
        <f t="shared" ca="1" si="94"/>
        <v>0</v>
      </c>
      <c r="J464" s="13">
        <f t="shared" ca="1" si="95"/>
        <v>0</v>
      </c>
      <c r="K464" s="14">
        <f t="shared" ca="1" si="96"/>
        <v>428.40000000000003</v>
      </c>
      <c r="L464" s="14">
        <f t="shared" ca="1" si="97"/>
        <v>0</v>
      </c>
      <c r="M464" s="15">
        <f t="shared" ca="1" si="98"/>
        <v>428.40000000000003</v>
      </c>
      <c r="N464" s="16">
        <f ca="1">SUM($M$9:M464)/A464</f>
        <v>339.81710526315754</v>
      </c>
    </row>
    <row r="465" spans="1:14" x14ac:dyDescent="0.25">
      <c r="A465" s="8">
        <v>457</v>
      </c>
      <c r="B465" s="9">
        <f t="shared" ca="1" si="91"/>
        <v>2142</v>
      </c>
      <c r="C465" s="10">
        <f t="shared" ca="1" si="92"/>
        <v>0</v>
      </c>
      <c r="D465" s="11">
        <f t="shared" ca="1" si="99"/>
        <v>0.52594432092069632</v>
      </c>
      <c r="E465" s="9">
        <f t="shared" ca="1" si="100"/>
        <v>403</v>
      </c>
      <c r="F465" s="9">
        <f t="shared" ca="1" si="102"/>
        <v>1739</v>
      </c>
      <c r="G465" s="12" t="str">
        <f t="shared" ca="1" si="93"/>
        <v>No</v>
      </c>
      <c r="H465" s="12">
        <f t="shared" ca="1" si="101"/>
        <v>0</v>
      </c>
      <c r="I465" s="10">
        <f t="shared" ca="1" si="94"/>
        <v>0</v>
      </c>
      <c r="J465" s="13">
        <f t="shared" ca="1" si="95"/>
        <v>0</v>
      </c>
      <c r="K465" s="14">
        <f t="shared" ca="1" si="96"/>
        <v>347.8</v>
      </c>
      <c r="L465" s="14">
        <f t="shared" ca="1" si="97"/>
        <v>0</v>
      </c>
      <c r="M465" s="15">
        <f t="shared" ca="1" si="98"/>
        <v>347.8</v>
      </c>
      <c r="N465" s="16">
        <f ca="1">SUM($M$9:M465)/A465</f>
        <v>339.83457330415717</v>
      </c>
    </row>
    <row r="466" spans="1:14" x14ac:dyDescent="0.25">
      <c r="A466" s="8">
        <v>458</v>
      </c>
      <c r="B466" s="9">
        <f t="shared" ca="1" si="91"/>
        <v>1739</v>
      </c>
      <c r="C466" s="10">
        <f t="shared" ca="1" si="92"/>
        <v>0</v>
      </c>
      <c r="D466" s="11">
        <f t="shared" ca="1" si="99"/>
        <v>0.21694734466302501</v>
      </c>
      <c r="E466" s="9">
        <f t="shared" ca="1" si="100"/>
        <v>360</v>
      </c>
      <c r="F466" s="9">
        <f t="shared" ca="1" si="102"/>
        <v>1379</v>
      </c>
      <c r="G466" s="12" t="str">
        <f t="shared" ca="1" si="93"/>
        <v>No</v>
      </c>
      <c r="H466" s="12">
        <f t="shared" ca="1" si="101"/>
        <v>0</v>
      </c>
      <c r="I466" s="10">
        <f t="shared" ca="1" si="94"/>
        <v>0</v>
      </c>
      <c r="J466" s="13">
        <f t="shared" ca="1" si="95"/>
        <v>0</v>
      </c>
      <c r="K466" s="14">
        <f t="shared" ca="1" si="96"/>
        <v>275.8</v>
      </c>
      <c r="L466" s="14">
        <f t="shared" ca="1" si="97"/>
        <v>0</v>
      </c>
      <c r="M466" s="15">
        <f t="shared" ca="1" si="98"/>
        <v>275.8</v>
      </c>
      <c r="N466" s="16">
        <f ca="1">SUM($M$9:M466)/A466</f>
        <v>339.69475982532708</v>
      </c>
    </row>
    <row r="467" spans="1:14" x14ac:dyDescent="0.25">
      <c r="A467" s="8">
        <v>459</v>
      </c>
      <c r="B467" s="9">
        <f t="shared" ca="1" si="91"/>
        <v>1379</v>
      </c>
      <c r="C467" s="10">
        <f t="shared" ca="1" si="92"/>
        <v>0</v>
      </c>
      <c r="D467" s="11">
        <f t="shared" ca="1" si="99"/>
        <v>0.67284343963759086</v>
      </c>
      <c r="E467" s="9">
        <f t="shared" ca="1" si="100"/>
        <v>422</v>
      </c>
      <c r="F467" s="9">
        <f t="shared" ca="1" si="102"/>
        <v>957</v>
      </c>
      <c r="G467" s="12" t="str">
        <f t="shared" ca="1" si="93"/>
        <v>Yes</v>
      </c>
      <c r="H467" s="12">
        <f t="shared" ca="1" si="101"/>
        <v>9.1647514599687563E-2</v>
      </c>
      <c r="I467" s="10">
        <f t="shared" ca="1" si="94"/>
        <v>1</v>
      </c>
      <c r="J467" s="13">
        <f t="shared" ca="1" si="95"/>
        <v>300</v>
      </c>
      <c r="K467" s="14">
        <f t="shared" ca="1" si="96"/>
        <v>191.4</v>
      </c>
      <c r="L467" s="14">
        <f t="shared" ca="1" si="97"/>
        <v>0</v>
      </c>
      <c r="M467" s="15">
        <f t="shared" ca="1" si="98"/>
        <v>491.4</v>
      </c>
      <c r="N467" s="16">
        <f ca="1">SUM($M$9:M467)/A467</f>
        <v>340.02527233115427</v>
      </c>
    </row>
    <row r="468" spans="1:14" x14ac:dyDescent="0.25">
      <c r="A468" s="8">
        <v>460</v>
      </c>
      <c r="B468" s="9">
        <f t="shared" ca="1" si="91"/>
        <v>2757</v>
      </c>
      <c r="C468" s="10">
        <f t="shared" ca="1" si="92"/>
        <v>1800</v>
      </c>
      <c r="D468" s="11">
        <f t="shared" ca="1" si="99"/>
        <v>0.6452833600325919</v>
      </c>
      <c r="E468" s="9">
        <f t="shared" ca="1" si="100"/>
        <v>418</v>
      </c>
      <c r="F468" s="9">
        <f t="shared" ca="1" si="102"/>
        <v>2339</v>
      </c>
      <c r="G468" s="12" t="str">
        <f t="shared" ca="1" si="93"/>
        <v>No</v>
      </c>
      <c r="H468" s="12">
        <f t="shared" ca="1" si="101"/>
        <v>0</v>
      </c>
      <c r="I468" s="10">
        <f t="shared" ca="1" si="94"/>
        <v>0</v>
      </c>
      <c r="J468" s="13">
        <f t="shared" ca="1" si="95"/>
        <v>0</v>
      </c>
      <c r="K468" s="14">
        <f t="shared" ca="1" si="96"/>
        <v>467.8</v>
      </c>
      <c r="L468" s="14">
        <f t="shared" ca="1" si="97"/>
        <v>0</v>
      </c>
      <c r="M468" s="15">
        <f t="shared" ca="1" si="98"/>
        <v>467.8</v>
      </c>
      <c r="N468" s="16">
        <f ca="1">SUM($M$9:M468)/A468</f>
        <v>340.30304347826041</v>
      </c>
    </row>
    <row r="469" spans="1:14" x14ac:dyDescent="0.25">
      <c r="A469" s="8">
        <v>461</v>
      </c>
      <c r="B469" s="9">
        <f t="shared" ca="1" si="91"/>
        <v>2339</v>
      </c>
      <c r="C469" s="10">
        <f t="shared" ca="1" si="92"/>
        <v>0</v>
      </c>
      <c r="D469" s="11">
        <f t="shared" ca="1" si="99"/>
        <v>0.43470465863196728</v>
      </c>
      <c r="E469" s="9">
        <f t="shared" ca="1" si="100"/>
        <v>391</v>
      </c>
      <c r="F469" s="9">
        <f t="shared" ca="1" si="102"/>
        <v>1948</v>
      </c>
      <c r="G469" s="12" t="str">
        <f t="shared" ca="1" si="93"/>
        <v>No</v>
      </c>
      <c r="H469" s="12">
        <f t="shared" ca="1" si="101"/>
        <v>0</v>
      </c>
      <c r="I469" s="10">
        <f t="shared" ca="1" si="94"/>
        <v>0</v>
      </c>
      <c r="J469" s="13">
        <f t="shared" ca="1" si="95"/>
        <v>0</v>
      </c>
      <c r="K469" s="14">
        <f t="shared" ca="1" si="96"/>
        <v>389.6</v>
      </c>
      <c r="L469" s="14">
        <f t="shared" ca="1" si="97"/>
        <v>0</v>
      </c>
      <c r="M469" s="15">
        <f t="shared" ca="1" si="98"/>
        <v>389.6</v>
      </c>
      <c r="N469" s="16">
        <f ca="1">SUM($M$9:M469)/A469</f>
        <v>340.40997830802559</v>
      </c>
    </row>
    <row r="470" spans="1:14" x14ac:dyDescent="0.25">
      <c r="A470" s="8">
        <v>462</v>
      </c>
      <c r="B470" s="9">
        <f t="shared" ca="1" si="91"/>
        <v>1948</v>
      </c>
      <c r="C470" s="10">
        <f t="shared" ca="1" si="92"/>
        <v>0</v>
      </c>
      <c r="D470" s="11">
        <f t="shared" ca="1" si="99"/>
        <v>0.91126588587965707</v>
      </c>
      <c r="E470" s="9">
        <f t="shared" ca="1" si="100"/>
        <v>467</v>
      </c>
      <c r="F470" s="9">
        <f t="shared" ca="1" si="102"/>
        <v>1481</v>
      </c>
      <c r="G470" s="12" t="str">
        <f t="shared" ca="1" si="93"/>
        <v>No</v>
      </c>
      <c r="H470" s="12">
        <f t="shared" ca="1" si="101"/>
        <v>0</v>
      </c>
      <c r="I470" s="10">
        <f t="shared" ca="1" si="94"/>
        <v>0</v>
      </c>
      <c r="J470" s="13">
        <f t="shared" ca="1" si="95"/>
        <v>0</v>
      </c>
      <c r="K470" s="14">
        <f t="shared" ca="1" si="96"/>
        <v>296.2</v>
      </c>
      <c r="L470" s="14">
        <f t="shared" ca="1" si="97"/>
        <v>0</v>
      </c>
      <c r="M470" s="15">
        <f t="shared" ca="1" si="98"/>
        <v>296.2</v>
      </c>
      <c r="N470" s="16">
        <f ca="1">SUM($M$9:M470)/A470</f>
        <v>340.31428571428529</v>
      </c>
    </row>
    <row r="471" spans="1:14" x14ac:dyDescent="0.25">
      <c r="A471" s="8">
        <v>463</v>
      </c>
      <c r="B471" s="9">
        <f t="shared" ca="1" si="91"/>
        <v>1481</v>
      </c>
      <c r="C471" s="10">
        <f t="shared" ca="1" si="92"/>
        <v>0</v>
      </c>
      <c r="D471" s="11">
        <f t="shared" ca="1" si="99"/>
        <v>0.49374647311370745</v>
      </c>
      <c r="E471" s="9">
        <f t="shared" ca="1" si="100"/>
        <v>399</v>
      </c>
      <c r="F471" s="9">
        <f t="shared" ca="1" si="102"/>
        <v>1082</v>
      </c>
      <c r="G471" s="12" t="str">
        <f t="shared" ca="1" si="93"/>
        <v>No</v>
      </c>
      <c r="H471" s="12">
        <f t="shared" ca="1" si="101"/>
        <v>0</v>
      </c>
      <c r="I471" s="10">
        <f t="shared" ca="1" si="94"/>
        <v>0</v>
      </c>
      <c r="J471" s="13">
        <f t="shared" ca="1" si="95"/>
        <v>0</v>
      </c>
      <c r="K471" s="14">
        <f t="shared" ca="1" si="96"/>
        <v>216.4</v>
      </c>
      <c r="L471" s="14">
        <f t="shared" ca="1" si="97"/>
        <v>0</v>
      </c>
      <c r="M471" s="15">
        <f t="shared" ca="1" si="98"/>
        <v>216.4</v>
      </c>
      <c r="N471" s="16">
        <f ca="1">SUM($M$9:M471)/A471</f>
        <v>340.04665226781816</v>
      </c>
    </row>
    <row r="472" spans="1:14" x14ac:dyDescent="0.25">
      <c r="A472" s="8">
        <v>464</v>
      </c>
      <c r="B472" s="9">
        <f t="shared" ca="1" si="91"/>
        <v>1082</v>
      </c>
      <c r="C472" s="10">
        <f t="shared" ca="1" si="92"/>
        <v>0</v>
      </c>
      <c r="D472" s="11">
        <f t="shared" ca="1" si="99"/>
        <v>0.2048528204223059</v>
      </c>
      <c r="E472" s="9">
        <f t="shared" ca="1" si="100"/>
        <v>358</v>
      </c>
      <c r="F472" s="9">
        <f t="shared" ca="1" si="102"/>
        <v>724</v>
      </c>
      <c r="G472" s="12" t="str">
        <f t="shared" ca="1" si="93"/>
        <v>Yes</v>
      </c>
      <c r="H472" s="12">
        <f t="shared" ca="1" si="101"/>
        <v>0.90953198050547357</v>
      </c>
      <c r="I472" s="10">
        <f t="shared" ca="1" si="94"/>
        <v>3</v>
      </c>
      <c r="J472" s="13">
        <f t="shared" ca="1" si="95"/>
        <v>300</v>
      </c>
      <c r="K472" s="14">
        <f t="shared" ca="1" si="96"/>
        <v>144.80000000000001</v>
      </c>
      <c r="L472" s="14">
        <f t="shared" ca="1" si="97"/>
        <v>0</v>
      </c>
      <c r="M472" s="15">
        <f t="shared" ca="1" si="98"/>
        <v>444.8</v>
      </c>
      <c r="N472" s="16">
        <f ca="1">SUM($M$9:M472)/A472</f>
        <v>340.272413793103</v>
      </c>
    </row>
    <row r="473" spans="1:14" x14ac:dyDescent="0.25">
      <c r="A473" s="8">
        <v>465</v>
      </c>
      <c r="B473" s="9">
        <f t="shared" ref="B473:B508" ca="1" si="103">IF(I472=1,F472+Quantity,F472)</f>
        <v>724</v>
      </c>
      <c r="C473" s="10">
        <f t="shared" ref="C473:C508" ca="1" si="104">IF(I472=1,Quantity,0)</f>
        <v>0</v>
      </c>
      <c r="D473" s="11">
        <f t="shared" ca="1" si="99"/>
        <v>0.18578727902840042</v>
      </c>
      <c r="E473" s="9">
        <f t="shared" ca="1" si="100"/>
        <v>355</v>
      </c>
      <c r="F473" s="9">
        <f t="shared" ca="1" si="102"/>
        <v>369</v>
      </c>
      <c r="G473" s="12" t="str">
        <f t="shared" ref="G473:G508" ca="1" si="105">IF(B473&lt;Point,IF(I472=0,"Yes","No"),"No")</f>
        <v>No</v>
      </c>
      <c r="H473" s="12">
        <f t="shared" ca="1" si="101"/>
        <v>0</v>
      </c>
      <c r="I473" s="10">
        <f t="shared" ref="I473:I508" ca="1" si="106">IF(I472&gt;0,I472-1,(IF(G473="Yes",(VLOOKUP(H473,LTD,3)),0)))</f>
        <v>2</v>
      </c>
      <c r="J473" s="13">
        <f t="shared" ref="J473:J508" ca="1" si="107">IF(G473="Yes",Order_Cost,0)</f>
        <v>0</v>
      </c>
      <c r="K473" s="14">
        <f t="shared" ref="K473:K508" ca="1" si="108">F473*Holding_Cost</f>
        <v>73.8</v>
      </c>
      <c r="L473" s="14">
        <f t="shared" ref="L473:L508" ca="1" si="109">IF(B473+C473&lt;E473,Shortage_Cost*(E473-B473-C473),0)</f>
        <v>0</v>
      </c>
      <c r="M473" s="15">
        <f t="shared" ref="M473:M508" ca="1" si="110">SUM(J473:L473)</f>
        <v>73.8</v>
      </c>
      <c r="N473" s="16">
        <f ca="1">SUM($M$9:M473)/A473</f>
        <v>339.69935483870921</v>
      </c>
    </row>
    <row r="474" spans="1:14" x14ac:dyDescent="0.25">
      <c r="A474" s="8">
        <v>466</v>
      </c>
      <c r="B474" s="9">
        <f t="shared" ca="1" si="103"/>
        <v>369</v>
      </c>
      <c r="C474" s="10">
        <f t="shared" ca="1" si="104"/>
        <v>0</v>
      </c>
      <c r="D474" s="11">
        <f t="shared" ca="1" si="99"/>
        <v>0.36429006110500206</v>
      </c>
      <c r="E474" s="9">
        <f t="shared" ca="1" si="100"/>
        <v>382</v>
      </c>
      <c r="F474" s="9">
        <f t="shared" ca="1" si="102"/>
        <v>0</v>
      </c>
      <c r="G474" s="12" t="str">
        <f t="shared" ca="1" si="105"/>
        <v>No</v>
      </c>
      <c r="H474" s="12">
        <f t="shared" ca="1" si="101"/>
        <v>0</v>
      </c>
      <c r="I474" s="10">
        <f t="shared" ca="1" si="106"/>
        <v>1</v>
      </c>
      <c r="J474" s="13">
        <f t="shared" ca="1" si="107"/>
        <v>0</v>
      </c>
      <c r="K474" s="14">
        <f t="shared" ca="1" si="108"/>
        <v>0</v>
      </c>
      <c r="L474" s="14">
        <f t="shared" ca="1" si="109"/>
        <v>26</v>
      </c>
      <c r="M474" s="15">
        <f t="shared" ca="1" si="110"/>
        <v>26</v>
      </c>
      <c r="N474" s="16">
        <f ca="1">SUM($M$9:M474)/A474</f>
        <v>339.02618025751025</v>
      </c>
    </row>
    <row r="475" spans="1:14" x14ac:dyDescent="0.25">
      <c r="A475" s="8">
        <v>467</v>
      </c>
      <c r="B475" s="9">
        <f t="shared" ca="1" si="103"/>
        <v>1800</v>
      </c>
      <c r="C475" s="10">
        <f t="shared" ca="1" si="104"/>
        <v>1800</v>
      </c>
      <c r="D475" s="11">
        <f t="shared" ca="1" si="99"/>
        <v>0.71096569670495469</v>
      </c>
      <c r="E475" s="9">
        <f t="shared" ca="1" si="100"/>
        <v>427</v>
      </c>
      <c r="F475" s="9">
        <f t="shared" ca="1" si="102"/>
        <v>1373</v>
      </c>
      <c r="G475" s="12" t="str">
        <f t="shared" ca="1" si="105"/>
        <v>No</v>
      </c>
      <c r="H475" s="12">
        <f t="shared" ca="1" si="101"/>
        <v>0</v>
      </c>
      <c r="I475" s="10">
        <f t="shared" ca="1" si="106"/>
        <v>0</v>
      </c>
      <c r="J475" s="13">
        <f t="shared" ca="1" si="107"/>
        <v>0</v>
      </c>
      <c r="K475" s="14">
        <f t="shared" ca="1" si="108"/>
        <v>274.60000000000002</v>
      </c>
      <c r="L475" s="14">
        <f t="shared" ca="1" si="109"/>
        <v>0</v>
      </c>
      <c r="M475" s="15">
        <f t="shared" ca="1" si="110"/>
        <v>274.60000000000002</v>
      </c>
      <c r="N475" s="16">
        <f ca="1">SUM($M$9:M475)/A475</f>
        <v>338.88822269807235</v>
      </c>
    </row>
    <row r="476" spans="1:14" x14ac:dyDescent="0.25">
      <c r="A476" s="8">
        <v>468</v>
      </c>
      <c r="B476" s="9">
        <f t="shared" ca="1" si="103"/>
        <v>1373</v>
      </c>
      <c r="C476" s="10">
        <f t="shared" ca="1" si="104"/>
        <v>0</v>
      </c>
      <c r="D476" s="11">
        <f t="shared" ca="1" si="99"/>
        <v>0.71323117281008697</v>
      </c>
      <c r="E476" s="9">
        <f t="shared" ca="1" si="100"/>
        <v>428</v>
      </c>
      <c r="F476" s="9">
        <f t="shared" ca="1" si="102"/>
        <v>945</v>
      </c>
      <c r="G476" s="12" t="str">
        <f t="shared" ca="1" si="105"/>
        <v>Yes</v>
      </c>
      <c r="H476" s="12">
        <f t="shared" ca="1" si="101"/>
        <v>0.28155541800344719</v>
      </c>
      <c r="I476" s="10">
        <f t="shared" ca="1" si="106"/>
        <v>1</v>
      </c>
      <c r="J476" s="13">
        <f t="shared" ca="1" si="107"/>
        <v>300</v>
      </c>
      <c r="K476" s="14">
        <f t="shared" ca="1" si="108"/>
        <v>189</v>
      </c>
      <c r="L476" s="14">
        <f t="shared" ca="1" si="109"/>
        <v>0</v>
      </c>
      <c r="M476" s="15">
        <f t="shared" ca="1" si="110"/>
        <v>489</v>
      </c>
      <c r="N476" s="16">
        <f ca="1">SUM($M$9:M476)/A476</f>
        <v>339.20897435897388</v>
      </c>
    </row>
    <row r="477" spans="1:14" x14ac:dyDescent="0.25">
      <c r="A477" s="8">
        <v>469</v>
      </c>
      <c r="B477" s="9">
        <f t="shared" ca="1" si="103"/>
        <v>2745</v>
      </c>
      <c r="C477" s="10">
        <f t="shared" ca="1" si="104"/>
        <v>1800</v>
      </c>
      <c r="D477" s="11">
        <f t="shared" ca="1" si="99"/>
        <v>0.74843362613253039</v>
      </c>
      <c r="E477" s="9">
        <f t="shared" ca="1" si="100"/>
        <v>433</v>
      </c>
      <c r="F477" s="9">
        <f t="shared" ca="1" si="102"/>
        <v>2312</v>
      </c>
      <c r="G477" s="12" t="str">
        <f t="shared" ca="1" si="105"/>
        <v>No</v>
      </c>
      <c r="H477" s="12">
        <f t="shared" ca="1" si="101"/>
        <v>0</v>
      </c>
      <c r="I477" s="10">
        <f t="shared" ca="1" si="106"/>
        <v>0</v>
      </c>
      <c r="J477" s="13">
        <f t="shared" ca="1" si="107"/>
        <v>0</v>
      </c>
      <c r="K477" s="14">
        <f t="shared" ca="1" si="108"/>
        <v>462.40000000000003</v>
      </c>
      <c r="L477" s="14">
        <f t="shared" ca="1" si="109"/>
        <v>0</v>
      </c>
      <c r="M477" s="15">
        <f t="shared" ca="1" si="110"/>
        <v>462.40000000000003</v>
      </c>
      <c r="N477" s="16">
        <f ca="1">SUM($M$9:M477)/A477</f>
        <v>339.47164179104431</v>
      </c>
    </row>
    <row r="478" spans="1:14" x14ac:dyDescent="0.25">
      <c r="A478" s="8">
        <v>470</v>
      </c>
      <c r="B478" s="9">
        <f t="shared" ca="1" si="103"/>
        <v>2312</v>
      </c>
      <c r="C478" s="10">
        <f t="shared" ca="1" si="104"/>
        <v>0</v>
      </c>
      <c r="D478" s="11">
        <f t="shared" ca="1" si="99"/>
        <v>0.34759392470230888</v>
      </c>
      <c r="E478" s="9">
        <f t="shared" ca="1" si="100"/>
        <v>380</v>
      </c>
      <c r="F478" s="9">
        <f t="shared" ca="1" si="102"/>
        <v>1932</v>
      </c>
      <c r="G478" s="12" t="str">
        <f t="shared" ca="1" si="105"/>
        <v>No</v>
      </c>
      <c r="H478" s="12">
        <f t="shared" ca="1" si="101"/>
        <v>0</v>
      </c>
      <c r="I478" s="10">
        <f t="shared" ca="1" si="106"/>
        <v>0</v>
      </c>
      <c r="J478" s="13">
        <f t="shared" ca="1" si="107"/>
        <v>0</v>
      </c>
      <c r="K478" s="14">
        <f t="shared" ca="1" si="108"/>
        <v>386.40000000000003</v>
      </c>
      <c r="L478" s="14">
        <f t="shared" ca="1" si="109"/>
        <v>0</v>
      </c>
      <c r="M478" s="15">
        <f t="shared" ca="1" si="110"/>
        <v>386.40000000000003</v>
      </c>
      <c r="N478" s="16">
        <f ca="1">SUM($M$9:M478)/A478</f>
        <v>339.57148936170165</v>
      </c>
    </row>
    <row r="479" spans="1:14" x14ac:dyDescent="0.25">
      <c r="A479" s="8">
        <v>471</v>
      </c>
      <c r="B479" s="9">
        <f t="shared" ca="1" si="103"/>
        <v>1932</v>
      </c>
      <c r="C479" s="10">
        <f t="shared" ca="1" si="104"/>
        <v>0</v>
      </c>
      <c r="D479" s="11">
        <f t="shared" ca="1" si="99"/>
        <v>0.83093525325128637</v>
      </c>
      <c r="E479" s="9">
        <f t="shared" ca="1" si="100"/>
        <v>447</v>
      </c>
      <c r="F479" s="9">
        <f t="shared" ca="1" si="102"/>
        <v>1485</v>
      </c>
      <c r="G479" s="12" t="str">
        <f t="shared" ca="1" si="105"/>
        <v>No</v>
      </c>
      <c r="H479" s="12">
        <f t="shared" ca="1" si="101"/>
        <v>0</v>
      </c>
      <c r="I479" s="10">
        <f t="shared" ca="1" si="106"/>
        <v>0</v>
      </c>
      <c r="J479" s="13">
        <f t="shared" ca="1" si="107"/>
        <v>0</v>
      </c>
      <c r="K479" s="14">
        <f t="shared" ca="1" si="108"/>
        <v>297</v>
      </c>
      <c r="L479" s="14">
        <f t="shared" ca="1" si="109"/>
        <v>0</v>
      </c>
      <c r="M479" s="15">
        <f t="shared" ca="1" si="110"/>
        <v>297</v>
      </c>
      <c r="N479" s="16">
        <f ca="1">SUM($M$9:M479)/A479</f>
        <v>339.48110403396981</v>
      </c>
    </row>
    <row r="480" spans="1:14" x14ac:dyDescent="0.25">
      <c r="A480" s="8">
        <v>472</v>
      </c>
      <c r="B480" s="9">
        <f t="shared" ca="1" si="103"/>
        <v>1485</v>
      </c>
      <c r="C480" s="10">
        <f t="shared" ca="1" si="104"/>
        <v>0</v>
      </c>
      <c r="D480" s="11">
        <f t="shared" ca="1" si="99"/>
        <v>0.13146813912248501</v>
      </c>
      <c r="E480" s="9">
        <f t="shared" ca="1" si="100"/>
        <v>344</v>
      </c>
      <c r="F480" s="9">
        <f t="shared" ca="1" si="102"/>
        <v>1141</v>
      </c>
      <c r="G480" s="12" t="str">
        <f t="shared" ca="1" si="105"/>
        <v>No</v>
      </c>
      <c r="H480" s="12">
        <f t="shared" ca="1" si="101"/>
        <v>0</v>
      </c>
      <c r="I480" s="10">
        <f t="shared" ca="1" si="106"/>
        <v>0</v>
      </c>
      <c r="J480" s="13">
        <f t="shared" ca="1" si="107"/>
        <v>0</v>
      </c>
      <c r="K480" s="14">
        <f t="shared" ca="1" si="108"/>
        <v>228.20000000000002</v>
      </c>
      <c r="L480" s="14">
        <f t="shared" ca="1" si="109"/>
        <v>0</v>
      </c>
      <c r="M480" s="15">
        <f t="shared" ca="1" si="110"/>
        <v>228.20000000000002</v>
      </c>
      <c r="N480" s="16">
        <f ca="1">SUM($M$9:M480)/A480</f>
        <v>339.24533898305037</v>
      </c>
    </row>
    <row r="481" spans="1:14" x14ac:dyDescent="0.25">
      <c r="A481" s="8">
        <v>473</v>
      </c>
      <c r="B481" s="9">
        <f t="shared" ca="1" si="103"/>
        <v>1141</v>
      </c>
      <c r="C481" s="10">
        <f t="shared" ca="1" si="104"/>
        <v>0</v>
      </c>
      <c r="D481" s="11">
        <f t="shared" ca="1" si="99"/>
        <v>0.27621036242861585</v>
      </c>
      <c r="E481" s="9">
        <f t="shared" ca="1" si="100"/>
        <v>370</v>
      </c>
      <c r="F481" s="9">
        <f t="shared" ca="1" si="102"/>
        <v>771</v>
      </c>
      <c r="G481" s="12" t="str">
        <f t="shared" ca="1" si="105"/>
        <v>Yes</v>
      </c>
      <c r="H481" s="12">
        <f t="shared" ca="1" si="101"/>
        <v>0.82737297081660732</v>
      </c>
      <c r="I481" s="10">
        <f t="shared" ca="1" si="106"/>
        <v>2</v>
      </c>
      <c r="J481" s="13">
        <f t="shared" ca="1" si="107"/>
        <v>300</v>
      </c>
      <c r="K481" s="14">
        <f t="shared" ca="1" si="108"/>
        <v>154.20000000000002</v>
      </c>
      <c r="L481" s="14">
        <f t="shared" ca="1" si="109"/>
        <v>0</v>
      </c>
      <c r="M481" s="15">
        <f t="shared" ca="1" si="110"/>
        <v>454.20000000000005</v>
      </c>
      <c r="N481" s="16">
        <f ca="1">SUM($M$9:M481)/A481</f>
        <v>339.4883720930228</v>
      </c>
    </row>
    <row r="482" spans="1:14" x14ac:dyDescent="0.25">
      <c r="A482" s="8">
        <v>474</v>
      </c>
      <c r="B482" s="9">
        <f t="shared" ca="1" si="103"/>
        <v>771</v>
      </c>
      <c r="C482" s="10">
        <f t="shared" ca="1" si="104"/>
        <v>0</v>
      </c>
      <c r="D482" s="11">
        <f t="shared" ca="1" si="99"/>
        <v>0.96857304078818762</v>
      </c>
      <c r="E482" s="9">
        <f t="shared" ca="1" si="100"/>
        <v>493</v>
      </c>
      <c r="F482" s="9">
        <f t="shared" ca="1" si="102"/>
        <v>278</v>
      </c>
      <c r="G482" s="12" t="str">
        <f t="shared" ca="1" si="105"/>
        <v>No</v>
      </c>
      <c r="H482" s="12">
        <f t="shared" ca="1" si="101"/>
        <v>0</v>
      </c>
      <c r="I482" s="10">
        <f t="shared" ca="1" si="106"/>
        <v>1</v>
      </c>
      <c r="J482" s="13">
        <f t="shared" ca="1" si="107"/>
        <v>0</v>
      </c>
      <c r="K482" s="14">
        <f t="shared" ca="1" si="108"/>
        <v>55.6</v>
      </c>
      <c r="L482" s="14">
        <f t="shared" ca="1" si="109"/>
        <v>0</v>
      </c>
      <c r="M482" s="15">
        <f t="shared" ca="1" si="110"/>
        <v>55.6</v>
      </c>
      <c r="N482" s="16">
        <f ca="1">SUM($M$9:M482)/A482</f>
        <v>338.88945147679283</v>
      </c>
    </row>
    <row r="483" spans="1:14" x14ac:dyDescent="0.25">
      <c r="A483" s="8">
        <v>475</v>
      </c>
      <c r="B483" s="9">
        <f t="shared" ca="1" si="103"/>
        <v>2078</v>
      </c>
      <c r="C483" s="10">
        <f t="shared" ca="1" si="104"/>
        <v>1800</v>
      </c>
      <c r="D483" s="11">
        <f t="shared" ca="1" si="99"/>
        <v>0.29852572387321741</v>
      </c>
      <c r="E483" s="9">
        <f t="shared" ca="1" si="100"/>
        <v>373</v>
      </c>
      <c r="F483" s="9">
        <f t="shared" ca="1" si="102"/>
        <v>1705</v>
      </c>
      <c r="G483" s="12" t="str">
        <f t="shared" ca="1" si="105"/>
        <v>No</v>
      </c>
      <c r="H483" s="12">
        <f t="shared" ca="1" si="101"/>
        <v>0</v>
      </c>
      <c r="I483" s="10">
        <f t="shared" ca="1" si="106"/>
        <v>0</v>
      </c>
      <c r="J483" s="13">
        <f t="shared" ca="1" si="107"/>
        <v>0</v>
      </c>
      <c r="K483" s="14">
        <f t="shared" ca="1" si="108"/>
        <v>341</v>
      </c>
      <c r="L483" s="14">
        <f t="shared" ca="1" si="109"/>
        <v>0</v>
      </c>
      <c r="M483" s="15">
        <f t="shared" ca="1" si="110"/>
        <v>341</v>
      </c>
      <c r="N483" s="16">
        <f ca="1">SUM($M$9:M483)/A483</f>
        <v>338.89389473684167</v>
      </c>
    </row>
    <row r="484" spans="1:14" x14ac:dyDescent="0.25">
      <c r="A484" s="8">
        <v>476</v>
      </c>
      <c r="B484" s="9">
        <f t="shared" ca="1" si="103"/>
        <v>1705</v>
      </c>
      <c r="C484" s="10">
        <f t="shared" ca="1" si="104"/>
        <v>0</v>
      </c>
      <c r="D484" s="11">
        <f t="shared" ca="1" si="99"/>
        <v>0.20428527469172497</v>
      </c>
      <c r="E484" s="9">
        <f t="shared" ca="1" si="100"/>
        <v>358</v>
      </c>
      <c r="F484" s="9">
        <f t="shared" ca="1" si="102"/>
        <v>1347</v>
      </c>
      <c r="G484" s="12" t="str">
        <f t="shared" ca="1" si="105"/>
        <v>No</v>
      </c>
      <c r="H484" s="12">
        <f t="shared" ca="1" si="101"/>
        <v>0</v>
      </c>
      <c r="I484" s="10">
        <f t="shared" ca="1" si="106"/>
        <v>0</v>
      </c>
      <c r="J484" s="13">
        <f t="shared" ca="1" si="107"/>
        <v>0</v>
      </c>
      <c r="K484" s="14">
        <f t="shared" ca="1" si="108"/>
        <v>269.40000000000003</v>
      </c>
      <c r="L484" s="14">
        <f t="shared" ca="1" si="109"/>
        <v>0</v>
      </c>
      <c r="M484" s="15">
        <f t="shared" ca="1" si="110"/>
        <v>269.40000000000003</v>
      </c>
      <c r="N484" s="16">
        <f ca="1">SUM($M$9:M484)/A484</f>
        <v>338.74789915966346</v>
      </c>
    </row>
    <row r="485" spans="1:14" x14ac:dyDescent="0.25">
      <c r="A485" s="8">
        <v>477</v>
      </c>
      <c r="B485" s="9">
        <f t="shared" ca="1" si="103"/>
        <v>1347</v>
      </c>
      <c r="C485" s="10">
        <f t="shared" ca="1" si="104"/>
        <v>0</v>
      </c>
      <c r="D485" s="11">
        <f t="shared" ca="1" si="99"/>
        <v>0.77818086324525571</v>
      </c>
      <c r="E485" s="9">
        <f t="shared" ca="1" si="100"/>
        <v>438</v>
      </c>
      <c r="F485" s="9">
        <f t="shared" ca="1" si="102"/>
        <v>909</v>
      </c>
      <c r="G485" s="12" t="str">
        <f t="shared" ca="1" si="105"/>
        <v>Yes</v>
      </c>
      <c r="H485" s="12">
        <f t="shared" ca="1" si="101"/>
        <v>0.2666989220878071</v>
      </c>
      <c r="I485" s="10">
        <f t="shared" ca="1" si="106"/>
        <v>1</v>
      </c>
      <c r="J485" s="13">
        <f t="shared" ca="1" si="107"/>
        <v>300</v>
      </c>
      <c r="K485" s="14">
        <f t="shared" ca="1" si="108"/>
        <v>181.8</v>
      </c>
      <c r="L485" s="14">
        <f t="shared" ca="1" si="109"/>
        <v>0</v>
      </c>
      <c r="M485" s="15">
        <f t="shared" ca="1" si="110"/>
        <v>481.8</v>
      </c>
      <c r="N485" s="16">
        <f ca="1">SUM($M$9:M485)/A485</f>
        <v>339.0477987421379</v>
      </c>
    </row>
    <row r="486" spans="1:14" x14ac:dyDescent="0.25">
      <c r="A486" s="8">
        <v>478</v>
      </c>
      <c r="B486" s="9">
        <f t="shared" ca="1" si="103"/>
        <v>2709</v>
      </c>
      <c r="C486" s="10">
        <f t="shared" ca="1" si="104"/>
        <v>1800</v>
      </c>
      <c r="D486" s="11">
        <f t="shared" ca="1" si="99"/>
        <v>0.49955079833801797</v>
      </c>
      <c r="E486" s="9">
        <f t="shared" ca="1" si="100"/>
        <v>399</v>
      </c>
      <c r="F486" s="9">
        <f t="shared" ca="1" si="102"/>
        <v>2310</v>
      </c>
      <c r="G486" s="12" t="str">
        <f t="shared" ca="1" si="105"/>
        <v>No</v>
      </c>
      <c r="H486" s="12">
        <f t="shared" ca="1" si="101"/>
        <v>0</v>
      </c>
      <c r="I486" s="10">
        <f t="shared" ca="1" si="106"/>
        <v>0</v>
      </c>
      <c r="J486" s="13">
        <f t="shared" ca="1" si="107"/>
        <v>0</v>
      </c>
      <c r="K486" s="14">
        <f t="shared" ca="1" si="108"/>
        <v>462</v>
      </c>
      <c r="L486" s="14">
        <f t="shared" ca="1" si="109"/>
        <v>0</v>
      </c>
      <c r="M486" s="15">
        <f t="shared" ca="1" si="110"/>
        <v>462</v>
      </c>
      <c r="N486" s="16">
        <f ca="1">SUM($M$9:M486)/A486</f>
        <v>339.30502092050165</v>
      </c>
    </row>
    <row r="487" spans="1:14" x14ac:dyDescent="0.25">
      <c r="A487" s="8">
        <v>479</v>
      </c>
      <c r="B487" s="9">
        <f t="shared" ca="1" si="103"/>
        <v>2310</v>
      </c>
      <c r="C487" s="10">
        <f t="shared" ca="1" si="104"/>
        <v>0</v>
      </c>
      <c r="D487" s="11">
        <f t="shared" ca="1" si="99"/>
        <v>0.30360013098449201</v>
      </c>
      <c r="E487" s="9">
        <f t="shared" ca="1" si="100"/>
        <v>374</v>
      </c>
      <c r="F487" s="9">
        <f t="shared" ca="1" si="102"/>
        <v>1936</v>
      </c>
      <c r="G487" s="12" t="str">
        <f t="shared" ca="1" si="105"/>
        <v>No</v>
      </c>
      <c r="H487" s="12">
        <f t="shared" ca="1" si="101"/>
        <v>0</v>
      </c>
      <c r="I487" s="10">
        <f t="shared" ca="1" si="106"/>
        <v>0</v>
      </c>
      <c r="J487" s="13">
        <f t="shared" ca="1" si="107"/>
        <v>0</v>
      </c>
      <c r="K487" s="14">
        <f t="shared" ca="1" si="108"/>
        <v>387.20000000000005</v>
      </c>
      <c r="L487" s="14">
        <f t="shared" ca="1" si="109"/>
        <v>0</v>
      </c>
      <c r="M487" s="15">
        <f t="shared" ca="1" si="110"/>
        <v>387.20000000000005</v>
      </c>
      <c r="N487" s="16">
        <f ca="1">SUM($M$9:M487)/A487</f>
        <v>339.40501043841294</v>
      </c>
    </row>
    <row r="488" spans="1:14" x14ac:dyDescent="0.25">
      <c r="A488" s="8">
        <v>480</v>
      </c>
      <c r="B488" s="9">
        <f t="shared" ca="1" si="103"/>
        <v>1936</v>
      </c>
      <c r="C488" s="10">
        <f t="shared" ca="1" si="104"/>
        <v>0</v>
      </c>
      <c r="D488" s="11">
        <f t="shared" ca="1" si="99"/>
        <v>5.4919330438013558E-2</v>
      </c>
      <c r="E488" s="9">
        <f t="shared" ca="1" si="100"/>
        <v>320</v>
      </c>
      <c r="F488" s="9">
        <f t="shared" ca="1" si="102"/>
        <v>1616</v>
      </c>
      <c r="G488" s="12" t="str">
        <f t="shared" ca="1" si="105"/>
        <v>No</v>
      </c>
      <c r="H488" s="12">
        <f t="shared" ca="1" si="101"/>
        <v>0</v>
      </c>
      <c r="I488" s="10">
        <f t="shared" ca="1" si="106"/>
        <v>0</v>
      </c>
      <c r="J488" s="13">
        <f t="shared" ca="1" si="107"/>
        <v>0</v>
      </c>
      <c r="K488" s="14">
        <f t="shared" ca="1" si="108"/>
        <v>323.20000000000005</v>
      </c>
      <c r="L488" s="14">
        <f t="shared" ca="1" si="109"/>
        <v>0</v>
      </c>
      <c r="M488" s="15">
        <f t="shared" ca="1" si="110"/>
        <v>323.20000000000005</v>
      </c>
      <c r="N488" s="16">
        <f ca="1">SUM($M$9:M488)/A488</f>
        <v>339.37124999999958</v>
      </c>
    </row>
    <row r="489" spans="1:14" x14ac:dyDescent="0.25">
      <c r="A489" s="8">
        <v>481</v>
      </c>
      <c r="B489" s="9">
        <f t="shared" ca="1" si="103"/>
        <v>1616</v>
      </c>
      <c r="C489" s="10">
        <f t="shared" ca="1" si="104"/>
        <v>0</v>
      </c>
      <c r="D489" s="11">
        <f t="shared" ca="1" si="99"/>
        <v>0.21472097632176934</v>
      </c>
      <c r="E489" s="9">
        <f t="shared" ca="1" si="100"/>
        <v>360</v>
      </c>
      <c r="F489" s="9">
        <f t="shared" ca="1" si="102"/>
        <v>1256</v>
      </c>
      <c r="G489" s="12" t="str">
        <f t="shared" ca="1" si="105"/>
        <v>No</v>
      </c>
      <c r="H489" s="12">
        <f t="shared" ca="1" si="101"/>
        <v>0</v>
      </c>
      <c r="I489" s="10">
        <f t="shared" ca="1" si="106"/>
        <v>0</v>
      </c>
      <c r="J489" s="13">
        <f t="shared" ca="1" si="107"/>
        <v>0</v>
      </c>
      <c r="K489" s="14">
        <f t="shared" ca="1" si="108"/>
        <v>251.20000000000002</v>
      </c>
      <c r="L489" s="14">
        <f t="shared" ca="1" si="109"/>
        <v>0</v>
      </c>
      <c r="M489" s="15">
        <f t="shared" ca="1" si="110"/>
        <v>251.20000000000002</v>
      </c>
      <c r="N489" s="16">
        <f ca="1">SUM($M$9:M489)/A489</f>
        <v>339.18794178794144</v>
      </c>
    </row>
    <row r="490" spans="1:14" x14ac:dyDescent="0.25">
      <c r="A490" s="8">
        <v>482</v>
      </c>
      <c r="B490" s="9">
        <f t="shared" ca="1" si="103"/>
        <v>1256</v>
      </c>
      <c r="C490" s="10">
        <f t="shared" ca="1" si="104"/>
        <v>0</v>
      </c>
      <c r="D490" s="11">
        <f t="shared" ca="1" si="99"/>
        <v>0.34628796237605441</v>
      </c>
      <c r="E490" s="9">
        <f t="shared" ca="1" si="100"/>
        <v>380</v>
      </c>
      <c r="F490" s="9">
        <f t="shared" ca="1" si="102"/>
        <v>876</v>
      </c>
      <c r="G490" s="12" t="str">
        <f t="shared" ca="1" si="105"/>
        <v>Yes</v>
      </c>
      <c r="H490" s="12">
        <f t="shared" ca="1" si="101"/>
        <v>0.83403601445014275</v>
      </c>
      <c r="I490" s="10">
        <f t="shared" ca="1" si="106"/>
        <v>2</v>
      </c>
      <c r="J490" s="13">
        <f t="shared" ca="1" si="107"/>
        <v>300</v>
      </c>
      <c r="K490" s="14">
        <f t="shared" ca="1" si="108"/>
        <v>175.20000000000002</v>
      </c>
      <c r="L490" s="14">
        <f t="shared" ca="1" si="109"/>
        <v>0</v>
      </c>
      <c r="M490" s="15">
        <f t="shared" ca="1" si="110"/>
        <v>475.20000000000005</v>
      </c>
      <c r="N490" s="16">
        <f ca="1">SUM($M$9:M490)/A490</f>
        <v>339.47012448132745</v>
      </c>
    </row>
    <row r="491" spans="1:14" x14ac:dyDescent="0.25">
      <c r="A491" s="8">
        <v>483</v>
      </c>
      <c r="B491" s="9">
        <f t="shared" ca="1" si="103"/>
        <v>876</v>
      </c>
      <c r="C491" s="10">
        <f t="shared" ca="1" si="104"/>
        <v>0</v>
      </c>
      <c r="D491" s="11">
        <f t="shared" ca="1" si="99"/>
        <v>0.80603001883924752</v>
      </c>
      <c r="E491" s="9">
        <f t="shared" ca="1" si="100"/>
        <v>443</v>
      </c>
      <c r="F491" s="9">
        <f t="shared" ca="1" si="102"/>
        <v>433</v>
      </c>
      <c r="G491" s="12" t="str">
        <f t="shared" ca="1" si="105"/>
        <v>No</v>
      </c>
      <c r="H491" s="12">
        <f t="shared" ca="1" si="101"/>
        <v>0</v>
      </c>
      <c r="I491" s="10">
        <f t="shared" ca="1" si="106"/>
        <v>1</v>
      </c>
      <c r="J491" s="13">
        <f t="shared" ca="1" si="107"/>
        <v>0</v>
      </c>
      <c r="K491" s="14">
        <f t="shared" ca="1" si="108"/>
        <v>86.600000000000009</v>
      </c>
      <c r="L491" s="14">
        <f t="shared" ca="1" si="109"/>
        <v>0</v>
      </c>
      <c r="M491" s="15">
        <f t="shared" ca="1" si="110"/>
        <v>86.600000000000009</v>
      </c>
      <c r="N491" s="16">
        <f ca="1">SUM($M$9:M491)/A491</f>
        <v>338.94658385093135</v>
      </c>
    </row>
    <row r="492" spans="1:14" x14ac:dyDescent="0.25">
      <c r="A492" s="8">
        <v>484</v>
      </c>
      <c r="B492" s="9">
        <f t="shared" ca="1" si="103"/>
        <v>2233</v>
      </c>
      <c r="C492" s="10">
        <f t="shared" ca="1" si="104"/>
        <v>1800</v>
      </c>
      <c r="D492" s="11">
        <f t="shared" ca="1" si="99"/>
        <v>0.92255334132770572</v>
      </c>
      <c r="E492" s="9">
        <f t="shared" ca="1" si="100"/>
        <v>471</v>
      </c>
      <c r="F492" s="9">
        <f t="shared" ca="1" si="102"/>
        <v>1762</v>
      </c>
      <c r="G492" s="12" t="str">
        <f t="shared" ca="1" si="105"/>
        <v>No</v>
      </c>
      <c r="H492" s="12">
        <f t="shared" ca="1" si="101"/>
        <v>0</v>
      </c>
      <c r="I492" s="10">
        <f t="shared" ca="1" si="106"/>
        <v>0</v>
      </c>
      <c r="J492" s="13">
        <f t="shared" ca="1" si="107"/>
        <v>0</v>
      </c>
      <c r="K492" s="14">
        <f t="shared" ca="1" si="108"/>
        <v>352.40000000000003</v>
      </c>
      <c r="L492" s="14">
        <f t="shared" ca="1" si="109"/>
        <v>0</v>
      </c>
      <c r="M492" s="15">
        <f t="shared" ca="1" si="110"/>
        <v>352.40000000000003</v>
      </c>
      <c r="N492" s="16">
        <f ca="1">SUM($M$9:M492)/A492</f>
        <v>338.97438016528889</v>
      </c>
    </row>
    <row r="493" spans="1:14" x14ac:dyDescent="0.25">
      <c r="A493" s="8">
        <v>485</v>
      </c>
      <c r="B493" s="9">
        <f t="shared" ca="1" si="103"/>
        <v>1762</v>
      </c>
      <c r="C493" s="10">
        <f t="shared" ca="1" si="104"/>
        <v>0</v>
      </c>
      <c r="D493" s="11">
        <f t="shared" ca="1" si="99"/>
        <v>3.3526827930503655E-2</v>
      </c>
      <c r="E493" s="9">
        <f t="shared" ca="1" si="100"/>
        <v>308</v>
      </c>
      <c r="F493" s="9">
        <f t="shared" ca="1" si="102"/>
        <v>1454</v>
      </c>
      <c r="G493" s="12" t="str">
        <f t="shared" ca="1" si="105"/>
        <v>No</v>
      </c>
      <c r="H493" s="12">
        <f t="shared" ca="1" si="101"/>
        <v>0</v>
      </c>
      <c r="I493" s="10">
        <f t="shared" ca="1" si="106"/>
        <v>0</v>
      </c>
      <c r="J493" s="13">
        <f t="shared" ca="1" si="107"/>
        <v>0</v>
      </c>
      <c r="K493" s="14">
        <f t="shared" ca="1" si="108"/>
        <v>290.8</v>
      </c>
      <c r="L493" s="14">
        <f t="shared" ca="1" si="109"/>
        <v>0</v>
      </c>
      <c r="M493" s="15">
        <f t="shared" ca="1" si="110"/>
        <v>290.8</v>
      </c>
      <c r="N493" s="16">
        <f ca="1">SUM($M$9:M493)/A493</f>
        <v>338.87505154639138</v>
      </c>
    </row>
    <row r="494" spans="1:14" x14ac:dyDescent="0.25">
      <c r="A494" s="8">
        <v>486</v>
      </c>
      <c r="B494" s="9">
        <f t="shared" ca="1" si="103"/>
        <v>1454</v>
      </c>
      <c r="C494" s="10">
        <f t="shared" ca="1" si="104"/>
        <v>0</v>
      </c>
      <c r="D494" s="11">
        <f t="shared" ca="1" si="99"/>
        <v>0.25772134965660132</v>
      </c>
      <c r="E494" s="9">
        <f t="shared" ca="1" si="100"/>
        <v>367</v>
      </c>
      <c r="F494" s="9">
        <f t="shared" ca="1" si="102"/>
        <v>1087</v>
      </c>
      <c r="G494" s="12" t="str">
        <f t="shared" ca="1" si="105"/>
        <v>No</v>
      </c>
      <c r="H494" s="12">
        <f t="shared" ca="1" si="101"/>
        <v>0</v>
      </c>
      <c r="I494" s="10">
        <f t="shared" ca="1" si="106"/>
        <v>0</v>
      </c>
      <c r="J494" s="13">
        <f t="shared" ca="1" si="107"/>
        <v>0</v>
      </c>
      <c r="K494" s="14">
        <f t="shared" ca="1" si="108"/>
        <v>217.4</v>
      </c>
      <c r="L494" s="14">
        <f t="shared" ca="1" si="109"/>
        <v>0</v>
      </c>
      <c r="M494" s="15">
        <f t="shared" ca="1" si="110"/>
        <v>217.4</v>
      </c>
      <c r="N494" s="16">
        <f ca="1">SUM($M$9:M494)/A494</f>
        <v>338.62510288065806</v>
      </c>
    </row>
    <row r="495" spans="1:14" x14ac:dyDescent="0.25">
      <c r="A495" s="8">
        <v>487</v>
      </c>
      <c r="B495" s="9">
        <f t="shared" ca="1" si="103"/>
        <v>1087</v>
      </c>
      <c r="C495" s="10">
        <f t="shared" ca="1" si="104"/>
        <v>0</v>
      </c>
      <c r="D495" s="11">
        <f t="shared" ca="1" si="99"/>
        <v>0.70665819797611418</v>
      </c>
      <c r="E495" s="9">
        <f t="shared" ca="1" si="100"/>
        <v>427</v>
      </c>
      <c r="F495" s="9">
        <f t="shared" ca="1" si="102"/>
        <v>660</v>
      </c>
      <c r="G495" s="12" t="str">
        <f t="shared" ca="1" si="105"/>
        <v>Yes</v>
      </c>
      <c r="H495" s="12">
        <f t="shared" ca="1" si="101"/>
        <v>0.89986035790413965</v>
      </c>
      <c r="I495" s="10">
        <f t="shared" ca="1" si="106"/>
        <v>2</v>
      </c>
      <c r="J495" s="13">
        <f t="shared" ca="1" si="107"/>
        <v>300</v>
      </c>
      <c r="K495" s="14">
        <f t="shared" ca="1" si="108"/>
        <v>132</v>
      </c>
      <c r="L495" s="14">
        <f t="shared" ca="1" si="109"/>
        <v>0</v>
      </c>
      <c r="M495" s="15">
        <f t="shared" ca="1" si="110"/>
        <v>432</v>
      </c>
      <c r="N495" s="16">
        <f ca="1">SUM($M$9:M495)/A495</f>
        <v>338.81683778234049</v>
      </c>
    </row>
    <row r="496" spans="1:14" x14ac:dyDescent="0.25">
      <c r="A496" s="8">
        <v>488</v>
      </c>
      <c r="B496" s="9">
        <f t="shared" ca="1" si="103"/>
        <v>660</v>
      </c>
      <c r="C496" s="10">
        <f t="shared" ca="1" si="104"/>
        <v>0</v>
      </c>
      <c r="D496" s="11">
        <f t="shared" ca="1" si="99"/>
        <v>0.14509921526013281</v>
      </c>
      <c r="E496" s="9">
        <f t="shared" ca="1" si="100"/>
        <v>347</v>
      </c>
      <c r="F496" s="9">
        <f t="shared" ca="1" si="102"/>
        <v>313</v>
      </c>
      <c r="G496" s="12" t="str">
        <f t="shared" ca="1" si="105"/>
        <v>No</v>
      </c>
      <c r="H496" s="12">
        <f t="shared" ca="1" si="101"/>
        <v>0</v>
      </c>
      <c r="I496" s="10">
        <f t="shared" ca="1" si="106"/>
        <v>1</v>
      </c>
      <c r="J496" s="13">
        <f t="shared" ca="1" si="107"/>
        <v>0</v>
      </c>
      <c r="K496" s="14">
        <f t="shared" ca="1" si="108"/>
        <v>62.6</v>
      </c>
      <c r="L496" s="14">
        <f t="shared" ca="1" si="109"/>
        <v>0</v>
      </c>
      <c r="M496" s="15">
        <f t="shared" ca="1" si="110"/>
        <v>62.6</v>
      </c>
      <c r="N496" s="16">
        <f ca="1">SUM($M$9:M496)/A496</f>
        <v>338.25081967213077</v>
      </c>
    </row>
    <row r="497" spans="1:15" x14ac:dyDescent="0.25">
      <c r="A497" s="8">
        <v>489</v>
      </c>
      <c r="B497" s="9">
        <f t="shared" ca="1" si="103"/>
        <v>2113</v>
      </c>
      <c r="C497" s="10">
        <f t="shared" ca="1" si="104"/>
        <v>1800</v>
      </c>
      <c r="D497" s="11">
        <f t="shared" ca="1" si="99"/>
        <v>0.6740302096648576</v>
      </c>
      <c r="E497" s="9">
        <f t="shared" ca="1" si="100"/>
        <v>422</v>
      </c>
      <c r="F497" s="9">
        <f t="shared" ca="1" si="102"/>
        <v>1691</v>
      </c>
      <c r="G497" s="12" t="str">
        <f t="shared" ca="1" si="105"/>
        <v>No</v>
      </c>
      <c r="H497" s="12">
        <f t="shared" ca="1" si="101"/>
        <v>0</v>
      </c>
      <c r="I497" s="10">
        <f t="shared" ca="1" si="106"/>
        <v>0</v>
      </c>
      <c r="J497" s="13">
        <f t="shared" ca="1" si="107"/>
        <v>0</v>
      </c>
      <c r="K497" s="14">
        <f t="shared" ca="1" si="108"/>
        <v>338.20000000000005</v>
      </c>
      <c r="L497" s="14">
        <f t="shared" ca="1" si="109"/>
        <v>0</v>
      </c>
      <c r="M497" s="15">
        <f t="shared" ca="1" si="110"/>
        <v>338.20000000000005</v>
      </c>
      <c r="N497" s="16">
        <f ca="1">SUM($M$9:M497)/A497</f>
        <v>338.25071574642089</v>
      </c>
    </row>
    <row r="498" spans="1:15" x14ac:dyDescent="0.25">
      <c r="A498" s="8">
        <v>490</v>
      </c>
      <c r="B498" s="9">
        <f t="shared" ca="1" si="103"/>
        <v>1691</v>
      </c>
      <c r="C498" s="10">
        <f t="shared" ca="1" si="104"/>
        <v>0</v>
      </c>
      <c r="D498" s="11">
        <f t="shared" ca="1" si="99"/>
        <v>0.4020198304842012</v>
      </c>
      <c r="E498" s="9">
        <f t="shared" ca="1" si="100"/>
        <v>387</v>
      </c>
      <c r="F498" s="9">
        <f t="shared" ca="1" si="102"/>
        <v>1304</v>
      </c>
      <c r="G498" s="12" t="str">
        <f t="shared" ca="1" si="105"/>
        <v>No</v>
      </c>
      <c r="H498" s="12">
        <f t="shared" ca="1" si="101"/>
        <v>0</v>
      </c>
      <c r="I498" s="10">
        <f t="shared" ca="1" si="106"/>
        <v>0</v>
      </c>
      <c r="J498" s="13">
        <f t="shared" ca="1" si="107"/>
        <v>0</v>
      </c>
      <c r="K498" s="14">
        <f t="shared" ca="1" si="108"/>
        <v>260.8</v>
      </c>
      <c r="L498" s="14">
        <f t="shared" ca="1" si="109"/>
        <v>0</v>
      </c>
      <c r="M498" s="15">
        <f t="shared" ca="1" si="110"/>
        <v>260.8</v>
      </c>
      <c r="N498" s="16">
        <f ca="1">SUM($M$9:M498)/A498</f>
        <v>338.0926530612241</v>
      </c>
    </row>
    <row r="499" spans="1:15" x14ac:dyDescent="0.25">
      <c r="A499" s="8">
        <v>491</v>
      </c>
      <c r="B499" s="9">
        <f t="shared" ca="1" si="103"/>
        <v>1304</v>
      </c>
      <c r="C499" s="10">
        <f t="shared" ca="1" si="104"/>
        <v>0</v>
      </c>
      <c r="D499" s="11">
        <f t="shared" ca="1" si="99"/>
        <v>0.23098457134265338</v>
      </c>
      <c r="E499" s="9">
        <f t="shared" ca="1" si="100"/>
        <v>363</v>
      </c>
      <c r="F499" s="9">
        <f t="shared" ca="1" si="102"/>
        <v>941</v>
      </c>
      <c r="G499" s="12" t="str">
        <f t="shared" ca="1" si="105"/>
        <v>Yes</v>
      </c>
      <c r="H499" s="12">
        <f t="shared" ca="1" si="101"/>
        <v>0.90932163826097545</v>
      </c>
      <c r="I499" s="10">
        <f t="shared" ca="1" si="106"/>
        <v>3</v>
      </c>
      <c r="J499" s="13">
        <f t="shared" ca="1" si="107"/>
        <v>300</v>
      </c>
      <c r="K499" s="14">
        <f t="shared" ca="1" si="108"/>
        <v>188.20000000000002</v>
      </c>
      <c r="L499" s="14">
        <f t="shared" ca="1" si="109"/>
        <v>0</v>
      </c>
      <c r="M499" s="15">
        <f t="shared" ca="1" si="110"/>
        <v>488.20000000000005</v>
      </c>
      <c r="N499" s="16">
        <f ca="1">SUM($M$9:M499)/A499</f>
        <v>338.39837067209743</v>
      </c>
    </row>
    <row r="500" spans="1:15" x14ac:dyDescent="0.25">
      <c r="A500" s="8">
        <v>492</v>
      </c>
      <c r="B500" s="9">
        <f t="shared" ca="1" si="103"/>
        <v>941</v>
      </c>
      <c r="C500" s="10">
        <f t="shared" ca="1" si="104"/>
        <v>0</v>
      </c>
      <c r="D500" s="11">
        <f t="shared" ca="1" si="99"/>
        <v>0.83553046166995792</v>
      </c>
      <c r="E500" s="9">
        <f t="shared" ca="1" si="100"/>
        <v>448</v>
      </c>
      <c r="F500" s="9">
        <f t="shared" ca="1" si="102"/>
        <v>493</v>
      </c>
      <c r="G500" s="12" t="str">
        <f t="shared" ca="1" si="105"/>
        <v>No</v>
      </c>
      <c r="H500" s="12">
        <f t="shared" ca="1" si="101"/>
        <v>0</v>
      </c>
      <c r="I500" s="10">
        <f t="shared" ca="1" si="106"/>
        <v>2</v>
      </c>
      <c r="J500" s="13">
        <f t="shared" ca="1" si="107"/>
        <v>0</v>
      </c>
      <c r="K500" s="14">
        <f t="shared" ca="1" si="108"/>
        <v>98.600000000000009</v>
      </c>
      <c r="L500" s="14">
        <f t="shared" ca="1" si="109"/>
        <v>0</v>
      </c>
      <c r="M500" s="15">
        <f t="shared" ca="1" si="110"/>
        <v>98.600000000000009</v>
      </c>
      <c r="N500" s="16">
        <f ca="1">SUM($M$9:M500)/A500</f>
        <v>337.91097560975578</v>
      </c>
    </row>
    <row r="501" spans="1:15" x14ac:dyDescent="0.25">
      <c r="A501" s="8">
        <v>493</v>
      </c>
      <c r="B501" s="9">
        <f t="shared" ca="1" si="103"/>
        <v>493</v>
      </c>
      <c r="C501" s="10">
        <f t="shared" ca="1" si="104"/>
        <v>0</v>
      </c>
      <c r="D501" s="11">
        <f t="shared" ca="1" si="99"/>
        <v>0.52142860798662949</v>
      </c>
      <c r="E501" s="9">
        <f t="shared" ca="1" si="100"/>
        <v>402</v>
      </c>
      <c r="F501" s="9">
        <f t="shared" ca="1" si="102"/>
        <v>91</v>
      </c>
      <c r="G501" s="12" t="str">
        <f t="shared" ca="1" si="105"/>
        <v>No</v>
      </c>
      <c r="H501" s="12">
        <f t="shared" ca="1" si="101"/>
        <v>0</v>
      </c>
      <c r="I501" s="10">
        <f t="shared" ca="1" si="106"/>
        <v>1</v>
      </c>
      <c r="J501" s="13">
        <f t="shared" ca="1" si="107"/>
        <v>0</v>
      </c>
      <c r="K501" s="14">
        <f t="shared" ca="1" si="108"/>
        <v>18.2</v>
      </c>
      <c r="L501" s="14">
        <f t="shared" ca="1" si="109"/>
        <v>0</v>
      </c>
      <c r="M501" s="15">
        <f t="shared" ca="1" si="110"/>
        <v>18.2</v>
      </c>
      <c r="N501" s="16">
        <f ca="1">SUM($M$9:M501)/A501</f>
        <v>337.26247464503012</v>
      </c>
    </row>
    <row r="502" spans="1:15" x14ac:dyDescent="0.25">
      <c r="A502" s="8">
        <v>494</v>
      </c>
      <c r="B502" s="9">
        <f t="shared" ca="1" si="103"/>
        <v>1891</v>
      </c>
      <c r="C502" s="10">
        <f t="shared" ca="1" si="104"/>
        <v>1800</v>
      </c>
      <c r="D502" s="11">
        <f t="shared" ca="1" si="99"/>
        <v>0.36849583438997269</v>
      </c>
      <c r="E502" s="9">
        <f t="shared" ca="1" si="100"/>
        <v>383</v>
      </c>
      <c r="F502" s="9">
        <f t="shared" ca="1" si="102"/>
        <v>1508</v>
      </c>
      <c r="G502" s="12" t="str">
        <f t="shared" ca="1" si="105"/>
        <v>No</v>
      </c>
      <c r="H502" s="12">
        <f t="shared" ca="1" si="101"/>
        <v>0</v>
      </c>
      <c r="I502" s="10">
        <f t="shared" ca="1" si="106"/>
        <v>0</v>
      </c>
      <c r="J502" s="13">
        <f t="shared" ca="1" si="107"/>
        <v>0</v>
      </c>
      <c r="K502" s="14">
        <f t="shared" ca="1" si="108"/>
        <v>301.60000000000002</v>
      </c>
      <c r="L502" s="14">
        <f t="shared" ca="1" si="109"/>
        <v>0</v>
      </c>
      <c r="M502" s="15">
        <f t="shared" ca="1" si="110"/>
        <v>301.60000000000002</v>
      </c>
      <c r="N502" s="16">
        <f ca="1">SUM($M$9:M502)/A502</f>
        <v>337.19028340080945</v>
      </c>
    </row>
    <row r="503" spans="1:15" x14ac:dyDescent="0.25">
      <c r="A503" s="8">
        <v>495</v>
      </c>
      <c r="B503" s="9">
        <f t="shared" ca="1" si="103"/>
        <v>1508</v>
      </c>
      <c r="C503" s="10">
        <f t="shared" ca="1" si="104"/>
        <v>0</v>
      </c>
      <c r="D503" s="11">
        <f t="shared" ca="1" si="99"/>
        <v>0.9328776045830901</v>
      </c>
      <c r="E503" s="9">
        <f t="shared" ca="1" si="100"/>
        <v>474</v>
      </c>
      <c r="F503" s="9">
        <f t="shared" ca="1" si="102"/>
        <v>1034</v>
      </c>
      <c r="G503" s="12" t="str">
        <f t="shared" ca="1" si="105"/>
        <v>No</v>
      </c>
      <c r="H503" s="12">
        <f t="shared" ca="1" si="101"/>
        <v>0</v>
      </c>
      <c r="I503" s="10">
        <f t="shared" ca="1" si="106"/>
        <v>0</v>
      </c>
      <c r="J503" s="13">
        <f t="shared" ca="1" si="107"/>
        <v>0</v>
      </c>
      <c r="K503" s="14">
        <f t="shared" ca="1" si="108"/>
        <v>206.8</v>
      </c>
      <c r="L503" s="14">
        <f t="shared" ca="1" si="109"/>
        <v>0</v>
      </c>
      <c r="M503" s="15">
        <f t="shared" ca="1" si="110"/>
        <v>206.8</v>
      </c>
      <c r="N503" s="16">
        <f ca="1">SUM($M$9:M503)/A503</f>
        <v>336.92686868686837</v>
      </c>
    </row>
    <row r="504" spans="1:15" x14ac:dyDescent="0.25">
      <c r="A504" s="8">
        <v>496</v>
      </c>
      <c r="B504" s="9">
        <f t="shared" ca="1" si="103"/>
        <v>1034</v>
      </c>
      <c r="C504" s="10">
        <f t="shared" ca="1" si="104"/>
        <v>0</v>
      </c>
      <c r="D504" s="11">
        <f t="shared" ca="1" si="99"/>
        <v>0.33648516433146825</v>
      </c>
      <c r="E504" s="9">
        <f t="shared" ca="1" si="100"/>
        <v>378</v>
      </c>
      <c r="F504" s="9">
        <f t="shared" ca="1" si="102"/>
        <v>656</v>
      </c>
      <c r="G504" s="12" t="str">
        <f t="shared" ca="1" si="105"/>
        <v>Yes</v>
      </c>
      <c r="H504" s="12">
        <f t="shared" ca="1" si="101"/>
        <v>0.18958584266787981</v>
      </c>
      <c r="I504" s="10">
        <f t="shared" ca="1" si="106"/>
        <v>1</v>
      </c>
      <c r="J504" s="13">
        <f t="shared" ca="1" si="107"/>
        <v>300</v>
      </c>
      <c r="K504" s="14">
        <f t="shared" ca="1" si="108"/>
        <v>131.20000000000002</v>
      </c>
      <c r="L504" s="14">
        <f t="shared" ca="1" si="109"/>
        <v>0</v>
      </c>
      <c r="M504" s="15">
        <f t="shared" ca="1" si="110"/>
        <v>431.20000000000005</v>
      </c>
      <c r="N504" s="16">
        <f ca="1">SUM($M$9:M504)/A504</f>
        <v>337.11693548387069</v>
      </c>
    </row>
    <row r="505" spans="1:15" x14ac:dyDescent="0.25">
      <c r="A505" s="8">
        <v>497</v>
      </c>
      <c r="B505" s="9">
        <f t="shared" ca="1" si="103"/>
        <v>2456</v>
      </c>
      <c r="C505" s="10">
        <f t="shared" ca="1" si="104"/>
        <v>1800</v>
      </c>
      <c r="D505" s="11">
        <f t="shared" ca="1" si="99"/>
        <v>0.8347161040873704</v>
      </c>
      <c r="E505" s="9">
        <f t="shared" ca="1" si="100"/>
        <v>448</v>
      </c>
      <c r="F505" s="9">
        <f t="shared" ca="1" si="102"/>
        <v>2008</v>
      </c>
      <c r="G505" s="12" t="str">
        <f t="shared" ca="1" si="105"/>
        <v>No</v>
      </c>
      <c r="H505" s="12">
        <f t="shared" ca="1" si="101"/>
        <v>0</v>
      </c>
      <c r="I505" s="10">
        <f t="shared" ca="1" si="106"/>
        <v>0</v>
      </c>
      <c r="J505" s="13">
        <f t="shared" ca="1" si="107"/>
        <v>0</v>
      </c>
      <c r="K505" s="14">
        <f t="shared" ca="1" si="108"/>
        <v>401.6</v>
      </c>
      <c r="L505" s="14">
        <f t="shared" ca="1" si="109"/>
        <v>0</v>
      </c>
      <c r="M505" s="15">
        <f t="shared" ca="1" si="110"/>
        <v>401.6</v>
      </c>
      <c r="N505" s="16">
        <f ca="1">SUM($M$9:M505)/A505</f>
        <v>337.24668008048263</v>
      </c>
    </row>
    <row r="506" spans="1:15" x14ac:dyDescent="0.25">
      <c r="A506" s="8">
        <v>498</v>
      </c>
      <c r="B506" s="9">
        <f t="shared" ca="1" si="103"/>
        <v>2008</v>
      </c>
      <c r="C506" s="10">
        <f t="shared" ca="1" si="104"/>
        <v>0</v>
      </c>
      <c r="D506" s="11">
        <f t="shared" ca="1" si="99"/>
        <v>0.71831024495285989</v>
      </c>
      <c r="E506" s="9">
        <f t="shared" ca="1" si="100"/>
        <v>428</v>
      </c>
      <c r="F506" s="9">
        <f t="shared" ca="1" si="102"/>
        <v>1580</v>
      </c>
      <c r="G506" s="12" t="str">
        <f t="shared" ca="1" si="105"/>
        <v>No</v>
      </c>
      <c r="H506" s="12">
        <f t="shared" ca="1" si="101"/>
        <v>0</v>
      </c>
      <c r="I506" s="10">
        <f t="shared" ca="1" si="106"/>
        <v>0</v>
      </c>
      <c r="J506" s="13">
        <f t="shared" ca="1" si="107"/>
        <v>0</v>
      </c>
      <c r="K506" s="14">
        <f t="shared" ca="1" si="108"/>
        <v>316</v>
      </c>
      <c r="L506" s="14">
        <f t="shared" ca="1" si="109"/>
        <v>0</v>
      </c>
      <c r="M506" s="15">
        <f t="shared" ca="1" si="110"/>
        <v>316</v>
      </c>
      <c r="N506" s="16">
        <f ca="1">SUM($M$9:M506)/A506</f>
        <v>337.20401606425673</v>
      </c>
    </row>
    <row r="507" spans="1:15" x14ac:dyDescent="0.25">
      <c r="A507" s="8">
        <v>499</v>
      </c>
      <c r="B507" s="9">
        <f t="shared" ca="1" si="103"/>
        <v>1580</v>
      </c>
      <c r="C507" s="10">
        <f t="shared" ca="1" si="104"/>
        <v>0</v>
      </c>
      <c r="D507" s="11">
        <f t="shared" ca="1" si="99"/>
        <v>0.54400139342415099</v>
      </c>
      <c r="E507" s="9">
        <f t="shared" ca="1" si="100"/>
        <v>405</v>
      </c>
      <c r="F507" s="9">
        <f t="shared" ca="1" si="102"/>
        <v>1175</v>
      </c>
      <c r="G507" s="12" t="str">
        <f t="shared" ca="1" si="105"/>
        <v>No</v>
      </c>
      <c r="H507" s="12">
        <f t="shared" ca="1" si="101"/>
        <v>0</v>
      </c>
      <c r="I507" s="10">
        <f t="shared" ca="1" si="106"/>
        <v>0</v>
      </c>
      <c r="J507" s="13">
        <f t="shared" ca="1" si="107"/>
        <v>0</v>
      </c>
      <c r="K507" s="14">
        <f t="shared" ca="1" si="108"/>
        <v>235</v>
      </c>
      <c r="L507" s="14">
        <f t="shared" ca="1" si="109"/>
        <v>0</v>
      </c>
      <c r="M507" s="15">
        <f t="shared" ca="1" si="110"/>
        <v>235</v>
      </c>
      <c r="N507" s="16">
        <f ca="1">SUM($M$9:M507)/A507</f>
        <v>336.9991983967933</v>
      </c>
    </row>
    <row r="508" spans="1:15" x14ac:dyDescent="0.25">
      <c r="A508" s="8">
        <v>500</v>
      </c>
      <c r="B508" s="9">
        <f t="shared" ca="1" si="103"/>
        <v>1175</v>
      </c>
      <c r="C508" s="10">
        <f t="shared" ca="1" si="104"/>
        <v>0</v>
      </c>
      <c r="D508" s="11">
        <f t="shared" ca="1" si="99"/>
        <v>3.7824841706362244E-2</v>
      </c>
      <c r="E508" s="9">
        <f t="shared" ca="1" si="100"/>
        <v>311</v>
      </c>
      <c r="F508" s="9">
        <f t="shared" ca="1" si="102"/>
        <v>864</v>
      </c>
      <c r="G508" s="12" t="str">
        <f t="shared" ca="1" si="105"/>
        <v>Yes</v>
      </c>
      <c r="H508" s="12">
        <f t="shared" ca="1" si="101"/>
        <v>0.89247619466713468</v>
      </c>
      <c r="I508" s="10">
        <f t="shared" ca="1" si="106"/>
        <v>2</v>
      </c>
      <c r="J508" s="13">
        <f t="shared" ca="1" si="107"/>
        <v>300</v>
      </c>
      <c r="K508" s="14">
        <f t="shared" ca="1" si="108"/>
        <v>172.8</v>
      </c>
      <c r="L508" s="14">
        <f t="shared" ca="1" si="109"/>
        <v>0</v>
      </c>
      <c r="M508" s="15">
        <f t="shared" ca="1" si="110"/>
        <v>472.8</v>
      </c>
      <c r="N508" s="16">
        <f ca="1">SUM($M$9:M508)/A508</f>
        <v>337.27079999999972</v>
      </c>
    </row>
    <row r="509" spans="1:15" s="6" customFormat="1" x14ac:dyDescent="0.25">
      <c r="A509" s="8">
        <v>501</v>
      </c>
      <c r="B509" s="9">
        <f t="shared" ref="B509:B572" ca="1" si="111">IF(I508=1,F508+Quantity,F508)</f>
        <v>864</v>
      </c>
      <c r="C509" s="10">
        <f t="shared" ref="C509:C572" ca="1" si="112">IF(I508=1,Quantity,0)</f>
        <v>0</v>
      </c>
      <c r="D509" s="11">
        <f t="shared" ca="1" si="99"/>
        <v>0.51188749671362566</v>
      </c>
      <c r="E509" s="9">
        <f t="shared" ca="1" si="100"/>
        <v>401</v>
      </c>
      <c r="F509" s="9">
        <f t="shared" ref="F509:F572" ca="1" si="113">IF(B509+C509-E509&lt;0,0,B509-E509)</f>
        <v>463</v>
      </c>
      <c r="G509" s="12" t="str">
        <f t="shared" ref="G509:G572" ca="1" si="114">IF(B509&lt;Point,IF(I508=0,"Yes","No"),"No")</f>
        <v>No</v>
      </c>
      <c r="H509" s="12">
        <f t="shared" ca="1" si="101"/>
        <v>0</v>
      </c>
      <c r="I509" s="10">
        <f t="shared" ref="I509:I572" ca="1" si="115">IF(I508&gt;0,I508-1,(IF(G509="Yes",(VLOOKUP(H509,LTD,3)),0)))</f>
        <v>1</v>
      </c>
      <c r="J509" s="13">
        <f t="shared" ref="J509:J572" ca="1" si="116">IF(G509="Yes",Order_Cost,0)</f>
        <v>0</v>
      </c>
      <c r="K509" s="14">
        <f t="shared" ref="K509:K572" ca="1" si="117">F509*Holding_Cost</f>
        <v>92.600000000000009</v>
      </c>
      <c r="L509" s="14">
        <f t="shared" ref="L509:L572" ca="1" si="118">IF(B509+C509&lt;E509,Shortage_Cost*(E509-B509-C509),0)</f>
        <v>0</v>
      </c>
      <c r="M509" s="15">
        <f t="shared" ref="M509:M572" ca="1" si="119">SUM(J509:L509)</f>
        <v>92.600000000000009</v>
      </c>
      <c r="N509" s="16">
        <f ca="1">SUM($M$9:M509)/A509</f>
        <v>336.78243512974024</v>
      </c>
    </row>
    <row r="510" spans="1:15" x14ac:dyDescent="0.25">
      <c r="A510" s="8">
        <v>502</v>
      </c>
      <c r="B510" s="9">
        <f t="shared" ca="1" si="111"/>
        <v>2263</v>
      </c>
      <c r="C510" s="10">
        <f t="shared" ca="1" si="112"/>
        <v>1800</v>
      </c>
      <c r="D510" s="11">
        <f t="shared" ca="1" si="99"/>
        <v>0.10578163861582324</v>
      </c>
      <c r="E510" s="9">
        <f t="shared" ca="1" si="100"/>
        <v>337</v>
      </c>
      <c r="F510" s="9">
        <f t="shared" ca="1" si="113"/>
        <v>1926</v>
      </c>
      <c r="G510" s="12" t="str">
        <f t="shared" ca="1" si="114"/>
        <v>No</v>
      </c>
      <c r="H510" s="12">
        <f t="shared" ca="1" si="101"/>
        <v>0</v>
      </c>
      <c r="I510" s="10">
        <f t="shared" ca="1" si="115"/>
        <v>0</v>
      </c>
      <c r="J510" s="13">
        <f t="shared" ca="1" si="116"/>
        <v>0</v>
      </c>
      <c r="K510" s="14">
        <f t="shared" ca="1" si="117"/>
        <v>385.20000000000005</v>
      </c>
      <c r="L510" s="14">
        <f t="shared" ca="1" si="118"/>
        <v>0</v>
      </c>
      <c r="M510" s="15">
        <f t="shared" ca="1" si="119"/>
        <v>385.20000000000005</v>
      </c>
      <c r="N510" s="16">
        <f ca="1">SUM($M$9:M510)/A510</f>
        <v>336.87888446215112</v>
      </c>
      <c r="O510" s="6"/>
    </row>
    <row r="511" spans="1:15" x14ac:dyDescent="0.25">
      <c r="A511" s="8">
        <v>503</v>
      </c>
      <c r="B511" s="9">
        <f t="shared" ca="1" si="111"/>
        <v>1926</v>
      </c>
      <c r="C511" s="10">
        <f t="shared" ca="1" si="112"/>
        <v>0</v>
      </c>
      <c r="D511" s="11">
        <f t="shared" ca="1" si="99"/>
        <v>7.102564141150014E-2</v>
      </c>
      <c r="E511" s="9">
        <f t="shared" ca="1" si="100"/>
        <v>326</v>
      </c>
      <c r="F511" s="9">
        <f t="shared" ca="1" si="113"/>
        <v>1600</v>
      </c>
      <c r="G511" s="12" t="str">
        <f t="shared" ca="1" si="114"/>
        <v>No</v>
      </c>
      <c r="H511" s="12">
        <f t="shared" ca="1" si="101"/>
        <v>0</v>
      </c>
      <c r="I511" s="10">
        <f t="shared" ca="1" si="115"/>
        <v>0</v>
      </c>
      <c r="J511" s="13">
        <f t="shared" ca="1" si="116"/>
        <v>0</v>
      </c>
      <c r="K511" s="14">
        <f t="shared" ca="1" si="117"/>
        <v>320</v>
      </c>
      <c r="L511" s="14">
        <f t="shared" ca="1" si="118"/>
        <v>0</v>
      </c>
      <c r="M511" s="15">
        <f t="shared" ca="1" si="119"/>
        <v>320</v>
      </c>
      <c r="N511" s="16">
        <f ca="1">SUM($M$9:M511)/A511</f>
        <v>336.84532803180889</v>
      </c>
      <c r="O511" s="6"/>
    </row>
    <row r="512" spans="1:15" x14ac:dyDescent="0.25">
      <c r="A512" s="8">
        <v>504</v>
      </c>
      <c r="B512" s="9">
        <f t="shared" ca="1" si="111"/>
        <v>1600</v>
      </c>
      <c r="C512" s="10">
        <f t="shared" ca="1" si="112"/>
        <v>0</v>
      </c>
      <c r="D512" s="11">
        <f t="shared" ca="1" si="99"/>
        <v>0.92048028139267468</v>
      </c>
      <c r="E512" s="9">
        <f t="shared" ca="1" si="100"/>
        <v>470</v>
      </c>
      <c r="F512" s="9">
        <f t="shared" ca="1" si="113"/>
        <v>1130</v>
      </c>
      <c r="G512" s="12" t="str">
        <f t="shared" ca="1" si="114"/>
        <v>No</v>
      </c>
      <c r="H512" s="12">
        <f t="shared" ca="1" si="101"/>
        <v>0</v>
      </c>
      <c r="I512" s="10">
        <f t="shared" ca="1" si="115"/>
        <v>0</v>
      </c>
      <c r="J512" s="13">
        <f t="shared" ca="1" si="116"/>
        <v>0</v>
      </c>
      <c r="K512" s="14">
        <f t="shared" ca="1" si="117"/>
        <v>226</v>
      </c>
      <c r="L512" s="14">
        <f t="shared" ca="1" si="118"/>
        <v>0</v>
      </c>
      <c r="M512" s="15">
        <f t="shared" ca="1" si="119"/>
        <v>226</v>
      </c>
      <c r="N512" s="16">
        <f ca="1">SUM($M$9:M512)/A512</f>
        <v>336.62539682539654</v>
      </c>
      <c r="O512" s="6"/>
    </row>
    <row r="513" spans="1:15" x14ac:dyDescent="0.25">
      <c r="A513" s="8">
        <v>505</v>
      </c>
      <c r="B513" s="9">
        <f t="shared" ca="1" si="111"/>
        <v>1130</v>
      </c>
      <c r="C513" s="10">
        <f t="shared" ca="1" si="112"/>
        <v>0</v>
      </c>
      <c r="D513" s="11">
        <f t="shared" ca="1" si="99"/>
        <v>0.72141371319807968</v>
      </c>
      <c r="E513" s="9">
        <f t="shared" ca="1" si="100"/>
        <v>429</v>
      </c>
      <c r="F513" s="9">
        <f t="shared" ca="1" si="113"/>
        <v>701</v>
      </c>
      <c r="G513" s="12" t="str">
        <f t="shared" ca="1" si="114"/>
        <v>Yes</v>
      </c>
      <c r="H513" s="12">
        <f t="shared" ca="1" si="101"/>
        <v>0.88221000405107686</v>
      </c>
      <c r="I513" s="10">
        <f t="shared" ca="1" si="115"/>
        <v>2</v>
      </c>
      <c r="J513" s="13">
        <f t="shared" ca="1" si="116"/>
        <v>300</v>
      </c>
      <c r="K513" s="14">
        <f t="shared" ca="1" si="117"/>
        <v>140.20000000000002</v>
      </c>
      <c r="L513" s="14">
        <f t="shared" ca="1" si="118"/>
        <v>0</v>
      </c>
      <c r="M513" s="15">
        <f t="shared" ca="1" si="119"/>
        <v>440.20000000000005</v>
      </c>
      <c r="N513" s="16">
        <f ca="1">SUM($M$9:M513)/A513</f>
        <v>336.83049504950469</v>
      </c>
      <c r="O513" s="6"/>
    </row>
    <row r="514" spans="1:15" x14ac:dyDescent="0.25">
      <c r="A514" s="8">
        <v>506</v>
      </c>
      <c r="B514" s="9">
        <f t="shared" ca="1" si="111"/>
        <v>701</v>
      </c>
      <c r="C514" s="10">
        <f t="shared" ca="1" si="112"/>
        <v>0</v>
      </c>
      <c r="D514" s="11">
        <f t="shared" ca="1" si="99"/>
        <v>0.64787130989363173</v>
      </c>
      <c r="E514" s="9">
        <f t="shared" ca="1" si="100"/>
        <v>418</v>
      </c>
      <c r="F514" s="9">
        <f t="shared" ca="1" si="113"/>
        <v>283</v>
      </c>
      <c r="G514" s="12" t="str">
        <f t="shared" ca="1" si="114"/>
        <v>No</v>
      </c>
      <c r="H514" s="12">
        <f t="shared" ca="1" si="101"/>
        <v>0</v>
      </c>
      <c r="I514" s="10">
        <f t="shared" ca="1" si="115"/>
        <v>1</v>
      </c>
      <c r="J514" s="13">
        <f t="shared" ca="1" si="116"/>
        <v>0</v>
      </c>
      <c r="K514" s="14">
        <f t="shared" ca="1" si="117"/>
        <v>56.6</v>
      </c>
      <c r="L514" s="14">
        <f t="shared" ca="1" si="118"/>
        <v>0</v>
      </c>
      <c r="M514" s="15">
        <f t="shared" ca="1" si="119"/>
        <v>56.6</v>
      </c>
      <c r="N514" s="16">
        <f ca="1">SUM($M$9:M514)/A514</f>
        <v>336.27667984189702</v>
      </c>
      <c r="O514" s="6"/>
    </row>
    <row r="515" spans="1:15" x14ac:dyDescent="0.25">
      <c r="A515" s="8">
        <v>507</v>
      </c>
      <c r="B515" s="9">
        <f t="shared" ca="1" si="111"/>
        <v>2083</v>
      </c>
      <c r="C515" s="10">
        <f t="shared" ca="1" si="112"/>
        <v>1800</v>
      </c>
      <c r="D515" s="11">
        <f t="shared" ca="1" si="99"/>
        <v>0.7788011309795041</v>
      </c>
      <c r="E515" s="9">
        <f t="shared" ca="1" si="100"/>
        <v>438</v>
      </c>
      <c r="F515" s="9">
        <f t="shared" ca="1" si="113"/>
        <v>1645</v>
      </c>
      <c r="G515" s="12" t="str">
        <f t="shared" ca="1" si="114"/>
        <v>No</v>
      </c>
      <c r="H515" s="12">
        <f t="shared" ca="1" si="101"/>
        <v>0</v>
      </c>
      <c r="I515" s="10">
        <f t="shared" ca="1" si="115"/>
        <v>0</v>
      </c>
      <c r="J515" s="13">
        <f t="shared" ca="1" si="116"/>
        <v>0</v>
      </c>
      <c r="K515" s="14">
        <f t="shared" ca="1" si="117"/>
        <v>329</v>
      </c>
      <c r="L515" s="14">
        <f t="shared" ca="1" si="118"/>
        <v>0</v>
      </c>
      <c r="M515" s="15">
        <f t="shared" ca="1" si="119"/>
        <v>329</v>
      </c>
      <c r="N515" s="16">
        <f ca="1">SUM($M$9:M515)/A515</f>
        <v>336.26232741617332</v>
      </c>
      <c r="O515" s="6"/>
    </row>
    <row r="516" spans="1:15" x14ac:dyDescent="0.25">
      <c r="A516" s="8">
        <v>508</v>
      </c>
      <c r="B516" s="9">
        <f t="shared" ca="1" si="111"/>
        <v>1645</v>
      </c>
      <c r="C516" s="10">
        <f t="shared" ca="1" si="112"/>
        <v>0</v>
      </c>
      <c r="D516" s="11">
        <f t="shared" ca="1" si="99"/>
        <v>0.95743061097875826</v>
      </c>
      <c r="E516" s="9">
        <f t="shared" ca="1" si="100"/>
        <v>486</v>
      </c>
      <c r="F516" s="9">
        <f t="shared" ca="1" si="113"/>
        <v>1159</v>
      </c>
      <c r="G516" s="12" t="str">
        <f t="shared" ca="1" si="114"/>
        <v>No</v>
      </c>
      <c r="H516" s="12">
        <f t="shared" ca="1" si="101"/>
        <v>0</v>
      </c>
      <c r="I516" s="10">
        <f t="shared" ca="1" si="115"/>
        <v>0</v>
      </c>
      <c r="J516" s="13">
        <f t="shared" ca="1" si="116"/>
        <v>0</v>
      </c>
      <c r="K516" s="14">
        <f t="shared" ca="1" si="117"/>
        <v>231.8</v>
      </c>
      <c r="L516" s="14">
        <f t="shared" ca="1" si="118"/>
        <v>0</v>
      </c>
      <c r="M516" s="15">
        <f t="shared" ca="1" si="119"/>
        <v>231.8</v>
      </c>
      <c r="N516" s="16">
        <f ca="1">SUM($M$9:M516)/A516</f>
        <v>336.05669291338558</v>
      </c>
      <c r="O516" s="6"/>
    </row>
    <row r="517" spans="1:15" x14ac:dyDescent="0.25">
      <c r="A517" s="8">
        <v>509</v>
      </c>
      <c r="B517" s="9">
        <f t="shared" ca="1" si="111"/>
        <v>1159</v>
      </c>
      <c r="C517" s="10">
        <f t="shared" ca="1" si="112"/>
        <v>0</v>
      </c>
      <c r="D517" s="11">
        <f t="shared" ca="1" si="99"/>
        <v>0.87758284446397261</v>
      </c>
      <c r="E517" s="9">
        <f t="shared" ca="1" si="100"/>
        <v>458</v>
      </c>
      <c r="F517" s="9">
        <f t="shared" ca="1" si="113"/>
        <v>701</v>
      </c>
      <c r="G517" s="12" t="str">
        <f t="shared" ca="1" si="114"/>
        <v>Yes</v>
      </c>
      <c r="H517" s="12">
        <f t="shared" ca="1" si="101"/>
        <v>0.63051676871250228</v>
      </c>
      <c r="I517" s="10">
        <f t="shared" ca="1" si="115"/>
        <v>1</v>
      </c>
      <c r="J517" s="13">
        <f t="shared" ca="1" si="116"/>
        <v>300</v>
      </c>
      <c r="K517" s="14">
        <f t="shared" ca="1" si="117"/>
        <v>140.20000000000002</v>
      </c>
      <c r="L517" s="14">
        <f t="shared" ca="1" si="118"/>
        <v>0</v>
      </c>
      <c r="M517" s="15">
        <f t="shared" ca="1" si="119"/>
        <v>440.20000000000005</v>
      </c>
      <c r="N517" s="16">
        <f ca="1">SUM($M$9:M517)/A517</f>
        <v>336.26129666011764</v>
      </c>
      <c r="O517" s="6"/>
    </row>
    <row r="518" spans="1:15" x14ac:dyDescent="0.25">
      <c r="A518" s="8">
        <v>510</v>
      </c>
      <c r="B518" s="9">
        <f t="shared" ca="1" si="111"/>
        <v>2501</v>
      </c>
      <c r="C518" s="10">
        <f t="shared" ca="1" si="112"/>
        <v>1800</v>
      </c>
      <c r="D518" s="11">
        <f t="shared" ca="1" si="99"/>
        <v>0.99059575011978174</v>
      </c>
      <c r="E518" s="9">
        <f t="shared" ca="1" si="100"/>
        <v>517</v>
      </c>
      <c r="F518" s="9">
        <f t="shared" ca="1" si="113"/>
        <v>1984</v>
      </c>
      <c r="G518" s="12" t="str">
        <f t="shared" ca="1" si="114"/>
        <v>No</v>
      </c>
      <c r="H518" s="12">
        <f t="shared" ca="1" si="101"/>
        <v>0</v>
      </c>
      <c r="I518" s="10">
        <f t="shared" ca="1" si="115"/>
        <v>0</v>
      </c>
      <c r="J518" s="13">
        <f t="shared" ca="1" si="116"/>
        <v>0</v>
      </c>
      <c r="K518" s="14">
        <f t="shared" ca="1" si="117"/>
        <v>396.8</v>
      </c>
      <c r="L518" s="14">
        <f t="shared" ca="1" si="118"/>
        <v>0</v>
      </c>
      <c r="M518" s="15">
        <f t="shared" ca="1" si="119"/>
        <v>396.8</v>
      </c>
      <c r="N518" s="16">
        <f ca="1">SUM($M$9:M518)/A518</f>
        <v>336.37999999999977</v>
      </c>
      <c r="O518" s="6"/>
    </row>
    <row r="519" spans="1:15" x14ac:dyDescent="0.25">
      <c r="A519" s="8">
        <v>511</v>
      </c>
      <c r="B519" s="9">
        <f t="shared" ca="1" si="111"/>
        <v>1984</v>
      </c>
      <c r="C519" s="10">
        <f t="shared" ca="1" si="112"/>
        <v>0</v>
      </c>
      <c r="D519" s="11">
        <f t="shared" ca="1" si="99"/>
        <v>0.34779343573617538</v>
      </c>
      <c r="E519" s="9">
        <f t="shared" ca="1" si="100"/>
        <v>380</v>
      </c>
      <c r="F519" s="9">
        <f t="shared" ca="1" si="113"/>
        <v>1604</v>
      </c>
      <c r="G519" s="12" t="str">
        <f t="shared" ca="1" si="114"/>
        <v>No</v>
      </c>
      <c r="H519" s="12">
        <f t="shared" ca="1" si="101"/>
        <v>0</v>
      </c>
      <c r="I519" s="10">
        <f t="shared" ca="1" si="115"/>
        <v>0</v>
      </c>
      <c r="J519" s="13">
        <f t="shared" ca="1" si="116"/>
        <v>0</v>
      </c>
      <c r="K519" s="14">
        <f t="shared" ca="1" si="117"/>
        <v>320.8</v>
      </c>
      <c r="L519" s="14">
        <f t="shared" ca="1" si="118"/>
        <v>0</v>
      </c>
      <c r="M519" s="15">
        <f t="shared" ca="1" si="119"/>
        <v>320.8</v>
      </c>
      <c r="N519" s="16">
        <f ca="1">SUM($M$9:M519)/A519</f>
        <v>336.34951076320914</v>
      </c>
      <c r="O519" s="6"/>
    </row>
    <row r="520" spans="1:15" x14ac:dyDescent="0.25">
      <c r="A520" s="8">
        <v>512</v>
      </c>
      <c r="B520" s="9">
        <f t="shared" ca="1" si="111"/>
        <v>1604</v>
      </c>
      <c r="C520" s="10">
        <f t="shared" ca="1" si="112"/>
        <v>0</v>
      </c>
      <c r="D520" s="11">
        <f t="shared" ca="1" si="99"/>
        <v>0.6895132939456925</v>
      </c>
      <c r="E520" s="9">
        <f t="shared" ca="1" si="100"/>
        <v>424</v>
      </c>
      <c r="F520" s="9">
        <f t="shared" ca="1" si="113"/>
        <v>1180</v>
      </c>
      <c r="G520" s="12" t="str">
        <f t="shared" ca="1" si="114"/>
        <v>No</v>
      </c>
      <c r="H520" s="12">
        <f t="shared" ca="1" si="101"/>
        <v>0</v>
      </c>
      <c r="I520" s="10">
        <f t="shared" ca="1" si="115"/>
        <v>0</v>
      </c>
      <c r="J520" s="13">
        <f t="shared" ca="1" si="116"/>
        <v>0</v>
      </c>
      <c r="K520" s="14">
        <f t="shared" ca="1" si="117"/>
        <v>236</v>
      </c>
      <c r="L520" s="14">
        <f t="shared" ca="1" si="118"/>
        <v>0</v>
      </c>
      <c r="M520" s="15">
        <f t="shared" ca="1" si="119"/>
        <v>236</v>
      </c>
      <c r="N520" s="16">
        <f ca="1">SUM($M$9:M520)/A520</f>
        <v>336.15351562499973</v>
      </c>
      <c r="O520" s="6"/>
    </row>
    <row r="521" spans="1:15" x14ac:dyDescent="0.25">
      <c r="A521" s="8">
        <v>513</v>
      </c>
      <c r="B521" s="9">
        <f t="shared" ca="1" si="111"/>
        <v>1180</v>
      </c>
      <c r="C521" s="10">
        <f t="shared" ca="1" si="112"/>
        <v>0</v>
      </c>
      <c r="D521" s="11">
        <f t="shared" ca="1" si="99"/>
        <v>9.8963525615217041E-2</v>
      </c>
      <c r="E521" s="9">
        <f t="shared" ca="1" si="100"/>
        <v>335</v>
      </c>
      <c r="F521" s="9">
        <f t="shared" ca="1" si="113"/>
        <v>845</v>
      </c>
      <c r="G521" s="12" t="str">
        <f t="shared" ca="1" si="114"/>
        <v>Yes</v>
      </c>
      <c r="H521" s="12">
        <f t="shared" ca="1" si="101"/>
        <v>0.90009105554884217</v>
      </c>
      <c r="I521" s="10">
        <f t="shared" ca="1" si="115"/>
        <v>3</v>
      </c>
      <c r="J521" s="13">
        <f t="shared" ca="1" si="116"/>
        <v>300</v>
      </c>
      <c r="K521" s="14">
        <f t="shared" ca="1" si="117"/>
        <v>169</v>
      </c>
      <c r="L521" s="14">
        <f t="shared" ca="1" si="118"/>
        <v>0</v>
      </c>
      <c r="M521" s="15">
        <f t="shared" ca="1" si="119"/>
        <v>469</v>
      </c>
      <c r="N521" s="16">
        <f ca="1">SUM($M$9:M521)/A521</f>
        <v>336.412475633528</v>
      </c>
      <c r="O521" s="6"/>
    </row>
    <row r="522" spans="1:15" x14ac:dyDescent="0.25">
      <c r="A522" s="8">
        <v>514</v>
      </c>
      <c r="B522" s="9">
        <f t="shared" ca="1" si="111"/>
        <v>845</v>
      </c>
      <c r="C522" s="10">
        <f t="shared" ca="1" si="112"/>
        <v>0</v>
      </c>
      <c r="D522" s="11">
        <f t="shared" ref="D522:D585" ca="1" si="120">RAND()</f>
        <v>0.47809534739699522</v>
      </c>
      <c r="E522" s="9">
        <f t="shared" ref="E522:E585" ca="1" si="121">INT(NORMINV(D522,D_Mean,D_StdDev))</f>
        <v>397</v>
      </c>
      <c r="F522" s="9">
        <f t="shared" ca="1" si="113"/>
        <v>448</v>
      </c>
      <c r="G522" s="12" t="str">
        <f t="shared" ca="1" si="114"/>
        <v>No</v>
      </c>
      <c r="H522" s="12">
        <f t="shared" ref="H522:H585" ca="1" si="122">IF(G522="Yes",RAND(),0)</f>
        <v>0</v>
      </c>
      <c r="I522" s="10">
        <f t="shared" ca="1" si="115"/>
        <v>2</v>
      </c>
      <c r="J522" s="13">
        <f t="shared" ca="1" si="116"/>
        <v>0</v>
      </c>
      <c r="K522" s="14">
        <f t="shared" ca="1" si="117"/>
        <v>89.600000000000009</v>
      </c>
      <c r="L522" s="14">
        <f t="shared" ca="1" si="118"/>
        <v>0</v>
      </c>
      <c r="M522" s="15">
        <f t="shared" ca="1" si="119"/>
        <v>89.600000000000009</v>
      </c>
      <c r="N522" s="16">
        <f ca="1">SUM($M$9:M522)/A522</f>
        <v>335.93229571984409</v>
      </c>
      <c r="O522" s="6"/>
    </row>
    <row r="523" spans="1:15" x14ac:dyDescent="0.25">
      <c r="A523" s="8">
        <v>515</v>
      </c>
      <c r="B523" s="9">
        <f t="shared" ca="1" si="111"/>
        <v>448</v>
      </c>
      <c r="C523" s="10">
        <f t="shared" ca="1" si="112"/>
        <v>0</v>
      </c>
      <c r="D523" s="11">
        <f t="shared" ca="1" si="120"/>
        <v>0.42313903772018613</v>
      </c>
      <c r="E523" s="9">
        <f t="shared" ca="1" si="121"/>
        <v>390</v>
      </c>
      <c r="F523" s="9">
        <f t="shared" ca="1" si="113"/>
        <v>58</v>
      </c>
      <c r="G523" s="12" t="str">
        <f t="shared" ca="1" si="114"/>
        <v>No</v>
      </c>
      <c r="H523" s="12">
        <f t="shared" ca="1" si="122"/>
        <v>0</v>
      </c>
      <c r="I523" s="10">
        <f t="shared" ca="1" si="115"/>
        <v>1</v>
      </c>
      <c r="J523" s="13">
        <f t="shared" ca="1" si="116"/>
        <v>0</v>
      </c>
      <c r="K523" s="14">
        <f t="shared" ca="1" si="117"/>
        <v>11.600000000000001</v>
      </c>
      <c r="L523" s="14">
        <f t="shared" ca="1" si="118"/>
        <v>0</v>
      </c>
      <c r="M523" s="15">
        <f t="shared" ca="1" si="119"/>
        <v>11.600000000000001</v>
      </c>
      <c r="N523" s="16">
        <f ca="1">SUM($M$9:M523)/A523</f>
        <v>335.30252427184439</v>
      </c>
      <c r="O523" s="6"/>
    </row>
    <row r="524" spans="1:15" x14ac:dyDescent="0.25">
      <c r="A524" s="8">
        <v>516</v>
      </c>
      <c r="B524" s="9">
        <f t="shared" ca="1" si="111"/>
        <v>1858</v>
      </c>
      <c r="C524" s="10">
        <f t="shared" ca="1" si="112"/>
        <v>1800</v>
      </c>
      <c r="D524" s="11">
        <f t="shared" ca="1" si="120"/>
        <v>0.10154286567275528</v>
      </c>
      <c r="E524" s="9">
        <f t="shared" ca="1" si="121"/>
        <v>336</v>
      </c>
      <c r="F524" s="9">
        <f t="shared" ca="1" si="113"/>
        <v>1522</v>
      </c>
      <c r="G524" s="12" t="str">
        <f t="shared" ca="1" si="114"/>
        <v>No</v>
      </c>
      <c r="H524" s="12">
        <f t="shared" ca="1" si="122"/>
        <v>0</v>
      </c>
      <c r="I524" s="10">
        <f t="shared" ca="1" si="115"/>
        <v>0</v>
      </c>
      <c r="J524" s="13">
        <f t="shared" ca="1" si="116"/>
        <v>0</v>
      </c>
      <c r="K524" s="14">
        <f t="shared" ca="1" si="117"/>
        <v>304.40000000000003</v>
      </c>
      <c r="L524" s="14">
        <f t="shared" ca="1" si="118"/>
        <v>0</v>
      </c>
      <c r="M524" s="15">
        <f t="shared" ca="1" si="119"/>
        <v>304.40000000000003</v>
      </c>
      <c r="N524" s="16">
        <f ca="1">SUM($M$9:M524)/A524</f>
        <v>335.24263565891448</v>
      </c>
      <c r="O524" s="6"/>
    </row>
    <row r="525" spans="1:15" x14ac:dyDescent="0.25">
      <c r="A525" s="8">
        <v>517</v>
      </c>
      <c r="B525" s="9">
        <f t="shared" ca="1" si="111"/>
        <v>1522</v>
      </c>
      <c r="C525" s="10">
        <f t="shared" ca="1" si="112"/>
        <v>0</v>
      </c>
      <c r="D525" s="11">
        <f t="shared" ca="1" si="120"/>
        <v>0.72836926160013493</v>
      </c>
      <c r="E525" s="9">
        <f t="shared" ca="1" si="121"/>
        <v>430</v>
      </c>
      <c r="F525" s="9">
        <f t="shared" ca="1" si="113"/>
        <v>1092</v>
      </c>
      <c r="G525" s="12" t="str">
        <f t="shared" ca="1" si="114"/>
        <v>No</v>
      </c>
      <c r="H525" s="12">
        <f t="shared" ca="1" si="122"/>
        <v>0</v>
      </c>
      <c r="I525" s="10">
        <f t="shared" ca="1" si="115"/>
        <v>0</v>
      </c>
      <c r="J525" s="13">
        <f t="shared" ca="1" si="116"/>
        <v>0</v>
      </c>
      <c r="K525" s="14">
        <f t="shared" ca="1" si="117"/>
        <v>218.4</v>
      </c>
      <c r="L525" s="14">
        <f t="shared" ca="1" si="118"/>
        <v>0</v>
      </c>
      <c r="M525" s="15">
        <f t="shared" ca="1" si="119"/>
        <v>218.4</v>
      </c>
      <c r="N525" s="16">
        <f ca="1">SUM($M$9:M525)/A525</f>
        <v>335.01663442940014</v>
      </c>
      <c r="O525" s="6"/>
    </row>
    <row r="526" spans="1:15" x14ac:dyDescent="0.25">
      <c r="A526" s="8">
        <v>518</v>
      </c>
      <c r="B526" s="9">
        <f t="shared" ca="1" si="111"/>
        <v>1092</v>
      </c>
      <c r="C526" s="10">
        <f t="shared" ca="1" si="112"/>
        <v>0</v>
      </c>
      <c r="D526" s="11">
        <f t="shared" ca="1" si="120"/>
        <v>0.66366741572440668</v>
      </c>
      <c r="E526" s="9">
        <f t="shared" ca="1" si="121"/>
        <v>421</v>
      </c>
      <c r="F526" s="9">
        <f t="shared" ca="1" si="113"/>
        <v>671</v>
      </c>
      <c r="G526" s="12" t="str">
        <f t="shared" ca="1" si="114"/>
        <v>Yes</v>
      </c>
      <c r="H526" s="12">
        <f t="shared" ca="1" si="122"/>
        <v>2.5077314556848362E-2</v>
      </c>
      <c r="I526" s="10">
        <f t="shared" ca="1" si="115"/>
        <v>1</v>
      </c>
      <c r="J526" s="13">
        <f t="shared" ca="1" si="116"/>
        <v>300</v>
      </c>
      <c r="K526" s="14">
        <f t="shared" ca="1" si="117"/>
        <v>134.20000000000002</v>
      </c>
      <c r="L526" s="14">
        <f t="shared" ca="1" si="118"/>
        <v>0</v>
      </c>
      <c r="M526" s="15">
        <f t="shared" ca="1" si="119"/>
        <v>434.20000000000005</v>
      </c>
      <c r="N526" s="16">
        <f ca="1">SUM($M$9:M526)/A526</f>
        <v>335.20810810810787</v>
      </c>
      <c r="O526" s="6"/>
    </row>
    <row r="527" spans="1:15" x14ac:dyDescent="0.25">
      <c r="A527" s="8">
        <v>519</v>
      </c>
      <c r="B527" s="9">
        <f t="shared" ca="1" si="111"/>
        <v>2471</v>
      </c>
      <c r="C527" s="10">
        <f t="shared" ca="1" si="112"/>
        <v>1800</v>
      </c>
      <c r="D527" s="11">
        <f t="shared" ca="1" si="120"/>
        <v>0.87237672001415179</v>
      </c>
      <c r="E527" s="9">
        <f t="shared" ca="1" si="121"/>
        <v>456</v>
      </c>
      <c r="F527" s="9">
        <f t="shared" ca="1" si="113"/>
        <v>2015</v>
      </c>
      <c r="G527" s="12" t="str">
        <f t="shared" ca="1" si="114"/>
        <v>No</v>
      </c>
      <c r="H527" s="12">
        <f t="shared" ca="1" si="122"/>
        <v>0</v>
      </c>
      <c r="I527" s="10">
        <f t="shared" ca="1" si="115"/>
        <v>0</v>
      </c>
      <c r="J527" s="13">
        <f t="shared" ca="1" si="116"/>
        <v>0</v>
      </c>
      <c r="K527" s="14">
        <f t="shared" ca="1" si="117"/>
        <v>403</v>
      </c>
      <c r="L527" s="14">
        <f t="shared" ca="1" si="118"/>
        <v>0</v>
      </c>
      <c r="M527" s="15">
        <f t="shared" ca="1" si="119"/>
        <v>403</v>
      </c>
      <c r="N527" s="16">
        <f ca="1">SUM($M$9:M527)/A527</f>
        <v>335.33872832369917</v>
      </c>
      <c r="O527" s="6"/>
    </row>
    <row r="528" spans="1:15" x14ac:dyDescent="0.25">
      <c r="A528" s="8">
        <v>520</v>
      </c>
      <c r="B528" s="9">
        <f t="shared" ca="1" si="111"/>
        <v>2015</v>
      </c>
      <c r="C528" s="10">
        <f t="shared" ca="1" si="112"/>
        <v>0</v>
      </c>
      <c r="D528" s="11">
        <f t="shared" ca="1" si="120"/>
        <v>0.21823937036723662</v>
      </c>
      <c r="E528" s="9">
        <f t="shared" ca="1" si="121"/>
        <v>361</v>
      </c>
      <c r="F528" s="9">
        <f t="shared" ca="1" si="113"/>
        <v>1654</v>
      </c>
      <c r="G528" s="12" t="str">
        <f t="shared" ca="1" si="114"/>
        <v>No</v>
      </c>
      <c r="H528" s="12">
        <f t="shared" ca="1" si="122"/>
        <v>0</v>
      </c>
      <c r="I528" s="10">
        <f t="shared" ca="1" si="115"/>
        <v>0</v>
      </c>
      <c r="J528" s="13">
        <f t="shared" ca="1" si="116"/>
        <v>0</v>
      </c>
      <c r="K528" s="14">
        <f t="shared" ca="1" si="117"/>
        <v>330.8</v>
      </c>
      <c r="L528" s="14">
        <f t="shared" ca="1" si="118"/>
        <v>0</v>
      </c>
      <c r="M528" s="15">
        <f t="shared" ca="1" si="119"/>
        <v>330.8</v>
      </c>
      <c r="N528" s="16">
        <f ca="1">SUM($M$9:M528)/A528</f>
        <v>335.32999999999976</v>
      </c>
      <c r="O528" s="6"/>
    </row>
    <row r="529" spans="1:15" x14ac:dyDescent="0.25">
      <c r="A529" s="8">
        <v>521</v>
      </c>
      <c r="B529" s="9">
        <f t="shared" ca="1" si="111"/>
        <v>1654</v>
      </c>
      <c r="C529" s="10">
        <f t="shared" ca="1" si="112"/>
        <v>0</v>
      </c>
      <c r="D529" s="11">
        <f t="shared" ca="1" si="120"/>
        <v>0.53719514074654673</v>
      </c>
      <c r="E529" s="9">
        <f t="shared" ca="1" si="121"/>
        <v>404</v>
      </c>
      <c r="F529" s="9">
        <f t="shared" ca="1" si="113"/>
        <v>1250</v>
      </c>
      <c r="G529" s="12" t="str">
        <f t="shared" ca="1" si="114"/>
        <v>No</v>
      </c>
      <c r="H529" s="12">
        <f t="shared" ca="1" si="122"/>
        <v>0</v>
      </c>
      <c r="I529" s="10">
        <f t="shared" ca="1" si="115"/>
        <v>0</v>
      </c>
      <c r="J529" s="13">
        <f t="shared" ca="1" si="116"/>
        <v>0</v>
      </c>
      <c r="K529" s="14">
        <f t="shared" ca="1" si="117"/>
        <v>250</v>
      </c>
      <c r="L529" s="14">
        <f t="shared" ca="1" si="118"/>
        <v>0</v>
      </c>
      <c r="M529" s="15">
        <f t="shared" ca="1" si="119"/>
        <v>250</v>
      </c>
      <c r="N529" s="16">
        <f ca="1">SUM($M$9:M529)/A529</f>
        <v>335.16621880998053</v>
      </c>
      <c r="O529" s="6"/>
    </row>
    <row r="530" spans="1:15" x14ac:dyDescent="0.25">
      <c r="A530" s="8">
        <v>522</v>
      </c>
      <c r="B530" s="9">
        <f t="shared" ca="1" si="111"/>
        <v>1250</v>
      </c>
      <c r="C530" s="10">
        <f t="shared" ca="1" si="112"/>
        <v>0</v>
      </c>
      <c r="D530" s="11">
        <f t="shared" ca="1" si="120"/>
        <v>0.69804249543004548</v>
      </c>
      <c r="E530" s="9">
        <f t="shared" ca="1" si="121"/>
        <v>425</v>
      </c>
      <c r="F530" s="9">
        <f t="shared" ca="1" si="113"/>
        <v>825</v>
      </c>
      <c r="G530" s="12" t="str">
        <f t="shared" ca="1" si="114"/>
        <v>Yes</v>
      </c>
      <c r="H530" s="12">
        <f t="shared" ca="1" si="122"/>
        <v>0.56659722056870432</v>
      </c>
      <c r="I530" s="10">
        <f t="shared" ca="1" si="115"/>
        <v>1</v>
      </c>
      <c r="J530" s="13">
        <f t="shared" ca="1" si="116"/>
        <v>300</v>
      </c>
      <c r="K530" s="14">
        <f t="shared" ca="1" si="117"/>
        <v>165</v>
      </c>
      <c r="L530" s="14">
        <f t="shared" ca="1" si="118"/>
        <v>0</v>
      </c>
      <c r="M530" s="15">
        <f t="shared" ca="1" si="119"/>
        <v>465</v>
      </c>
      <c r="N530" s="16">
        <f ca="1">SUM($M$9:M530)/A530</f>
        <v>335.41494252873537</v>
      </c>
      <c r="O530" s="6"/>
    </row>
    <row r="531" spans="1:15" x14ac:dyDescent="0.25">
      <c r="A531" s="8">
        <v>523</v>
      </c>
      <c r="B531" s="9">
        <f t="shared" ca="1" si="111"/>
        <v>2625</v>
      </c>
      <c r="C531" s="10">
        <f t="shared" ca="1" si="112"/>
        <v>1800</v>
      </c>
      <c r="D531" s="11">
        <f t="shared" ca="1" si="120"/>
        <v>0.71606146204362231</v>
      </c>
      <c r="E531" s="9">
        <f t="shared" ca="1" si="121"/>
        <v>428</v>
      </c>
      <c r="F531" s="9">
        <f t="shared" ca="1" si="113"/>
        <v>2197</v>
      </c>
      <c r="G531" s="12" t="str">
        <f t="shared" ca="1" si="114"/>
        <v>No</v>
      </c>
      <c r="H531" s="12">
        <f t="shared" ca="1" si="122"/>
        <v>0</v>
      </c>
      <c r="I531" s="10">
        <f t="shared" ca="1" si="115"/>
        <v>0</v>
      </c>
      <c r="J531" s="13">
        <f t="shared" ca="1" si="116"/>
        <v>0</v>
      </c>
      <c r="K531" s="14">
        <f t="shared" ca="1" si="117"/>
        <v>439.40000000000003</v>
      </c>
      <c r="L531" s="14">
        <f t="shared" ca="1" si="118"/>
        <v>0</v>
      </c>
      <c r="M531" s="15">
        <f t="shared" ca="1" si="119"/>
        <v>439.40000000000003</v>
      </c>
      <c r="N531" s="16">
        <f ca="1">SUM($M$9:M531)/A531</f>
        <v>335.61376673040127</v>
      </c>
      <c r="O531" s="6"/>
    </row>
    <row r="532" spans="1:15" x14ac:dyDescent="0.25">
      <c r="A532" s="8">
        <v>524</v>
      </c>
      <c r="B532" s="9">
        <f t="shared" ca="1" si="111"/>
        <v>2197</v>
      </c>
      <c r="C532" s="10">
        <f t="shared" ca="1" si="112"/>
        <v>0</v>
      </c>
      <c r="D532" s="11">
        <f t="shared" ca="1" si="120"/>
        <v>0.80768953350063355</v>
      </c>
      <c r="E532" s="9">
        <f t="shared" ca="1" si="121"/>
        <v>443</v>
      </c>
      <c r="F532" s="9">
        <f t="shared" ca="1" si="113"/>
        <v>1754</v>
      </c>
      <c r="G532" s="12" t="str">
        <f t="shared" ca="1" si="114"/>
        <v>No</v>
      </c>
      <c r="H532" s="12">
        <f t="shared" ca="1" si="122"/>
        <v>0</v>
      </c>
      <c r="I532" s="10">
        <f t="shared" ca="1" si="115"/>
        <v>0</v>
      </c>
      <c r="J532" s="13">
        <f t="shared" ca="1" si="116"/>
        <v>0</v>
      </c>
      <c r="K532" s="14">
        <f t="shared" ca="1" si="117"/>
        <v>350.8</v>
      </c>
      <c r="L532" s="14">
        <f t="shared" ca="1" si="118"/>
        <v>0</v>
      </c>
      <c r="M532" s="15">
        <f t="shared" ca="1" si="119"/>
        <v>350.8</v>
      </c>
      <c r="N532" s="16">
        <f ca="1">SUM($M$9:M532)/A532</f>
        <v>335.64274809160275</v>
      </c>
      <c r="O532" s="6"/>
    </row>
    <row r="533" spans="1:15" x14ac:dyDescent="0.25">
      <c r="A533" s="8">
        <v>525</v>
      </c>
      <c r="B533" s="9">
        <f t="shared" ca="1" si="111"/>
        <v>1754</v>
      </c>
      <c r="C533" s="10">
        <f t="shared" ca="1" si="112"/>
        <v>0</v>
      </c>
      <c r="D533" s="11">
        <f t="shared" ca="1" si="120"/>
        <v>2.3700500575907002E-2</v>
      </c>
      <c r="E533" s="9">
        <f t="shared" ca="1" si="121"/>
        <v>300</v>
      </c>
      <c r="F533" s="9">
        <f t="shared" ca="1" si="113"/>
        <v>1454</v>
      </c>
      <c r="G533" s="12" t="str">
        <f t="shared" ca="1" si="114"/>
        <v>No</v>
      </c>
      <c r="H533" s="12">
        <f t="shared" ca="1" si="122"/>
        <v>0</v>
      </c>
      <c r="I533" s="10">
        <f t="shared" ca="1" si="115"/>
        <v>0</v>
      </c>
      <c r="J533" s="13">
        <f t="shared" ca="1" si="116"/>
        <v>0</v>
      </c>
      <c r="K533" s="14">
        <f t="shared" ca="1" si="117"/>
        <v>290.8</v>
      </c>
      <c r="L533" s="14">
        <f t="shared" ca="1" si="118"/>
        <v>0</v>
      </c>
      <c r="M533" s="15">
        <f t="shared" ca="1" si="119"/>
        <v>290.8</v>
      </c>
      <c r="N533" s="16">
        <f ca="1">SUM($M$9:M533)/A533</f>
        <v>335.55733333333302</v>
      </c>
      <c r="O533" s="6"/>
    </row>
    <row r="534" spans="1:15" x14ac:dyDescent="0.25">
      <c r="A534" s="8">
        <v>526</v>
      </c>
      <c r="B534" s="9">
        <f t="shared" ca="1" si="111"/>
        <v>1454</v>
      </c>
      <c r="C534" s="10">
        <f t="shared" ca="1" si="112"/>
        <v>0</v>
      </c>
      <c r="D534" s="11">
        <f t="shared" ca="1" si="120"/>
        <v>0.13378876555517338</v>
      </c>
      <c r="E534" s="9">
        <f t="shared" ca="1" si="121"/>
        <v>344</v>
      </c>
      <c r="F534" s="9">
        <f t="shared" ca="1" si="113"/>
        <v>1110</v>
      </c>
      <c r="G534" s="12" t="str">
        <f t="shared" ca="1" si="114"/>
        <v>No</v>
      </c>
      <c r="H534" s="12">
        <f t="shared" ca="1" si="122"/>
        <v>0</v>
      </c>
      <c r="I534" s="10">
        <f t="shared" ca="1" si="115"/>
        <v>0</v>
      </c>
      <c r="J534" s="13">
        <f t="shared" ca="1" si="116"/>
        <v>0</v>
      </c>
      <c r="K534" s="14">
        <f t="shared" ca="1" si="117"/>
        <v>222</v>
      </c>
      <c r="L534" s="14">
        <f t="shared" ca="1" si="118"/>
        <v>0</v>
      </c>
      <c r="M534" s="15">
        <f t="shared" ca="1" si="119"/>
        <v>222</v>
      </c>
      <c r="N534" s="16">
        <f ca="1">SUM($M$9:M534)/A534</f>
        <v>335.34144486691986</v>
      </c>
      <c r="O534" s="6"/>
    </row>
    <row r="535" spans="1:15" x14ac:dyDescent="0.25">
      <c r="A535" s="8">
        <v>527</v>
      </c>
      <c r="B535" s="9">
        <f t="shared" ca="1" si="111"/>
        <v>1110</v>
      </c>
      <c r="C535" s="10">
        <f t="shared" ca="1" si="112"/>
        <v>0</v>
      </c>
      <c r="D535" s="11">
        <f t="shared" ca="1" si="120"/>
        <v>0.8636999942330873</v>
      </c>
      <c r="E535" s="9">
        <f t="shared" ca="1" si="121"/>
        <v>454</v>
      </c>
      <c r="F535" s="9">
        <f t="shared" ca="1" si="113"/>
        <v>656</v>
      </c>
      <c r="G535" s="12" t="str">
        <f t="shared" ca="1" si="114"/>
        <v>Yes</v>
      </c>
      <c r="H535" s="12">
        <f t="shared" ca="1" si="122"/>
        <v>0.69049649371239352</v>
      </c>
      <c r="I535" s="10">
        <f t="shared" ca="1" si="115"/>
        <v>1</v>
      </c>
      <c r="J535" s="13">
        <f t="shared" ca="1" si="116"/>
        <v>300</v>
      </c>
      <c r="K535" s="14">
        <f t="shared" ca="1" si="117"/>
        <v>131.20000000000002</v>
      </c>
      <c r="L535" s="14">
        <f t="shared" ca="1" si="118"/>
        <v>0</v>
      </c>
      <c r="M535" s="15">
        <f t="shared" ca="1" si="119"/>
        <v>431.20000000000005</v>
      </c>
      <c r="N535" s="16">
        <f ca="1">SUM($M$9:M535)/A535</f>
        <v>335.52333965844372</v>
      </c>
      <c r="O535" s="6"/>
    </row>
    <row r="536" spans="1:15" x14ac:dyDescent="0.25">
      <c r="A536" s="8">
        <v>528</v>
      </c>
      <c r="B536" s="9">
        <f t="shared" ca="1" si="111"/>
        <v>2456</v>
      </c>
      <c r="C536" s="10">
        <f t="shared" ca="1" si="112"/>
        <v>1800</v>
      </c>
      <c r="D536" s="11">
        <f t="shared" ca="1" si="120"/>
        <v>0.89102582126529273</v>
      </c>
      <c r="E536" s="9">
        <f t="shared" ca="1" si="121"/>
        <v>461</v>
      </c>
      <c r="F536" s="9">
        <f t="shared" ca="1" si="113"/>
        <v>1995</v>
      </c>
      <c r="G536" s="12" t="str">
        <f t="shared" ca="1" si="114"/>
        <v>No</v>
      </c>
      <c r="H536" s="12">
        <f t="shared" ca="1" si="122"/>
        <v>0</v>
      </c>
      <c r="I536" s="10">
        <f t="shared" ca="1" si="115"/>
        <v>0</v>
      </c>
      <c r="J536" s="13">
        <f t="shared" ca="1" si="116"/>
        <v>0</v>
      </c>
      <c r="K536" s="14">
        <f t="shared" ca="1" si="117"/>
        <v>399</v>
      </c>
      <c r="L536" s="14">
        <f t="shared" ca="1" si="118"/>
        <v>0</v>
      </c>
      <c r="M536" s="15">
        <f t="shared" ca="1" si="119"/>
        <v>399</v>
      </c>
      <c r="N536" s="16">
        <f ca="1">SUM($M$9:M536)/A536</f>
        <v>335.6435606060603</v>
      </c>
      <c r="O536" s="6"/>
    </row>
    <row r="537" spans="1:15" x14ac:dyDescent="0.25">
      <c r="A537" s="8">
        <v>529</v>
      </c>
      <c r="B537" s="9">
        <f t="shared" ca="1" si="111"/>
        <v>1995</v>
      </c>
      <c r="C537" s="10">
        <f t="shared" ca="1" si="112"/>
        <v>0</v>
      </c>
      <c r="D537" s="11">
        <f t="shared" ca="1" si="120"/>
        <v>0.27663846647560109</v>
      </c>
      <c r="E537" s="9">
        <f t="shared" ca="1" si="121"/>
        <v>370</v>
      </c>
      <c r="F537" s="9">
        <f t="shared" ca="1" si="113"/>
        <v>1625</v>
      </c>
      <c r="G537" s="12" t="str">
        <f t="shared" ca="1" si="114"/>
        <v>No</v>
      </c>
      <c r="H537" s="12">
        <f t="shared" ca="1" si="122"/>
        <v>0</v>
      </c>
      <c r="I537" s="10">
        <f t="shared" ca="1" si="115"/>
        <v>0</v>
      </c>
      <c r="J537" s="13">
        <f t="shared" ca="1" si="116"/>
        <v>0</v>
      </c>
      <c r="K537" s="14">
        <f t="shared" ca="1" si="117"/>
        <v>325</v>
      </c>
      <c r="L537" s="14">
        <f t="shared" ca="1" si="118"/>
        <v>0</v>
      </c>
      <c r="M537" s="15">
        <f t="shared" ca="1" si="119"/>
        <v>325</v>
      </c>
      <c r="N537" s="16">
        <f ca="1">SUM($M$9:M537)/A537</f>
        <v>335.62344045368593</v>
      </c>
      <c r="O537" s="6"/>
    </row>
    <row r="538" spans="1:15" x14ac:dyDescent="0.25">
      <c r="A538" s="8">
        <v>530</v>
      </c>
      <c r="B538" s="9">
        <f t="shared" ca="1" si="111"/>
        <v>1625</v>
      </c>
      <c r="C538" s="10">
        <f t="shared" ca="1" si="112"/>
        <v>0</v>
      </c>
      <c r="D538" s="11">
        <f t="shared" ca="1" si="120"/>
        <v>0.93369913103157254</v>
      </c>
      <c r="E538" s="9">
        <f t="shared" ca="1" si="121"/>
        <v>475</v>
      </c>
      <c r="F538" s="9">
        <f t="shared" ca="1" si="113"/>
        <v>1150</v>
      </c>
      <c r="G538" s="12" t="str">
        <f t="shared" ca="1" si="114"/>
        <v>No</v>
      </c>
      <c r="H538" s="12">
        <f t="shared" ca="1" si="122"/>
        <v>0</v>
      </c>
      <c r="I538" s="10">
        <f t="shared" ca="1" si="115"/>
        <v>0</v>
      </c>
      <c r="J538" s="13">
        <f t="shared" ca="1" si="116"/>
        <v>0</v>
      </c>
      <c r="K538" s="14">
        <f t="shared" ca="1" si="117"/>
        <v>230</v>
      </c>
      <c r="L538" s="14">
        <f t="shared" ca="1" si="118"/>
        <v>0</v>
      </c>
      <c r="M538" s="15">
        <f t="shared" ca="1" si="119"/>
        <v>230</v>
      </c>
      <c r="N538" s="16">
        <f ca="1">SUM($M$9:M538)/A538</f>
        <v>335.42415094339594</v>
      </c>
      <c r="O538" s="6"/>
    </row>
    <row r="539" spans="1:15" x14ac:dyDescent="0.25">
      <c r="A539" s="8">
        <v>531</v>
      </c>
      <c r="B539" s="9">
        <f t="shared" ca="1" si="111"/>
        <v>1150</v>
      </c>
      <c r="C539" s="10">
        <f t="shared" ca="1" si="112"/>
        <v>0</v>
      </c>
      <c r="D539" s="11">
        <f t="shared" ca="1" si="120"/>
        <v>0.17361217350058589</v>
      </c>
      <c r="E539" s="9">
        <f t="shared" ca="1" si="121"/>
        <v>353</v>
      </c>
      <c r="F539" s="9">
        <f t="shared" ca="1" si="113"/>
        <v>797</v>
      </c>
      <c r="G539" s="12" t="str">
        <f t="shared" ca="1" si="114"/>
        <v>Yes</v>
      </c>
      <c r="H539" s="12">
        <f t="shared" ca="1" si="122"/>
        <v>0.25213864088621085</v>
      </c>
      <c r="I539" s="10">
        <f t="shared" ca="1" si="115"/>
        <v>1</v>
      </c>
      <c r="J539" s="13">
        <f t="shared" ca="1" si="116"/>
        <v>300</v>
      </c>
      <c r="K539" s="14">
        <f t="shared" ca="1" si="117"/>
        <v>159.4</v>
      </c>
      <c r="L539" s="14">
        <f t="shared" ca="1" si="118"/>
        <v>0</v>
      </c>
      <c r="M539" s="15">
        <f t="shared" ca="1" si="119"/>
        <v>459.4</v>
      </c>
      <c r="N539" s="16">
        <f ca="1">SUM($M$9:M539)/A539</f>
        <v>335.65762711864375</v>
      </c>
      <c r="O539" s="6"/>
    </row>
    <row r="540" spans="1:15" x14ac:dyDescent="0.25">
      <c r="A540" s="8">
        <v>532</v>
      </c>
      <c r="B540" s="9">
        <f t="shared" ca="1" si="111"/>
        <v>2597</v>
      </c>
      <c r="C540" s="10">
        <f t="shared" ca="1" si="112"/>
        <v>1800</v>
      </c>
      <c r="D540" s="11">
        <f t="shared" ca="1" si="120"/>
        <v>0.20580228380975418</v>
      </c>
      <c r="E540" s="9">
        <f t="shared" ca="1" si="121"/>
        <v>358</v>
      </c>
      <c r="F540" s="9">
        <f t="shared" ca="1" si="113"/>
        <v>2239</v>
      </c>
      <c r="G540" s="12" t="str">
        <f t="shared" ca="1" si="114"/>
        <v>No</v>
      </c>
      <c r="H540" s="12">
        <f t="shared" ca="1" si="122"/>
        <v>0</v>
      </c>
      <c r="I540" s="10">
        <f t="shared" ca="1" si="115"/>
        <v>0</v>
      </c>
      <c r="J540" s="13">
        <f t="shared" ca="1" si="116"/>
        <v>0</v>
      </c>
      <c r="K540" s="14">
        <f t="shared" ca="1" si="117"/>
        <v>447.8</v>
      </c>
      <c r="L540" s="14">
        <f t="shared" ca="1" si="118"/>
        <v>0</v>
      </c>
      <c r="M540" s="15">
        <f t="shared" ca="1" si="119"/>
        <v>447.8</v>
      </c>
      <c r="N540" s="16">
        <f ca="1">SUM($M$9:M540)/A540</f>
        <v>335.86842105263128</v>
      </c>
      <c r="O540" s="6"/>
    </row>
    <row r="541" spans="1:15" x14ac:dyDescent="0.25">
      <c r="A541" s="8">
        <v>533</v>
      </c>
      <c r="B541" s="9">
        <f t="shared" ca="1" si="111"/>
        <v>2239</v>
      </c>
      <c r="C541" s="10">
        <f t="shared" ca="1" si="112"/>
        <v>0</v>
      </c>
      <c r="D541" s="11">
        <f t="shared" ca="1" si="120"/>
        <v>0.34578543076394652</v>
      </c>
      <c r="E541" s="9">
        <f t="shared" ca="1" si="121"/>
        <v>380</v>
      </c>
      <c r="F541" s="9">
        <f t="shared" ca="1" si="113"/>
        <v>1859</v>
      </c>
      <c r="G541" s="12" t="str">
        <f t="shared" ca="1" si="114"/>
        <v>No</v>
      </c>
      <c r="H541" s="12">
        <f t="shared" ca="1" si="122"/>
        <v>0</v>
      </c>
      <c r="I541" s="10">
        <f t="shared" ca="1" si="115"/>
        <v>0</v>
      </c>
      <c r="J541" s="13">
        <f t="shared" ca="1" si="116"/>
        <v>0</v>
      </c>
      <c r="K541" s="14">
        <f t="shared" ca="1" si="117"/>
        <v>371.8</v>
      </c>
      <c r="L541" s="14">
        <f t="shared" ca="1" si="118"/>
        <v>0</v>
      </c>
      <c r="M541" s="15">
        <f t="shared" ca="1" si="119"/>
        <v>371.8</v>
      </c>
      <c r="N541" s="16">
        <f ca="1">SUM($M$9:M541)/A541</f>
        <v>335.93583489681015</v>
      </c>
      <c r="O541" s="6"/>
    </row>
    <row r="542" spans="1:15" x14ac:dyDescent="0.25">
      <c r="A542" s="8">
        <v>534</v>
      </c>
      <c r="B542" s="9">
        <f t="shared" ca="1" si="111"/>
        <v>1859</v>
      </c>
      <c r="C542" s="10">
        <f t="shared" ca="1" si="112"/>
        <v>0</v>
      </c>
      <c r="D542" s="11">
        <f t="shared" ca="1" si="120"/>
        <v>0.15072638366784175</v>
      </c>
      <c r="E542" s="9">
        <f t="shared" ca="1" si="121"/>
        <v>348</v>
      </c>
      <c r="F542" s="9">
        <f t="shared" ca="1" si="113"/>
        <v>1511</v>
      </c>
      <c r="G542" s="12" t="str">
        <f t="shared" ca="1" si="114"/>
        <v>No</v>
      </c>
      <c r="H542" s="12">
        <f t="shared" ca="1" si="122"/>
        <v>0</v>
      </c>
      <c r="I542" s="10">
        <f t="shared" ca="1" si="115"/>
        <v>0</v>
      </c>
      <c r="J542" s="13">
        <f t="shared" ca="1" si="116"/>
        <v>0</v>
      </c>
      <c r="K542" s="14">
        <f t="shared" ca="1" si="117"/>
        <v>302.2</v>
      </c>
      <c r="L542" s="14">
        <f t="shared" ca="1" si="118"/>
        <v>0</v>
      </c>
      <c r="M542" s="15">
        <f t="shared" ca="1" si="119"/>
        <v>302.2</v>
      </c>
      <c r="N542" s="16">
        <f ca="1">SUM($M$9:M542)/A542</f>
        <v>335.87265917602963</v>
      </c>
      <c r="O542" s="6"/>
    </row>
    <row r="543" spans="1:15" x14ac:dyDescent="0.25">
      <c r="A543" s="8">
        <v>535</v>
      </c>
      <c r="B543" s="9">
        <f t="shared" ca="1" si="111"/>
        <v>1511</v>
      </c>
      <c r="C543" s="10">
        <f t="shared" ca="1" si="112"/>
        <v>0</v>
      </c>
      <c r="D543" s="11">
        <f t="shared" ca="1" si="120"/>
        <v>0.79666134600252503</v>
      </c>
      <c r="E543" s="9">
        <f t="shared" ca="1" si="121"/>
        <v>441</v>
      </c>
      <c r="F543" s="9">
        <f t="shared" ca="1" si="113"/>
        <v>1070</v>
      </c>
      <c r="G543" s="12" t="str">
        <f t="shared" ca="1" si="114"/>
        <v>No</v>
      </c>
      <c r="H543" s="12">
        <f t="shared" ca="1" si="122"/>
        <v>0</v>
      </c>
      <c r="I543" s="10">
        <f t="shared" ca="1" si="115"/>
        <v>0</v>
      </c>
      <c r="J543" s="13">
        <f t="shared" ca="1" si="116"/>
        <v>0</v>
      </c>
      <c r="K543" s="14">
        <f t="shared" ca="1" si="117"/>
        <v>214</v>
      </c>
      <c r="L543" s="14">
        <f t="shared" ca="1" si="118"/>
        <v>0</v>
      </c>
      <c r="M543" s="15">
        <f t="shared" ca="1" si="119"/>
        <v>214</v>
      </c>
      <c r="N543" s="16">
        <f ca="1">SUM($M$9:M543)/A543</f>
        <v>335.64485981308377</v>
      </c>
      <c r="O543" s="6"/>
    </row>
    <row r="544" spans="1:15" x14ac:dyDescent="0.25">
      <c r="A544" s="8">
        <v>536</v>
      </c>
      <c r="B544" s="9">
        <f t="shared" ca="1" si="111"/>
        <v>1070</v>
      </c>
      <c r="C544" s="10">
        <f t="shared" ca="1" si="112"/>
        <v>0</v>
      </c>
      <c r="D544" s="11">
        <f t="shared" ca="1" si="120"/>
        <v>0.64398103979718246</v>
      </c>
      <c r="E544" s="9">
        <f t="shared" ca="1" si="121"/>
        <v>418</v>
      </c>
      <c r="F544" s="9">
        <f t="shared" ca="1" si="113"/>
        <v>652</v>
      </c>
      <c r="G544" s="12" t="str">
        <f t="shared" ca="1" si="114"/>
        <v>Yes</v>
      </c>
      <c r="H544" s="12">
        <f t="shared" ca="1" si="122"/>
        <v>0.40612774346270708</v>
      </c>
      <c r="I544" s="10">
        <f t="shared" ca="1" si="115"/>
        <v>1</v>
      </c>
      <c r="J544" s="13">
        <f t="shared" ca="1" si="116"/>
        <v>300</v>
      </c>
      <c r="K544" s="14">
        <f t="shared" ca="1" si="117"/>
        <v>130.4</v>
      </c>
      <c r="L544" s="14">
        <f t="shared" ca="1" si="118"/>
        <v>0</v>
      </c>
      <c r="M544" s="15">
        <f t="shared" ca="1" si="119"/>
        <v>430.4</v>
      </c>
      <c r="N544" s="16">
        <f ca="1">SUM($M$9:M544)/A544</f>
        <v>335.82164179104444</v>
      </c>
      <c r="O544" s="6"/>
    </row>
    <row r="545" spans="1:15" x14ac:dyDescent="0.25">
      <c r="A545" s="8">
        <v>537</v>
      </c>
      <c r="B545" s="9">
        <f t="shared" ca="1" si="111"/>
        <v>2452</v>
      </c>
      <c r="C545" s="10">
        <f t="shared" ca="1" si="112"/>
        <v>1800</v>
      </c>
      <c r="D545" s="11">
        <f t="shared" ca="1" si="120"/>
        <v>5.4380826727622011E-2</v>
      </c>
      <c r="E545" s="9">
        <f t="shared" ca="1" si="121"/>
        <v>319</v>
      </c>
      <c r="F545" s="9">
        <f t="shared" ca="1" si="113"/>
        <v>2133</v>
      </c>
      <c r="G545" s="12" t="str">
        <f t="shared" ca="1" si="114"/>
        <v>No</v>
      </c>
      <c r="H545" s="12">
        <f t="shared" ca="1" si="122"/>
        <v>0</v>
      </c>
      <c r="I545" s="10">
        <f t="shared" ca="1" si="115"/>
        <v>0</v>
      </c>
      <c r="J545" s="13">
        <f t="shared" ca="1" si="116"/>
        <v>0</v>
      </c>
      <c r="K545" s="14">
        <f t="shared" ca="1" si="117"/>
        <v>426.6</v>
      </c>
      <c r="L545" s="14">
        <f t="shared" ca="1" si="118"/>
        <v>0</v>
      </c>
      <c r="M545" s="15">
        <f t="shared" ca="1" si="119"/>
        <v>426.6</v>
      </c>
      <c r="N545" s="16">
        <f ca="1">SUM($M$9:M545)/A545</f>
        <v>335.99068901303508</v>
      </c>
      <c r="O545" s="6"/>
    </row>
    <row r="546" spans="1:15" x14ac:dyDescent="0.25">
      <c r="A546" s="8">
        <v>538</v>
      </c>
      <c r="B546" s="9">
        <f t="shared" ca="1" si="111"/>
        <v>2133</v>
      </c>
      <c r="C546" s="10">
        <f t="shared" ca="1" si="112"/>
        <v>0</v>
      </c>
      <c r="D546" s="11">
        <f t="shared" ca="1" si="120"/>
        <v>0.31177498129751846</v>
      </c>
      <c r="E546" s="9">
        <f t="shared" ca="1" si="121"/>
        <v>375</v>
      </c>
      <c r="F546" s="9">
        <f t="shared" ca="1" si="113"/>
        <v>1758</v>
      </c>
      <c r="G546" s="12" t="str">
        <f t="shared" ca="1" si="114"/>
        <v>No</v>
      </c>
      <c r="H546" s="12">
        <f t="shared" ca="1" si="122"/>
        <v>0</v>
      </c>
      <c r="I546" s="10">
        <f t="shared" ca="1" si="115"/>
        <v>0</v>
      </c>
      <c r="J546" s="13">
        <f t="shared" ca="1" si="116"/>
        <v>0</v>
      </c>
      <c r="K546" s="14">
        <f t="shared" ca="1" si="117"/>
        <v>351.6</v>
      </c>
      <c r="L546" s="14">
        <f t="shared" ca="1" si="118"/>
        <v>0</v>
      </c>
      <c r="M546" s="15">
        <f t="shared" ca="1" si="119"/>
        <v>351.6</v>
      </c>
      <c r="N546" s="16">
        <f ca="1">SUM($M$9:M546)/A546</f>
        <v>336.01970260223015</v>
      </c>
      <c r="O546" s="6"/>
    </row>
    <row r="547" spans="1:15" x14ac:dyDescent="0.25">
      <c r="A547" s="8">
        <v>539</v>
      </c>
      <c r="B547" s="9">
        <f t="shared" ca="1" si="111"/>
        <v>1758</v>
      </c>
      <c r="C547" s="10">
        <f t="shared" ca="1" si="112"/>
        <v>0</v>
      </c>
      <c r="D547" s="11">
        <f t="shared" ca="1" si="120"/>
        <v>0.62437934969297015</v>
      </c>
      <c r="E547" s="9">
        <f t="shared" ca="1" si="121"/>
        <v>415</v>
      </c>
      <c r="F547" s="9">
        <f t="shared" ca="1" si="113"/>
        <v>1343</v>
      </c>
      <c r="G547" s="12" t="str">
        <f t="shared" ca="1" si="114"/>
        <v>No</v>
      </c>
      <c r="H547" s="12">
        <f t="shared" ca="1" si="122"/>
        <v>0</v>
      </c>
      <c r="I547" s="10">
        <f t="shared" ca="1" si="115"/>
        <v>0</v>
      </c>
      <c r="J547" s="13">
        <f t="shared" ca="1" si="116"/>
        <v>0</v>
      </c>
      <c r="K547" s="14">
        <f t="shared" ca="1" si="117"/>
        <v>268.60000000000002</v>
      </c>
      <c r="L547" s="14">
        <f t="shared" ca="1" si="118"/>
        <v>0</v>
      </c>
      <c r="M547" s="15">
        <f t="shared" ca="1" si="119"/>
        <v>268.60000000000002</v>
      </c>
      <c r="N547" s="16">
        <f ca="1">SUM($M$9:M547)/A547</f>
        <v>335.89461966604796</v>
      </c>
      <c r="O547" s="6"/>
    </row>
    <row r="548" spans="1:15" x14ac:dyDescent="0.25">
      <c r="A548" s="8">
        <v>540</v>
      </c>
      <c r="B548" s="9">
        <f t="shared" ca="1" si="111"/>
        <v>1343</v>
      </c>
      <c r="C548" s="10">
        <f t="shared" ca="1" si="112"/>
        <v>0</v>
      </c>
      <c r="D548" s="11">
        <f t="shared" ca="1" si="120"/>
        <v>7.1596736244603387E-2</v>
      </c>
      <c r="E548" s="9">
        <f t="shared" ca="1" si="121"/>
        <v>326</v>
      </c>
      <c r="F548" s="9">
        <f t="shared" ca="1" si="113"/>
        <v>1017</v>
      </c>
      <c r="G548" s="12" t="str">
        <f t="shared" ca="1" si="114"/>
        <v>Yes</v>
      </c>
      <c r="H548" s="12">
        <f t="shared" ca="1" si="122"/>
        <v>0.18754964447968603</v>
      </c>
      <c r="I548" s="10">
        <f t="shared" ca="1" si="115"/>
        <v>1</v>
      </c>
      <c r="J548" s="13">
        <f t="shared" ca="1" si="116"/>
        <v>300</v>
      </c>
      <c r="K548" s="14">
        <f t="shared" ca="1" si="117"/>
        <v>203.4</v>
      </c>
      <c r="L548" s="14">
        <f t="shared" ca="1" si="118"/>
        <v>0</v>
      </c>
      <c r="M548" s="15">
        <f t="shared" ca="1" si="119"/>
        <v>503.4</v>
      </c>
      <c r="N548" s="16">
        <f ca="1">SUM($M$9:M548)/A548</f>
        <v>336.20481481481448</v>
      </c>
      <c r="O548" s="6"/>
    </row>
    <row r="549" spans="1:15" x14ac:dyDescent="0.25">
      <c r="A549" s="8">
        <v>541</v>
      </c>
      <c r="B549" s="9">
        <f t="shared" ca="1" si="111"/>
        <v>2817</v>
      </c>
      <c r="C549" s="10">
        <f t="shared" ca="1" si="112"/>
        <v>1800</v>
      </c>
      <c r="D549" s="11">
        <f t="shared" ca="1" si="120"/>
        <v>0.43875203032327292</v>
      </c>
      <c r="E549" s="9">
        <f t="shared" ca="1" si="121"/>
        <v>392</v>
      </c>
      <c r="F549" s="9">
        <f t="shared" ca="1" si="113"/>
        <v>2425</v>
      </c>
      <c r="G549" s="12" t="str">
        <f t="shared" ca="1" si="114"/>
        <v>No</v>
      </c>
      <c r="H549" s="12">
        <f t="shared" ca="1" si="122"/>
        <v>0</v>
      </c>
      <c r="I549" s="10">
        <f t="shared" ca="1" si="115"/>
        <v>0</v>
      </c>
      <c r="J549" s="13">
        <f t="shared" ca="1" si="116"/>
        <v>0</v>
      </c>
      <c r="K549" s="14">
        <f t="shared" ca="1" si="117"/>
        <v>485</v>
      </c>
      <c r="L549" s="14">
        <f t="shared" ca="1" si="118"/>
        <v>0</v>
      </c>
      <c r="M549" s="15">
        <f t="shared" ca="1" si="119"/>
        <v>485</v>
      </c>
      <c r="N549" s="16">
        <f ca="1">SUM($M$9:M549)/A549</f>
        <v>336.47985212569284</v>
      </c>
      <c r="O549" s="6"/>
    </row>
    <row r="550" spans="1:15" x14ac:dyDescent="0.25">
      <c r="A550" s="8">
        <v>542</v>
      </c>
      <c r="B550" s="9">
        <f t="shared" ca="1" si="111"/>
        <v>2425</v>
      </c>
      <c r="C550" s="10">
        <f t="shared" ca="1" si="112"/>
        <v>0</v>
      </c>
      <c r="D550" s="11">
        <f t="shared" ca="1" si="120"/>
        <v>0.75169127427178584</v>
      </c>
      <c r="E550" s="9">
        <f t="shared" ca="1" si="121"/>
        <v>433</v>
      </c>
      <c r="F550" s="9">
        <f t="shared" ca="1" si="113"/>
        <v>1992</v>
      </c>
      <c r="G550" s="12" t="str">
        <f t="shared" ca="1" si="114"/>
        <v>No</v>
      </c>
      <c r="H550" s="12">
        <f t="shared" ca="1" si="122"/>
        <v>0</v>
      </c>
      <c r="I550" s="10">
        <f t="shared" ca="1" si="115"/>
        <v>0</v>
      </c>
      <c r="J550" s="13">
        <f t="shared" ca="1" si="116"/>
        <v>0</v>
      </c>
      <c r="K550" s="14">
        <f t="shared" ca="1" si="117"/>
        <v>398.40000000000003</v>
      </c>
      <c r="L550" s="14">
        <f t="shared" ca="1" si="118"/>
        <v>0</v>
      </c>
      <c r="M550" s="15">
        <f t="shared" ca="1" si="119"/>
        <v>398.40000000000003</v>
      </c>
      <c r="N550" s="16">
        <f ca="1">SUM($M$9:M550)/A550</f>
        <v>336.59409594095911</v>
      </c>
      <c r="O550" s="6"/>
    </row>
    <row r="551" spans="1:15" x14ac:dyDescent="0.25">
      <c r="A551" s="8">
        <v>543</v>
      </c>
      <c r="B551" s="9">
        <f t="shared" ca="1" si="111"/>
        <v>1992</v>
      </c>
      <c r="C551" s="10">
        <f t="shared" ca="1" si="112"/>
        <v>0</v>
      </c>
      <c r="D551" s="11">
        <f t="shared" ca="1" si="120"/>
        <v>5.8870335800112028E-2</v>
      </c>
      <c r="E551" s="9">
        <f t="shared" ca="1" si="121"/>
        <v>321</v>
      </c>
      <c r="F551" s="9">
        <f t="shared" ca="1" si="113"/>
        <v>1671</v>
      </c>
      <c r="G551" s="12" t="str">
        <f t="shared" ca="1" si="114"/>
        <v>No</v>
      </c>
      <c r="H551" s="12">
        <f t="shared" ca="1" si="122"/>
        <v>0</v>
      </c>
      <c r="I551" s="10">
        <f t="shared" ca="1" si="115"/>
        <v>0</v>
      </c>
      <c r="J551" s="13">
        <f t="shared" ca="1" si="116"/>
        <v>0</v>
      </c>
      <c r="K551" s="14">
        <f t="shared" ca="1" si="117"/>
        <v>334.20000000000005</v>
      </c>
      <c r="L551" s="14">
        <f t="shared" ca="1" si="118"/>
        <v>0</v>
      </c>
      <c r="M551" s="15">
        <f t="shared" ca="1" si="119"/>
        <v>334.20000000000005</v>
      </c>
      <c r="N551" s="16">
        <f ca="1">SUM($M$9:M551)/A551</f>
        <v>336.58968692449326</v>
      </c>
      <c r="O551" s="6"/>
    </row>
    <row r="552" spans="1:15" x14ac:dyDescent="0.25">
      <c r="A552" s="8">
        <v>544</v>
      </c>
      <c r="B552" s="9">
        <f t="shared" ca="1" si="111"/>
        <v>1671</v>
      </c>
      <c r="C552" s="10">
        <f t="shared" ca="1" si="112"/>
        <v>0</v>
      </c>
      <c r="D552" s="11">
        <f t="shared" ca="1" si="120"/>
        <v>0.81804964476652575</v>
      </c>
      <c r="E552" s="9">
        <f t="shared" ca="1" si="121"/>
        <v>445</v>
      </c>
      <c r="F552" s="9">
        <f t="shared" ca="1" si="113"/>
        <v>1226</v>
      </c>
      <c r="G552" s="12" t="str">
        <f t="shared" ca="1" si="114"/>
        <v>No</v>
      </c>
      <c r="H552" s="12">
        <f t="shared" ca="1" si="122"/>
        <v>0</v>
      </c>
      <c r="I552" s="10">
        <f t="shared" ca="1" si="115"/>
        <v>0</v>
      </c>
      <c r="J552" s="13">
        <f t="shared" ca="1" si="116"/>
        <v>0</v>
      </c>
      <c r="K552" s="14">
        <f t="shared" ca="1" si="117"/>
        <v>245.20000000000002</v>
      </c>
      <c r="L552" s="14">
        <f t="shared" ca="1" si="118"/>
        <v>0</v>
      </c>
      <c r="M552" s="15">
        <f t="shared" ca="1" si="119"/>
        <v>245.20000000000002</v>
      </c>
      <c r="N552" s="16">
        <f ca="1">SUM($M$9:M552)/A552</f>
        <v>336.42169117647029</v>
      </c>
      <c r="O552" s="6"/>
    </row>
    <row r="553" spans="1:15" x14ac:dyDescent="0.25">
      <c r="A553" s="8">
        <v>545</v>
      </c>
      <c r="B553" s="9">
        <f t="shared" ca="1" si="111"/>
        <v>1226</v>
      </c>
      <c r="C553" s="10">
        <f t="shared" ca="1" si="112"/>
        <v>0</v>
      </c>
      <c r="D553" s="11">
        <f t="shared" ca="1" si="120"/>
        <v>0.9814164881475318</v>
      </c>
      <c r="E553" s="9">
        <f t="shared" ca="1" si="121"/>
        <v>504</v>
      </c>
      <c r="F553" s="9">
        <f t="shared" ca="1" si="113"/>
        <v>722</v>
      </c>
      <c r="G553" s="12" t="str">
        <f t="shared" ca="1" si="114"/>
        <v>Yes</v>
      </c>
      <c r="H553" s="12">
        <f t="shared" ca="1" si="122"/>
        <v>0.71249847362339236</v>
      </c>
      <c r="I553" s="10">
        <f t="shared" ca="1" si="115"/>
        <v>2</v>
      </c>
      <c r="J553" s="13">
        <f t="shared" ca="1" si="116"/>
        <v>300</v>
      </c>
      <c r="K553" s="14">
        <f t="shared" ca="1" si="117"/>
        <v>144.4</v>
      </c>
      <c r="L553" s="14">
        <f t="shared" ca="1" si="118"/>
        <v>0</v>
      </c>
      <c r="M553" s="15">
        <f t="shared" ca="1" si="119"/>
        <v>444.4</v>
      </c>
      <c r="N553" s="16">
        <f ca="1">SUM($M$9:M553)/A553</f>
        <v>336.61981651376118</v>
      </c>
      <c r="O553" s="6"/>
    </row>
    <row r="554" spans="1:15" x14ac:dyDescent="0.25">
      <c r="A554" s="8">
        <v>546</v>
      </c>
      <c r="B554" s="9">
        <f t="shared" ca="1" si="111"/>
        <v>722</v>
      </c>
      <c r="C554" s="10">
        <f t="shared" ca="1" si="112"/>
        <v>0</v>
      </c>
      <c r="D554" s="11">
        <f t="shared" ca="1" si="120"/>
        <v>0.49830831281843913</v>
      </c>
      <c r="E554" s="9">
        <f t="shared" ca="1" si="121"/>
        <v>399</v>
      </c>
      <c r="F554" s="9">
        <f t="shared" ca="1" si="113"/>
        <v>323</v>
      </c>
      <c r="G554" s="12" t="str">
        <f t="shared" ca="1" si="114"/>
        <v>No</v>
      </c>
      <c r="H554" s="12">
        <f t="shared" ca="1" si="122"/>
        <v>0</v>
      </c>
      <c r="I554" s="10">
        <f t="shared" ca="1" si="115"/>
        <v>1</v>
      </c>
      <c r="J554" s="13">
        <f t="shared" ca="1" si="116"/>
        <v>0</v>
      </c>
      <c r="K554" s="14">
        <f t="shared" ca="1" si="117"/>
        <v>64.600000000000009</v>
      </c>
      <c r="L554" s="14">
        <f t="shared" ca="1" si="118"/>
        <v>0</v>
      </c>
      <c r="M554" s="15">
        <f t="shared" ca="1" si="119"/>
        <v>64.600000000000009</v>
      </c>
      <c r="N554" s="16">
        <f ca="1">SUM($M$9:M554)/A554</f>
        <v>336.12161172161143</v>
      </c>
      <c r="O554" s="6"/>
    </row>
    <row r="555" spans="1:15" x14ac:dyDescent="0.25">
      <c r="A555" s="8">
        <v>547</v>
      </c>
      <c r="B555" s="9">
        <f t="shared" ca="1" si="111"/>
        <v>2123</v>
      </c>
      <c r="C555" s="10">
        <f t="shared" ca="1" si="112"/>
        <v>1800</v>
      </c>
      <c r="D555" s="11">
        <f t="shared" ca="1" si="120"/>
        <v>0.50388210620758056</v>
      </c>
      <c r="E555" s="9">
        <f t="shared" ca="1" si="121"/>
        <v>400</v>
      </c>
      <c r="F555" s="9">
        <f t="shared" ca="1" si="113"/>
        <v>1723</v>
      </c>
      <c r="G555" s="12" t="str">
        <f t="shared" ca="1" si="114"/>
        <v>No</v>
      </c>
      <c r="H555" s="12">
        <f t="shared" ca="1" si="122"/>
        <v>0</v>
      </c>
      <c r="I555" s="10">
        <f t="shared" ca="1" si="115"/>
        <v>0</v>
      </c>
      <c r="J555" s="13">
        <f t="shared" ca="1" si="116"/>
        <v>0</v>
      </c>
      <c r="K555" s="14">
        <f t="shared" ca="1" si="117"/>
        <v>344.6</v>
      </c>
      <c r="L555" s="14">
        <f t="shared" ca="1" si="118"/>
        <v>0</v>
      </c>
      <c r="M555" s="15">
        <f t="shared" ca="1" si="119"/>
        <v>344.6</v>
      </c>
      <c r="N555" s="16">
        <f ca="1">SUM($M$9:M555)/A555</f>
        <v>336.1371115173672</v>
      </c>
      <c r="O555" s="6"/>
    </row>
    <row r="556" spans="1:15" x14ac:dyDescent="0.25">
      <c r="A556" s="8">
        <v>548</v>
      </c>
      <c r="B556" s="9">
        <f t="shared" ca="1" si="111"/>
        <v>1723</v>
      </c>
      <c r="C556" s="10">
        <f t="shared" ca="1" si="112"/>
        <v>0</v>
      </c>
      <c r="D556" s="11">
        <f t="shared" ca="1" si="120"/>
        <v>0.94885171279686842</v>
      </c>
      <c r="E556" s="9">
        <f t="shared" ca="1" si="121"/>
        <v>481</v>
      </c>
      <c r="F556" s="9">
        <f t="shared" ca="1" si="113"/>
        <v>1242</v>
      </c>
      <c r="G556" s="12" t="str">
        <f t="shared" ca="1" si="114"/>
        <v>No</v>
      </c>
      <c r="H556" s="12">
        <f t="shared" ca="1" si="122"/>
        <v>0</v>
      </c>
      <c r="I556" s="10">
        <f t="shared" ca="1" si="115"/>
        <v>0</v>
      </c>
      <c r="J556" s="13">
        <f t="shared" ca="1" si="116"/>
        <v>0</v>
      </c>
      <c r="K556" s="14">
        <f t="shared" ca="1" si="117"/>
        <v>248.4</v>
      </c>
      <c r="L556" s="14">
        <f t="shared" ca="1" si="118"/>
        <v>0</v>
      </c>
      <c r="M556" s="15">
        <f t="shared" ca="1" si="119"/>
        <v>248.4</v>
      </c>
      <c r="N556" s="16">
        <f ca="1">SUM($M$9:M556)/A556</f>
        <v>335.97700729926981</v>
      </c>
      <c r="O556" s="6"/>
    </row>
    <row r="557" spans="1:15" x14ac:dyDescent="0.25">
      <c r="A557" s="8">
        <v>549</v>
      </c>
      <c r="B557" s="9">
        <f t="shared" ca="1" si="111"/>
        <v>1242</v>
      </c>
      <c r="C557" s="10">
        <f t="shared" ca="1" si="112"/>
        <v>0</v>
      </c>
      <c r="D557" s="11">
        <f t="shared" ca="1" si="120"/>
        <v>0.4446441024065656</v>
      </c>
      <c r="E557" s="9">
        <f t="shared" ca="1" si="121"/>
        <v>393</v>
      </c>
      <c r="F557" s="9">
        <f t="shared" ca="1" si="113"/>
        <v>849</v>
      </c>
      <c r="G557" s="12" t="str">
        <f t="shared" ca="1" si="114"/>
        <v>Yes</v>
      </c>
      <c r="H557" s="12">
        <f t="shared" ca="1" si="122"/>
        <v>0.45071212538045824</v>
      </c>
      <c r="I557" s="10">
        <f t="shared" ca="1" si="115"/>
        <v>1</v>
      </c>
      <c r="J557" s="13">
        <f t="shared" ca="1" si="116"/>
        <v>300</v>
      </c>
      <c r="K557" s="14">
        <f t="shared" ca="1" si="117"/>
        <v>169.8</v>
      </c>
      <c r="L557" s="14">
        <f t="shared" ca="1" si="118"/>
        <v>0</v>
      </c>
      <c r="M557" s="15">
        <f t="shared" ca="1" si="119"/>
        <v>469.8</v>
      </c>
      <c r="N557" s="16">
        <f ca="1">SUM($M$9:M557)/A557</f>
        <v>336.2207650273221</v>
      </c>
      <c r="O557" s="6"/>
    </row>
    <row r="558" spans="1:15" x14ac:dyDescent="0.25">
      <c r="A558" s="8">
        <v>550</v>
      </c>
      <c r="B558" s="9">
        <f t="shared" ca="1" si="111"/>
        <v>2649</v>
      </c>
      <c r="C558" s="10">
        <f t="shared" ca="1" si="112"/>
        <v>1800</v>
      </c>
      <c r="D558" s="11">
        <f t="shared" ca="1" si="120"/>
        <v>0.53983118548746512</v>
      </c>
      <c r="E558" s="9">
        <f t="shared" ca="1" si="121"/>
        <v>405</v>
      </c>
      <c r="F558" s="9">
        <f t="shared" ca="1" si="113"/>
        <v>2244</v>
      </c>
      <c r="G558" s="12" t="str">
        <f t="shared" ca="1" si="114"/>
        <v>No</v>
      </c>
      <c r="H558" s="12">
        <f t="shared" ca="1" si="122"/>
        <v>0</v>
      </c>
      <c r="I558" s="10">
        <f t="shared" ca="1" si="115"/>
        <v>0</v>
      </c>
      <c r="J558" s="13">
        <f t="shared" ca="1" si="116"/>
        <v>0</v>
      </c>
      <c r="K558" s="14">
        <f t="shared" ca="1" si="117"/>
        <v>448.8</v>
      </c>
      <c r="L558" s="14">
        <f t="shared" ca="1" si="118"/>
        <v>0</v>
      </c>
      <c r="M558" s="15">
        <f t="shared" ca="1" si="119"/>
        <v>448.8</v>
      </c>
      <c r="N558" s="16">
        <f ca="1">SUM($M$9:M558)/A558</f>
        <v>336.42545454545422</v>
      </c>
      <c r="O558" s="6"/>
    </row>
    <row r="559" spans="1:15" x14ac:dyDescent="0.25">
      <c r="A559" s="8">
        <v>551</v>
      </c>
      <c r="B559" s="9">
        <f t="shared" ca="1" si="111"/>
        <v>2244</v>
      </c>
      <c r="C559" s="10">
        <f t="shared" ca="1" si="112"/>
        <v>0</v>
      </c>
      <c r="D559" s="11">
        <f t="shared" ca="1" si="120"/>
        <v>0.73499583075707187</v>
      </c>
      <c r="E559" s="9">
        <f t="shared" ca="1" si="121"/>
        <v>431</v>
      </c>
      <c r="F559" s="9">
        <f t="shared" ca="1" si="113"/>
        <v>1813</v>
      </c>
      <c r="G559" s="12" t="str">
        <f t="shared" ca="1" si="114"/>
        <v>No</v>
      </c>
      <c r="H559" s="12">
        <f t="shared" ca="1" si="122"/>
        <v>0</v>
      </c>
      <c r="I559" s="10">
        <f t="shared" ca="1" si="115"/>
        <v>0</v>
      </c>
      <c r="J559" s="13">
        <f t="shared" ca="1" si="116"/>
        <v>0</v>
      </c>
      <c r="K559" s="14">
        <f t="shared" ca="1" si="117"/>
        <v>362.6</v>
      </c>
      <c r="L559" s="14">
        <f t="shared" ca="1" si="118"/>
        <v>0</v>
      </c>
      <c r="M559" s="15">
        <f t="shared" ca="1" si="119"/>
        <v>362.6</v>
      </c>
      <c r="N559" s="16">
        <f ca="1">SUM($M$9:M559)/A559</f>
        <v>336.47295825771295</v>
      </c>
      <c r="O559" s="6"/>
    </row>
    <row r="560" spans="1:15" x14ac:dyDescent="0.25">
      <c r="A560" s="8">
        <v>552</v>
      </c>
      <c r="B560" s="9">
        <f t="shared" ca="1" si="111"/>
        <v>1813</v>
      </c>
      <c r="C560" s="10">
        <f t="shared" ca="1" si="112"/>
        <v>0</v>
      </c>
      <c r="D560" s="11">
        <f t="shared" ca="1" si="120"/>
        <v>5.9512552333544244E-2</v>
      </c>
      <c r="E560" s="9">
        <f t="shared" ca="1" si="121"/>
        <v>322</v>
      </c>
      <c r="F560" s="9">
        <f t="shared" ca="1" si="113"/>
        <v>1491</v>
      </c>
      <c r="G560" s="12" t="str">
        <f t="shared" ca="1" si="114"/>
        <v>No</v>
      </c>
      <c r="H560" s="12">
        <f t="shared" ca="1" si="122"/>
        <v>0</v>
      </c>
      <c r="I560" s="10">
        <f t="shared" ca="1" si="115"/>
        <v>0</v>
      </c>
      <c r="J560" s="13">
        <f t="shared" ca="1" si="116"/>
        <v>0</v>
      </c>
      <c r="K560" s="14">
        <f t="shared" ca="1" si="117"/>
        <v>298.2</v>
      </c>
      <c r="L560" s="14">
        <f t="shared" ca="1" si="118"/>
        <v>0</v>
      </c>
      <c r="M560" s="15">
        <f t="shared" ca="1" si="119"/>
        <v>298.2</v>
      </c>
      <c r="N560" s="16">
        <f ca="1">SUM($M$9:M560)/A560</f>
        <v>336.4036231884055</v>
      </c>
      <c r="O560" s="6"/>
    </row>
    <row r="561" spans="1:15" x14ac:dyDescent="0.25">
      <c r="A561" s="8">
        <v>553</v>
      </c>
      <c r="B561" s="9">
        <f t="shared" ca="1" si="111"/>
        <v>1491</v>
      </c>
      <c r="C561" s="10">
        <f t="shared" ca="1" si="112"/>
        <v>0</v>
      </c>
      <c r="D561" s="11">
        <f t="shared" ca="1" si="120"/>
        <v>0.66144076580370348</v>
      </c>
      <c r="E561" s="9">
        <f t="shared" ca="1" si="121"/>
        <v>420</v>
      </c>
      <c r="F561" s="9">
        <f t="shared" ca="1" si="113"/>
        <v>1071</v>
      </c>
      <c r="G561" s="12" t="str">
        <f t="shared" ca="1" si="114"/>
        <v>No</v>
      </c>
      <c r="H561" s="12">
        <f t="shared" ca="1" si="122"/>
        <v>0</v>
      </c>
      <c r="I561" s="10">
        <f t="shared" ca="1" si="115"/>
        <v>0</v>
      </c>
      <c r="J561" s="13">
        <f t="shared" ca="1" si="116"/>
        <v>0</v>
      </c>
      <c r="K561" s="14">
        <f t="shared" ca="1" si="117"/>
        <v>214.20000000000002</v>
      </c>
      <c r="L561" s="14">
        <f t="shared" ca="1" si="118"/>
        <v>0</v>
      </c>
      <c r="M561" s="15">
        <f t="shared" ca="1" si="119"/>
        <v>214.20000000000002</v>
      </c>
      <c r="N561" s="16">
        <f ca="1">SUM($M$9:M561)/A561</f>
        <v>336.18264014466519</v>
      </c>
      <c r="O561" s="6"/>
    </row>
    <row r="562" spans="1:15" x14ac:dyDescent="0.25">
      <c r="A562" s="8">
        <v>554</v>
      </c>
      <c r="B562" s="9">
        <f t="shared" ca="1" si="111"/>
        <v>1071</v>
      </c>
      <c r="C562" s="10">
        <f t="shared" ca="1" si="112"/>
        <v>0</v>
      </c>
      <c r="D562" s="11">
        <f t="shared" ca="1" si="120"/>
        <v>0.35171506658187013</v>
      </c>
      <c r="E562" s="9">
        <f t="shared" ca="1" si="121"/>
        <v>380</v>
      </c>
      <c r="F562" s="9">
        <f t="shared" ca="1" si="113"/>
        <v>691</v>
      </c>
      <c r="G562" s="12" t="str">
        <f t="shared" ca="1" si="114"/>
        <v>Yes</v>
      </c>
      <c r="H562" s="12">
        <f t="shared" ca="1" si="122"/>
        <v>0.56028706150859919</v>
      </c>
      <c r="I562" s="10">
        <f t="shared" ca="1" si="115"/>
        <v>1</v>
      </c>
      <c r="J562" s="13">
        <f t="shared" ca="1" si="116"/>
        <v>300</v>
      </c>
      <c r="K562" s="14">
        <f t="shared" ca="1" si="117"/>
        <v>138.20000000000002</v>
      </c>
      <c r="L562" s="14">
        <f t="shared" ca="1" si="118"/>
        <v>0</v>
      </c>
      <c r="M562" s="15">
        <f t="shared" ca="1" si="119"/>
        <v>438.20000000000005</v>
      </c>
      <c r="N562" s="16">
        <f ca="1">SUM($M$9:M562)/A562</f>
        <v>336.36678700360989</v>
      </c>
      <c r="O562" s="6"/>
    </row>
    <row r="563" spans="1:15" x14ac:dyDescent="0.25">
      <c r="A563" s="8">
        <v>555</v>
      </c>
      <c r="B563" s="9">
        <f t="shared" ca="1" si="111"/>
        <v>2491</v>
      </c>
      <c r="C563" s="10">
        <f t="shared" ca="1" si="112"/>
        <v>1800</v>
      </c>
      <c r="D563" s="11">
        <f t="shared" ca="1" si="120"/>
        <v>0.12604433666050208</v>
      </c>
      <c r="E563" s="9">
        <f t="shared" ca="1" si="121"/>
        <v>342</v>
      </c>
      <c r="F563" s="9">
        <f t="shared" ca="1" si="113"/>
        <v>2149</v>
      </c>
      <c r="G563" s="12" t="str">
        <f t="shared" ca="1" si="114"/>
        <v>No</v>
      </c>
      <c r="H563" s="12">
        <f t="shared" ca="1" si="122"/>
        <v>0</v>
      </c>
      <c r="I563" s="10">
        <f t="shared" ca="1" si="115"/>
        <v>0</v>
      </c>
      <c r="J563" s="13">
        <f t="shared" ca="1" si="116"/>
        <v>0</v>
      </c>
      <c r="K563" s="14">
        <f t="shared" ca="1" si="117"/>
        <v>429.8</v>
      </c>
      <c r="L563" s="14">
        <f t="shared" ca="1" si="118"/>
        <v>0</v>
      </c>
      <c r="M563" s="15">
        <f t="shared" ca="1" si="119"/>
        <v>429.8</v>
      </c>
      <c r="N563" s="16">
        <f ca="1">SUM($M$9:M563)/A563</f>
        <v>336.53513513513485</v>
      </c>
      <c r="O563" s="6"/>
    </row>
    <row r="564" spans="1:15" x14ac:dyDescent="0.25">
      <c r="A564" s="8">
        <v>556</v>
      </c>
      <c r="B564" s="9">
        <f t="shared" ca="1" si="111"/>
        <v>2149</v>
      </c>
      <c r="C564" s="10">
        <f t="shared" ca="1" si="112"/>
        <v>0</v>
      </c>
      <c r="D564" s="11">
        <f t="shared" ca="1" si="120"/>
        <v>0.99553439079069406</v>
      </c>
      <c r="E564" s="9">
        <f t="shared" ca="1" si="121"/>
        <v>530</v>
      </c>
      <c r="F564" s="9">
        <f t="shared" ca="1" si="113"/>
        <v>1619</v>
      </c>
      <c r="G564" s="12" t="str">
        <f t="shared" ca="1" si="114"/>
        <v>No</v>
      </c>
      <c r="H564" s="12">
        <f t="shared" ca="1" si="122"/>
        <v>0</v>
      </c>
      <c r="I564" s="10">
        <f t="shared" ca="1" si="115"/>
        <v>0</v>
      </c>
      <c r="J564" s="13">
        <f t="shared" ca="1" si="116"/>
        <v>0</v>
      </c>
      <c r="K564" s="14">
        <f t="shared" ca="1" si="117"/>
        <v>323.8</v>
      </c>
      <c r="L564" s="14">
        <f t="shared" ca="1" si="118"/>
        <v>0</v>
      </c>
      <c r="M564" s="15">
        <f t="shared" ca="1" si="119"/>
        <v>323.8</v>
      </c>
      <c r="N564" s="16">
        <f ca="1">SUM($M$9:M564)/A564</f>
        <v>336.51223021582706</v>
      </c>
      <c r="O564" s="6"/>
    </row>
    <row r="565" spans="1:15" x14ac:dyDescent="0.25">
      <c r="A565" s="8">
        <v>557</v>
      </c>
      <c r="B565" s="9">
        <f t="shared" ca="1" si="111"/>
        <v>1619</v>
      </c>
      <c r="C565" s="10">
        <f t="shared" ca="1" si="112"/>
        <v>0</v>
      </c>
      <c r="D565" s="11">
        <f t="shared" ca="1" si="120"/>
        <v>0.69473680403319937</v>
      </c>
      <c r="E565" s="9">
        <f t="shared" ca="1" si="121"/>
        <v>425</v>
      </c>
      <c r="F565" s="9">
        <f t="shared" ca="1" si="113"/>
        <v>1194</v>
      </c>
      <c r="G565" s="12" t="str">
        <f t="shared" ca="1" si="114"/>
        <v>No</v>
      </c>
      <c r="H565" s="12">
        <f t="shared" ca="1" si="122"/>
        <v>0</v>
      </c>
      <c r="I565" s="10">
        <f t="shared" ca="1" si="115"/>
        <v>0</v>
      </c>
      <c r="J565" s="13">
        <f t="shared" ca="1" si="116"/>
        <v>0</v>
      </c>
      <c r="K565" s="14">
        <f t="shared" ca="1" si="117"/>
        <v>238.8</v>
      </c>
      <c r="L565" s="14">
        <f t="shared" ca="1" si="118"/>
        <v>0</v>
      </c>
      <c r="M565" s="15">
        <f t="shared" ca="1" si="119"/>
        <v>238.8</v>
      </c>
      <c r="N565" s="16">
        <f ca="1">SUM($M$9:M565)/A565</f>
        <v>336.33680430879684</v>
      </c>
      <c r="O565" s="6"/>
    </row>
    <row r="566" spans="1:15" x14ac:dyDescent="0.25">
      <c r="A566" s="8">
        <v>558</v>
      </c>
      <c r="B566" s="9">
        <f t="shared" ca="1" si="111"/>
        <v>1194</v>
      </c>
      <c r="C566" s="10">
        <f t="shared" ca="1" si="112"/>
        <v>0</v>
      </c>
      <c r="D566" s="11">
        <f t="shared" ca="1" si="120"/>
        <v>0.97094758223266853</v>
      </c>
      <c r="E566" s="9">
        <f t="shared" ca="1" si="121"/>
        <v>494</v>
      </c>
      <c r="F566" s="9">
        <f t="shared" ca="1" si="113"/>
        <v>700</v>
      </c>
      <c r="G566" s="12" t="str">
        <f t="shared" ca="1" si="114"/>
        <v>Yes</v>
      </c>
      <c r="H566" s="12">
        <f t="shared" ca="1" si="122"/>
        <v>0.35398643343918013</v>
      </c>
      <c r="I566" s="10">
        <f t="shared" ca="1" si="115"/>
        <v>1</v>
      </c>
      <c r="J566" s="13">
        <f t="shared" ca="1" si="116"/>
        <v>300</v>
      </c>
      <c r="K566" s="14">
        <f t="shared" ca="1" si="117"/>
        <v>140</v>
      </c>
      <c r="L566" s="14">
        <f t="shared" ca="1" si="118"/>
        <v>0</v>
      </c>
      <c r="M566" s="15">
        <f t="shared" ca="1" si="119"/>
        <v>440</v>
      </c>
      <c r="N566" s="16">
        <f ca="1">SUM($M$9:M566)/A566</f>
        <v>336.52258064516099</v>
      </c>
      <c r="O566" s="6"/>
    </row>
    <row r="567" spans="1:15" x14ac:dyDescent="0.25">
      <c r="A567" s="8">
        <v>559</v>
      </c>
      <c r="B567" s="9">
        <f t="shared" ca="1" si="111"/>
        <v>2500</v>
      </c>
      <c r="C567" s="10">
        <f t="shared" ca="1" si="112"/>
        <v>1800</v>
      </c>
      <c r="D567" s="11">
        <f t="shared" ca="1" si="120"/>
        <v>0.60439866244198837</v>
      </c>
      <c r="E567" s="9">
        <f t="shared" ca="1" si="121"/>
        <v>413</v>
      </c>
      <c r="F567" s="9">
        <f t="shared" ca="1" si="113"/>
        <v>2087</v>
      </c>
      <c r="G567" s="12" t="str">
        <f t="shared" ca="1" si="114"/>
        <v>No</v>
      </c>
      <c r="H567" s="12">
        <f t="shared" ca="1" si="122"/>
        <v>0</v>
      </c>
      <c r="I567" s="10">
        <f t="shared" ca="1" si="115"/>
        <v>0</v>
      </c>
      <c r="J567" s="13">
        <f t="shared" ca="1" si="116"/>
        <v>0</v>
      </c>
      <c r="K567" s="14">
        <f t="shared" ca="1" si="117"/>
        <v>417.40000000000003</v>
      </c>
      <c r="L567" s="14">
        <f t="shared" ca="1" si="118"/>
        <v>0</v>
      </c>
      <c r="M567" s="15">
        <f t="shared" ca="1" si="119"/>
        <v>417.40000000000003</v>
      </c>
      <c r="N567" s="16">
        <f ca="1">SUM($M$9:M567)/A567</f>
        <v>336.66726296958825</v>
      </c>
      <c r="O567" s="6"/>
    </row>
    <row r="568" spans="1:15" x14ac:dyDescent="0.25">
      <c r="A568" s="8">
        <v>560</v>
      </c>
      <c r="B568" s="9">
        <f t="shared" ca="1" si="111"/>
        <v>2087</v>
      </c>
      <c r="C568" s="10">
        <f t="shared" ca="1" si="112"/>
        <v>0</v>
      </c>
      <c r="D568" s="11">
        <f t="shared" ca="1" si="120"/>
        <v>0.82082326310995557</v>
      </c>
      <c r="E568" s="9">
        <f t="shared" ca="1" si="121"/>
        <v>445</v>
      </c>
      <c r="F568" s="9">
        <f t="shared" ca="1" si="113"/>
        <v>1642</v>
      </c>
      <c r="G568" s="12" t="str">
        <f t="shared" ca="1" si="114"/>
        <v>No</v>
      </c>
      <c r="H568" s="12">
        <f t="shared" ca="1" si="122"/>
        <v>0</v>
      </c>
      <c r="I568" s="10">
        <f t="shared" ca="1" si="115"/>
        <v>0</v>
      </c>
      <c r="J568" s="13">
        <f t="shared" ca="1" si="116"/>
        <v>0</v>
      </c>
      <c r="K568" s="14">
        <f t="shared" ca="1" si="117"/>
        <v>328.40000000000003</v>
      </c>
      <c r="L568" s="14">
        <f t="shared" ca="1" si="118"/>
        <v>0</v>
      </c>
      <c r="M568" s="15">
        <f t="shared" ca="1" si="119"/>
        <v>328.40000000000003</v>
      </c>
      <c r="N568" s="16">
        <f ca="1">SUM($M$9:M568)/A568</f>
        <v>336.65249999999969</v>
      </c>
      <c r="O568" s="6"/>
    </row>
    <row r="569" spans="1:15" x14ac:dyDescent="0.25">
      <c r="A569" s="8">
        <v>561</v>
      </c>
      <c r="B569" s="9">
        <f t="shared" ca="1" si="111"/>
        <v>1642</v>
      </c>
      <c r="C569" s="10">
        <f t="shared" ca="1" si="112"/>
        <v>0</v>
      </c>
      <c r="D569" s="11">
        <f t="shared" ca="1" si="120"/>
        <v>0.24122525265728967</v>
      </c>
      <c r="E569" s="9">
        <f t="shared" ca="1" si="121"/>
        <v>364</v>
      </c>
      <c r="F569" s="9">
        <f t="shared" ca="1" si="113"/>
        <v>1278</v>
      </c>
      <c r="G569" s="12" t="str">
        <f t="shared" ca="1" si="114"/>
        <v>No</v>
      </c>
      <c r="H569" s="12">
        <f t="shared" ca="1" si="122"/>
        <v>0</v>
      </c>
      <c r="I569" s="10">
        <f t="shared" ca="1" si="115"/>
        <v>0</v>
      </c>
      <c r="J569" s="13">
        <f t="shared" ca="1" si="116"/>
        <v>0</v>
      </c>
      <c r="K569" s="14">
        <f t="shared" ca="1" si="117"/>
        <v>255.60000000000002</v>
      </c>
      <c r="L569" s="14">
        <f t="shared" ca="1" si="118"/>
        <v>0</v>
      </c>
      <c r="M569" s="15">
        <f t="shared" ca="1" si="119"/>
        <v>255.60000000000002</v>
      </c>
      <c r="N569" s="16">
        <f ca="1">SUM($M$9:M569)/A569</f>
        <v>336.50802139037404</v>
      </c>
      <c r="O569" s="6"/>
    </row>
    <row r="570" spans="1:15" x14ac:dyDescent="0.25">
      <c r="A570" s="8">
        <v>562</v>
      </c>
      <c r="B570" s="9">
        <f t="shared" ca="1" si="111"/>
        <v>1278</v>
      </c>
      <c r="C570" s="10">
        <f t="shared" ca="1" si="112"/>
        <v>0</v>
      </c>
      <c r="D570" s="11">
        <f t="shared" ca="1" si="120"/>
        <v>0.16060305636710737</v>
      </c>
      <c r="E570" s="9">
        <f t="shared" ca="1" si="121"/>
        <v>350</v>
      </c>
      <c r="F570" s="9">
        <f t="shared" ca="1" si="113"/>
        <v>928</v>
      </c>
      <c r="G570" s="12" t="str">
        <f t="shared" ca="1" si="114"/>
        <v>Yes</v>
      </c>
      <c r="H570" s="12">
        <f t="shared" ca="1" si="122"/>
        <v>0.96433452926331298</v>
      </c>
      <c r="I570" s="10">
        <f t="shared" ca="1" si="115"/>
        <v>3</v>
      </c>
      <c r="J570" s="13">
        <f t="shared" ca="1" si="116"/>
        <v>300</v>
      </c>
      <c r="K570" s="14">
        <f t="shared" ca="1" si="117"/>
        <v>185.60000000000002</v>
      </c>
      <c r="L570" s="14">
        <f t="shared" ca="1" si="118"/>
        <v>0</v>
      </c>
      <c r="M570" s="15">
        <f t="shared" ca="1" si="119"/>
        <v>485.6</v>
      </c>
      <c r="N570" s="16">
        <f ca="1">SUM($M$9:M570)/A570</f>
        <v>336.77330960854061</v>
      </c>
      <c r="O570" s="6"/>
    </row>
    <row r="571" spans="1:15" x14ac:dyDescent="0.25">
      <c r="A571" s="8">
        <v>563</v>
      </c>
      <c r="B571" s="9">
        <f t="shared" ca="1" si="111"/>
        <v>928</v>
      </c>
      <c r="C571" s="10">
        <f t="shared" ca="1" si="112"/>
        <v>0</v>
      </c>
      <c r="D571" s="11">
        <f t="shared" ca="1" si="120"/>
        <v>0.53778283290002993</v>
      </c>
      <c r="E571" s="9">
        <f t="shared" ca="1" si="121"/>
        <v>404</v>
      </c>
      <c r="F571" s="9">
        <f t="shared" ca="1" si="113"/>
        <v>524</v>
      </c>
      <c r="G571" s="12" t="str">
        <f t="shared" ca="1" si="114"/>
        <v>No</v>
      </c>
      <c r="H571" s="12">
        <f t="shared" ca="1" si="122"/>
        <v>0</v>
      </c>
      <c r="I571" s="10">
        <f t="shared" ca="1" si="115"/>
        <v>2</v>
      </c>
      <c r="J571" s="13">
        <f t="shared" ca="1" si="116"/>
        <v>0</v>
      </c>
      <c r="K571" s="14">
        <f t="shared" ca="1" si="117"/>
        <v>104.80000000000001</v>
      </c>
      <c r="L571" s="14">
        <f t="shared" ca="1" si="118"/>
        <v>0</v>
      </c>
      <c r="M571" s="15">
        <f t="shared" ca="1" si="119"/>
        <v>104.80000000000001</v>
      </c>
      <c r="N571" s="16">
        <f ca="1">SUM($M$9:M571)/A571</f>
        <v>336.36127886323237</v>
      </c>
      <c r="O571" s="6"/>
    </row>
    <row r="572" spans="1:15" x14ac:dyDescent="0.25">
      <c r="A572" s="8">
        <v>564</v>
      </c>
      <c r="B572" s="9">
        <f t="shared" ca="1" si="111"/>
        <v>524</v>
      </c>
      <c r="C572" s="10">
        <f t="shared" ca="1" si="112"/>
        <v>0</v>
      </c>
      <c r="D572" s="11">
        <f t="shared" ca="1" si="120"/>
        <v>0.77146087889454074</v>
      </c>
      <c r="E572" s="9">
        <f t="shared" ca="1" si="121"/>
        <v>437</v>
      </c>
      <c r="F572" s="9">
        <f t="shared" ca="1" si="113"/>
        <v>87</v>
      </c>
      <c r="G572" s="12" t="str">
        <f t="shared" ca="1" si="114"/>
        <v>No</v>
      </c>
      <c r="H572" s="12">
        <f t="shared" ca="1" si="122"/>
        <v>0</v>
      </c>
      <c r="I572" s="10">
        <f t="shared" ca="1" si="115"/>
        <v>1</v>
      </c>
      <c r="J572" s="13">
        <f t="shared" ca="1" si="116"/>
        <v>0</v>
      </c>
      <c r="K572" s="14">
        <f t="shared" ca="1" si="117"/>
        <v>17.400000000000002</v>
      </c>
      <c r="L572" s="14">
        <f t="shared" ca="1" si="118"/>
        <v>0</v>
      </c>
      <c r="M572" s="15">
        <f t="shared" ca="1" si="119"/>
        <v>17.400000000000002</v>
      </c>
      <c r="N572" s="16">
        <f ca="1">SUM($M$9:M572)/A572</f>
        <v>335.79574468085076</v>
      </c>
      <c r="O572" s="6"/>
    </row>
    <row r="573" spans="1:15" x14ac:dyDescent="0.25">
      <c r="A573" s="8">
        <v>565</v>
      </c>
      <c r="B573" s="9">
        <f t="shared" ref="B573:B636" ca="1" si="123">IF(I572=1,F572+Quantity,F572)</f>
        <v>1887</v>
      </c>
      <c r="C573" s="10">
        <f t="shared" ref="C573:C636" ca="1" si="124">IF(I572=1,Quantity,0)</f>
        <v>1800</v>
      </c>
      <c r="D573" s="11">
        <f t="shared" ca="1" si="120"/>
        <v>0.28767178272409566</v>
      </c>
      <c r="E573" s="9">
        <f t="shared" ca="1" si="121"/>
        <v>371</v>
      </c>
      <c r="F573" s="9">
        <f t="shared" ref="F573:F636" ca="1" si="125">IF(B573+C573-E573&lt;0,0,B573-E573)</f>
        <v>1516</v>
      </c>
      <c r="G573" s="12" t="str">
        <f t="shared" ref="G573:G636" ca="1" si="126">IF(B573&lt;Point,IF(I572=0,"Yes","No"),"No")</f>
        <v>No</v>
      </c>
      <c r="H573" s="12">
        <f t="shared" ca="1" si="122"/>
        <v>0</v>
      </c>
      <c r="I573" s="10">
        <f t="shared" ref="I573:I636" ca="1" si="127">IF(I572&gt;0,I572-1,(IF(G573="Yes",(VLOOKUP(H573,LTD,3)),0)))</f>
        <v>0</v>
      </c>
      <c r="J573" s="13">
        <f t="shared" ref="J573:J636" ca="1" si="128">IF(G573="Yes",Order_Cost,0)</f>
        <v>0</v>
      </c>
      <c r="K573" s="14">
        <f t="shared" ref="K573:K636" ca="1" si="129">F573*Holding_Cost</f>
        <v>303.2</v>
      </c>
      <c r="L573" s="14">
        <f t="shared" ref="L573:L636" ca="1" si="130">IF(B573+C573&lt;E573,Shortage_Cost*(E573-B573-C573),0)</f>
        <v>0</v>
      </c>
      <c r="M573" s="15">
        <f t="shared" ref="M573:M636" ca="1" si="131">SUM(J573:L573)</f>
        <v>303.2</v>
      </c>
      <c r="N573" s="16">
        <f ca="1">SUM($M$9:M573)/A573</f>
        <v>335.73805309734485</v>
      </c>
      <c r="O573" s="6"/>
    </row>
    <row r="574" spans="1:15" x14ac:dyDescent="0.25">
      <c r="A574" s="8">
        <v>566</v>
      </c>
      <c r="B574" s="9">
        <f t="shared" ca="1" si="123"/>
        <v>1516</v>
      </c>
      <c r="C574" s="10">
        <f t="shared" ca="1" si="124"/>
        <v>0</v>
      </c>
      <c r="D574" s="11">
        <f t="shared" ca="1" si="120"/>
        <v>0.7315738579980221</v>
      </c>
      <c r="E574" s="9">
        <f t="shared" ca="1" si="121"/>
        <v>430</v>
      </c>
      <c r="F574" s="9">
        <f t="shared" ca="1" si="125"/>
        <v>1086</v>
      </c>
      <c r="G574" s="12" t="str">
        <f t="shared" ca="1" si="126"/>
        <v>No</v>
      </c>
      <c r="H574" s="12">
        <f t="shared" ca="1" si="122"/>
        <v>0</v>
      </c>
      <c r="I574" s="10">
        <f t="shared" ca="1" si="127"/>
        <v>0</v>
      </c>
      <c r="J574" s="13">
        <f t="shared" ca="1" si="128"/>
        <v>0</v>
      </c>
      <c r="K574" s="14">
        <f t="shared" ca="1" si="129"/>
        <v>217.20000000000002</v>
      </c>
      <c r="L574" s="14">
        <f t="shared" ca="1" si="130"/>
        <v>0</v>
      </c>
      <c r="M574" s="15">
        <f t="shared" ca="1" si="131"/>
        <v>217.20000000000002</v>
      </c>
      <c r="N574" s="16">
        <f ca="1">SUM($M$9:M574)/A574</f>
        <v>335.52862190812692</v>
      </c>
      <c r="O574" s="6"/>
    </row>
    <row r="575" spans="1:15" x14ac:dyDescent="0.25">
      <c r="A575" s="8">
        <v>567</v>
      </c>
      <c r="B575" s="9">
        <f t="shared" ca="1" si="123"/>
        <v>1086</v>
      </c>
      <c r="C575" s="10">
        <f t="shared" ca="1" si="124"/>
        <v>0</v>
      </c>
      <c r="D575" s="11">
        <f t="shared" ca="1" si="120"/>
        <v>0.91071114595813352</v>
      </c>
      <c r="E575" s="9">
        <f t="shared" ca="1" si="121"/>
        <v>467</v>
      </c>
      <c r="F575" s="9">
        <f t="shared" ca="1" si="125"/>
        <v>619</v>
      </c>
      <c r="G575" s="12" t="str">
        <f t="shared" ca="1" si="126"/>
        <v>Yes</v>
      </c>
      <c r="H575" s="12">
        <f t="shared" ca="1" si="122"/>
        <v>0.42428448564219401</v>
      </c>
      <c r="I575" s="10">
        <f t="shared" ca="1" si="127"/>
        <v>1</v>
      </c>
      <c r="J575" s="13">
        <f t="shared" ca="1" si="128"/>
        <v>300</v>
      </c>
      <c r="K575" s="14">
        <f t="shared" ca="1" si="129"/>
        <v>123.80000000000001</v>
      </c>
      <c r="L575" s="14">
        <f t="shared" ca="1" si="130"/>
        <v>0</v>
      </c>
      <c r="M575" s="15">
        <f t="shared" ca="1" si="131"/>
        <v>423.8</v>
      </c>
      <c r="N575" s="16">
        <f ca="1">SUM($M$9:M575)/A575</f>
        <v>335.68430335096969</v>
      </c>
      <c r="O575" s="6"/>
    </row>
    <row r="576" spans="1:15" x14ac:dyDescent="0.25">
      <c r="A576" s="8">
        <v>568</v>
      </c>
      <c r="B576" s="9">
        <f t="shared" ca="1" si="123"/>
        <v>2419</v>
      </c>
      <c r="C576" s="10">
        <f t="shared" ca="1" si="124"/>
        <v>1800</v>
      </c>
      <c r="D576" s="11">
        <f t="shared" ca="1" si="120"/>
        <v>0.15940274512797215</v>
      </c>
      <c r="E576" s="9">
        <f t="shared" ca="1" si="121"/>
        <v>350</v>
      </c>
      <c r="F576" s="9">
        <f t="shared" ca="1" si="125"/>
        <v>2069</v>
      </c>
      <c r="G576" s="12" t="str">
        <f t="shared" ca="1" si="126"/>
        <v>No</v>
      </c>
      <c r="H576" s="12">
        <f t="shared" ca="1" si="122"/>
        <v>0</v>
      </c>
      <c r="I576" s="10">
        <f t="shared" ca="1" si="127"/>
        <v>0</v>
      </c>
      <c r="J576" s="13">
        <f t="shared" ca="1" si="128"/>
        <v>0</v>
      </c>
      <c r="K576" s="14">
        <f t="shared" ca="1" si="129"/>
        <v>413.8</v>
      </c>
      <c r="L576" s="14">
        <f t="shared" ca="1" si="130"/>
        <v>0</v>
      </c>
      <c r="M576" s="15">
        <f t="shared" ca="1" si="131"/>
        <v>413.8</v>
      </c>
      <c r="N576" s="16">
        <f ca="1">SUM($M$9:M576)/A576</f>
        <v>335.82183098591514</v>
      </c>
      <c r="O576" s="6"/>
    </row>
    <row r="577" spans="1:15" x14ac:dyDescent="0.25">
      <c r="A577" s="8">
        <v>569</v>
      </c>
      <c r="B577" s="9">
        <f t="shared" ca="1" si="123"/>
        <v>2069</v>
      </c>
      <c r="C577" s="10">
        <f t="shared" ca="1" si="124"/>
        <v>0</v>
      </c>
      <c r="D577" s="11">
        <f t="shared" ca="1" si="120"/>
        <v>0.50390691840866475</v>
      </c>
      <c r="E577" s="9">
        <f t="shared" ca="1" si="121"/>
        <v>400</v>
      </c>
      <c r="F577" s="9">
        <f t="shared" ca="1" si="125"/>
        <v>1669</v>
      </c>
      <c r="G577" s="12" t="str">
        <f t="shared" ca="1" si="126"/>
        <v>No</v>
      </c>
      <c r="H577" s="12">
        <f t="shared" ca="1" si="122"/>
        <v>0</v>
      </c>
      <c r="I577" s="10">
        <f t="shared" ca="1" si="127"/>
        <v>0</v>
      </c>
      <c r="J577" s="13">
        <f t="shared" ca="1" si="128"/>
        <v>0</v>
      </c>
      <c r="K577" s="14">
        <f t="shared" ca="1" si="129"/>
        <v>333.8</v>
      </c>
      <c r="L577" s="14">
        <f t="shared" ca="1" si="130"/>
        <v>0</v>
      </c>
      <c r="M577" s="15">
        <f t="shared" ca="1" si="131"/>
        <v>333.8</v>
      </c>
      <c r="N577" s="16">
        <f ca="1">SUM($M$9:M577)/A577</f>
        <v>335.81827768014023</v>
      </c>
      <c r="O577" s="6"/>
    </row>
    <row r="578" spans="1:15" x14ac:dyDescent="0.25">
      <c r="A578" s="8">
        <v>570</v>
      </c>
      <c r="B578" s="9">
        <f t="shared" ca="1" si="123"/>
        <v>1669</v>
      </c>
      <c r="C578" s="10">
        <f t="shared" ca="1" si="124"/>
        <v>0</v>
      </c>
      <c r="D578" s="11">
        <f t="shared" ca="1" si="120"/>
        <v>0.33021756880659958</v>
      </c>
      <c r="E578" s="9">
        <f t="shared" ca="1" si="121"/>
        <v>378</v>
      </c>
      <c r="F578" s="9">
        <f t="shared" ca="1" si="125"/>
        <v>1291</v>
      </c>
      <c r="G578" s="12" t="str">
        <f t="shared" ca="1" si="126"/>
        <v>No</v>
      </c>
      <c r="H578" s="12">
        <f t="shared" ca="1" si="122"/>
        <v>0</v>
      </c>
      <c r="I578" s="10">
        <f t="shared" ca="1" si="127"/>
        <v>0</v>
      </c>
      <c r="J578" s="13">
        <f t="shared" ca="1" si="128"/>
        <v>0</v>
      </c>
      <c r="K578" s="14">
        <f t="shared" ca="1" si="129"/>
        <v>258.2</v>
      </c>
      <c r="L578" s="14">
        <f t="shared" ca="1" si="130"/>
        <v>0</v>
      </c>
      <c r="M578" s="15">
        <f t="shared" ca="1" si="131"/>
        <v>258.2</v>
      </c>
      <c r="N578" s="16">
        <f ca="1">SUM($M$9:M578)/A578</f>
        <v>335.68210526315755</v>
      </c>
      <c r="O578" s="6"/>
    </row>
    <row r="579" spans="1:15" x14ac:dyDescent="0.25">
      <c r="A579" s="8">
        <v>571</v>
      </c>
      <c r="B579" s="9">
        <f t="shared" ca="1" si="123"/>
        <v>1291</v>
      </c>
      <c r="C579" s="10">
        <f t="shared" ca="1" si="124"/>
        <v>0</v>
      </c>
      <c r="D579" s="11">
        <f t="shared" ca="1" si="120"/>
        <v>0.54365874835023598</v>
      </c>
      <c r="E579" s="9">
        <f t="shared" ca="1" si="121"/>
        <v>405</v>
      </c>
      <c r="F579" s="9">
        <f t="shared" ca="1" si="125"/>
        <v>886</v>
      </c>
      <c r="G579" s="12" t="str">
        <f t="shared" ca="1" si="126"/>
        <v>Yes</v>
      </c>
      <c r="H579" s="12">
        <f t="shared" ca="1" si="122"/>
        <v>0.47895668151738757</v>
      </c>
      <c r="I579" s="10">
        <f t="shared" ca="1" si="127"/>
        <v>1</v>
      </c>
      <c r="J579" s="13">
        <f t="shared" ca="1" si="128"/>
        <v>300</v>
      </c>
      <c r="K579" s="14">
        <f t="shared" ca="1" si="129"/>
        <v>177.20000000000002</v>
      </c>
      <c r="L579" s="14">
        <f t="shared" ca="1" si="130"/>
        <v>0</v>
      </c>
      <c r="M579" s="15">
        <f t="shared" ca="1" si="131"/>
        <v>477.20000000000005</v>
      </c>
      <c r="N579" s="16">
        <f ca="1">SUM($M$9:M579)/A579</f>
        <v>335.92994746059514</v>
      </c>
      <c r="O579" s="6"/>
    </row>
    <row r="580" spans="1:15" x14ac:dyDescent="0.25">
      <c r="A580" s="8">
        <v>572</v>
      </c>
      <c r="B580" s="9">
        <f t="shared" ca="1" si="123"/>
        <v>2686</v>
      </c>
      <c r="C580" s="10">
        <f t="shared" ca="1" si="124"/>
        <v>1800</v>
      </c>
      <c r="D580" s="11">
        <f t="shared" ca="1" si="120"/>
        <v>0.79247521847006253</v>
      </c>
      <c r="E580" s="9">
        <f t="shared" ca="1" si="121"/>
        <v>440</v>
      </c>
      <c r="F580" s="9">
        <f t="shared" ca="1" si="125"/>
        <v>2246</v>
      </c>
      <c r="G580" s="12" t="str">
        <f t="shared" ca="1" si="126"/>
        <v>No</v>
      </c>
      <c r="H580" s="12">
        <f t="shared" ca="1" si="122"/>
        <v>0</v>
      </c>
      <c r="I580" s="10">
        <f t="shared" ca="1" si="127"/>
        <v>0</v>
      </c>
      <c r="J580" s="13">
        <f t="shared" ca="1" si="128"/>
        <v>0</v>
      </c>
      <c r="K580" s="14">
        <f t="shared" ca="1" si="129"/>
        <v>449.20000000000005</v>
      </c>
      <c r="L580" s="14">
        <f t="shared" ca="1" si="130"/>
        <v>0</v>
      </c>
      <c r="M580" s="15">
        <f t="shared" ca="1" si="131"/>
        <v>449.20000000000005</v>
      </c>
      <c r="N580" s="16">
        <f ca="1">SUM($M$9:M580)/A580</f>
        <v>336.12797202797174</v>
      </c>
      <c r="O580" s="6"/>
    </row>
    <row r="581" spans="1:15" x14ac:dyDescent="0.25">
      <c r="A581" s="8">
        <v>573</v>
      </c>
      <c r="B581" s="9">
        <f t="shared" ca="1" si="123"/>
        <v>2246</v>
      </c>
      <c r="C581" s="10">
        <f t="shared" ca="1" si="124"/>
        <v>0</v>
      </c>
      <c r="D581" s="11">
        <f t="shared" ca="1" si="120"/>
        <v>0.16461124573128727</v>
      </c>
      <c r="E581" s="9">
        <f t="shared" ca="1" si="121"/>
        <v>351</v>
      </c>
      <c r="F581" s="9">
        <f t="shared" ca="1" si="125"/>
        <v>1895</v>
      </c>
      <c r="G581" s="12" t="str">
        <f t="shared" ca="1" si="126"/>
        <v>No</v>
      </c>
      <c r="H581" s="12">
        <f t="shared" ca="1" si="122"/>
        <v>0</v>
      </c>
      <c r="I581" s="10">
        <f t="shared" ca="1" si="127"/>
        <v>0</v>
      </c>
      <c r="J581" s="13">
        <f t="shared" ca="1" si="128"/>
        <v>0</v>
      </c>
      <c r="K581" s="14">
        <f t="shared" ca="1" si="129"/>
        <v>379</v>
      </c>
      <c r="L581" s="14">
        <f t="shared" ca="1" si="130"/>
        <v>0</v>
      </c>
      <c r="M581" s="15">
        <f t="shared" ca="1" si="131"/>
        <v>379</v>
      </c>
      <c r="N581" s="16">
        <f ca="1">SUM($M$9:M581)/A581</f>
        <v>336.20279232111665</v>
      </c>
      <c r="O581" s="6"/>
    </row>
    <row r="582" spans="1:15" x14ac:dyDescent="0.25">
      <c r="A582" s="8">
        <v>574</v>
      </c>
      <c r="B582" s="9">
        <f t="shared" ca="1" si="123"/>
        <v>1895</v>
      </c>
      <c r="C582" s="10">
        <f t="shared" ca="1" si="124"/>
        <v>0</v>
      </c>
      <c r="D582" s="11">
        <f t="shared" ca="1" si="120"/>
        <v>0.98676289142126239</v>
      </c>
      <c r="E582" s="9">
        <f t="shared" ca="1" si="121"/>
        <v>510</v>
      </c>
      <c r="F582" s="9">
        <f t="shared" ca="1" si="125"/>
        <v>1385</v>
      </c>
      <c r="G582" s="12" t="str">
        <f t="shared" ca="1" si="126"/>
        <v>No</v>
      </c>
      <c r="H582" s="12">
        <f t="shared" ca="1" si="122"/>
        <v>0</v>
      </c>
      <c r="I582" s="10">
        <f t="shared" ca="1" si="127"/>
        <v>0</v>
      </c>
      <c r="J582" s="13">
        <f t="shared" ca="1" si="128"/>
        <v>0</v>
      </c>
      <c r="K582" s="14">
        <f t="shared" ca="1" si="129"/>
        <v>277</v>
      </c>
      <c r="L582" s="14">
        <f t="shared" ca="1" si="130"/>
        <v>0</v>
      </c>
      <c r="M582" s="15">
        <f t="shared" ca="1" si="131"/>
        <v>277</v>
      </c>
      <c r="N582" s="16">
        <f ca="1">SUM($M$9:M582)/A582</f>
        <v>336.09965156794397</v>
      </c>
      <c r="O582" s="6"/>
    </row>
    <row r="583" spans="1:15" x14ac:dyDescent="0.25">
      <c r="A583" s="8">
        <v>575</v>
      </c>
      <c r="B583" s="9">
        <f t="shared" ca="1" si="123"/>
        <v>1385</v>
      </c>
      <c r="C583" s="10">
        <f t="shared" ca="1" si="124"/>
        <v>0</v>
      </c>
      <c r="D583" s="11">
        <f t="shared" ca="1" si="120"/>
        <v>0.37452687384765337</v>
      </c>
      <c r="E583" s="9">
        <f t="shared" ca="1" si="121"/>
        <v>384</v>
      </c>
      <c r="F583" s="9">
        <f t="shared" ca="1" si="125"/>
        <v>1001</v>
      </c>
      <c r="G583" s="12" t="str">
        <f t="shared" ca="1" si="126"/>
        <v>Yes</v>
      </c>
      <c r="H583" s="12">
        <f t="shared" ca="1" si="122"/>
        <v>0.76572746928478197</v>
      </c>
      <c r="I583" s="10">
        <f t="shared" ca="1" si="127"/>
        <v>2</v>
      </c>
      <c r="J583" s="13">
        <f t="shared" ca="1" si="128"/>
        <v>300</v>
      </c>
      <c r="K583" s="14">
        <f t="shared" ca="1" si="129"/>
        <v>200.20000000000002</v>
      </c>
      <c r="L583" s="14">
        <f t="shared" ca="1" si="130"/>
        <v>0</v>
      </c>
      <c r="M583" s="15">
        <f t="shared" ca="1" si="131"/>
        <v>500.20000000000005</v>
      </c>
      <c r="N583" s="16">
        <f ca="1">SUM($M$9:M583)/A583</f>
        <v>336.38504347826063</v>
      </c>
      <c r="O583" s="6"/>
    </row>
    <row r="584" spans="1:15" x14ac:dyDescent="0.25">
      <c r="A584" s="8">
        <v>576</v>
      </c>
      <c r="B584" s="9">
        <f t="shared" ca="1" si="123"/>
        <v>1001</v>
      </c>
      <c r="C584" s="10">
        <f t="shared" ca="1" si="124"/>
        <v>0</v>
      </c>
      <c r="D584" s="11">
        <f t="shared" ca="1" si="120"/>
        <v>0.76168868477072205</v>
      </c>
      <c r="E584" s="9">
        <f t="shared" ca="1" si="121"/>
        <v>435</v>
      </c>
      <c r="F584" s="9">
        <f t="shared" ca="1" si="125"/>
        <v>566</v>
      </c>
      <c r="G584" s="12" t="str">
        <f t="shared" ca="1" si="126"/>
        <v>No</v>
      </c>
      <c r="H584" s="12">
        <f t="shared" ca="1" si="122"/>
        <v>0</v>
      </c>
      <c r="I584" s="10">
        <f t="shared" ca="1" si="127"/>
        <v>1</v>
      </c>
      <c r="J584" s="13">
        <f t="shared" ca="1" si="128"/>
        <v>0</v>
      </c>
      <c r="K584" s="14">
        <f t="shared" ca="1" si="129"/>
        <v>113.2</v>
      </c>
      <c r="L584" s="14">
        <f t="shared" ca="1" si="130"/>
        <v>0</v>
      </c>
      <c r="M584" s="15">
        <f t="shared" ca="1" si="131"/>
        <v>113.2</v>
      </c>
      <c r="N584" s="16">
        <f ca="1">SUM($M$9:M584)/A584</f>
        <v>335.9975694444442</v>
      </c>
      <c r="O584" s="6"/>
    </row>
    <row r="585" spans="1:15" x14ac:dyDescent="0.25">
      <c r="A585" s="8">
        <v>577</v>
      </c>
      <c r="B585" s="9">
        <f t="shared" ca="1" si="123"/>
        <v>2366</v>
      </c>
      <c r="C585" s="10">
        <f t="shared" ca="1" si="124"/>
        <v>1800</v>
      </c>
      <c r="D585" s="11">
        <f t="shared" ca="1" si="120"/>
        <v>0.55562641284920011</v>
      </c>
      <c r="E585" s="9">
        <f t="shared" ca="1" si="121"/>
        <v>406</v>
      </c>
      <c r="F585" s="9">
        <f t="shared" ca="1" si="125"/>
        <v>1960</v>
      </c>
      <c r="G585" s="12" t="str">
        <f t="shared" ca="1" si="126"/>
        <v>No</v>
      </c>
      <c r="H585" s="12">
        <f t="shared" ca="1" si="122"/>
        <v>0</v>
      </c>
      <c r="I585" s="10">
        <f t="shared" ca="1" si="127"/>
        <v>0</v>
      </c>
      <c r="J585" s="13">
        <f t="shared" ca="1" si="128"/>
        <v>0</v>
      </c>
      <c r="K585" s="14">
        <f t="shared" ca="1" si="129"/>
        <v>392</v>
      </c>
      <c r="L585" s="14">
        <f t="shared" ca="1" si="130"/>
        <v>0</v>
      </c>
      <c r="M585" s="15">
        <f t="shared" ca="1" si="131"/>
        <v>392</v>
      </c>
      <c r="N585" s="16">
        <f ca="1">SUM($M$9:M585)/A585</f>
        <v>336.09462738301534</v>
      </c>
      <c r="O585" s="6"/>
    </row>
    <row r="586" spans="1:15" x14ac:dyDescent="0.25">
      <c r="A586" s="8">
        <v>578</v>
      </c>
      <c r="B586" s="9">
        <f t="shared" ca="1" si="123"/>
        <v>1960</v>
      </c>
      <c r="C586" s="10">
        <f t="shared" ca="1" si="124"/>
        <v>0</v>
      </c>
      <c r="D586" s="11">
        <f t="shared" ref="D586:D649" ca="1" si="132">RAND()</f>
        <v>0.74180740793277689</v>
      </c>
      <c r="E586" s="9">
        <f t="shared" ref="E586:E649" ca="1" si="133">INT(NORMINV(D586,D_Mean,D_StdDev))</f>
        <v>432</v>
      </c>
      <c r="F586" s="9">
        <f t="shared" ca="1" si="125"/>
        <v>1528</v>
      </c>
      <c r="G586" s="12" t="str">
        <f t="shared" ca="1" si="126"/>
        <v>No</v>
      </c>
      <c r="H586" s="12">
        <f t="shared" ref="H586:H649" ca="1" si="134">IF(G586="Yes",RAND(),0)</f>
        <v>0</v>
      </c>
      <c r="I586" s="10">
        <f t="shared" ca="1" si="127"/>
        <v>0</v>
      </c>
      <c r="J586" s="13">
        <f t="shared" ca="1" si="128"/>
        <v>0</v>
      </c>
      <c r="K586" s="14">
        <f t="shared" ca="1" si="129"/>
        <v>305.60000000000002</v>
      </c>
      <c r="L586" s="14">
        <f t="shared" ca="1" si="130"/>
        <v>0</v>
      </c>
      <c r="M586" s="15">
        <f t="shared" ca="1" si="131"/>
        <v>305.60000000000002</v>
      </c>
      <c r="N586" s="16">
        <f ca="1">SUM($M$9:M586)/A586</f>
        <v>336.04186851211051</v>
      </c>
      <c r="O586" s="6"/>
    </row>
    <row r="587" spans="1:15" x14ac:dyDescent="0.25">
      <c r="A587" s="8">
        <v>579</v>
      </c>
      <c r="B587" s="9">
        <f t="shared" ca="1" si="123"/>
        <v>1528</v>
      </c>
      <c r="C587" s="10">
        <f t="shared" ca="1" si="124"/>
        <v>0</v>
      </c>
      <c r="D587" s="11">
        <f t="shared" ca="1" si="132"/>
        <v>0.19395199126327012</v>
      </c>
      <c r="E587" s="9">
        <f t="shared" ca="1" si="133"/>
        <v>356</v>
      </c>
      <c r="F587" s="9">
        <f t="shared" ca="1" si="125"/>
        <v>1172</v>
      </c>
      <c r="G587" s="12" t="str">
        <f t="shared" ca="1" si="126"/>
        <v>No</v>
      </c>
      <c r="H587" s="12">
        <f t="shared" ca="1" si="134"/>
        <v>0</v>
      </c>
      <c r="I587" s="10">
        <f t="shared" ca="1" si="127"/>
        <v>0</v>
      </c>
      <c r="J587" s="13">
        <f t="shared" ca="1" si="128"/>
        <v>0</v>
      </c>
      <c r="K587" s="14">
        <f t="shared" ca="1" si="129"/>
        <v>234.4</v>
      </c>
      <c r="L587" s="14">
        <f t="shared" ca="1" si="130"/>
        <v>0</v>
      </c>
      <c r="M587" s="15">
        <f t="shared" ca="1" si="131"/>
        <v>234.4</v>
      </c>
      <c r="N587" s="16">
        <f ca="1">SUM($M$9:M587)/A587</f>
        <v>335.86632124352309</v>
      </c>
      <c r="O587" s="6"/>
    </row>
    <row r="588" spans="1:15" x14ac:dyDescent="0.25">
      <c r="A588" s="8">
        <v>580</v>
      </c>
      <c r="B588" s="9">
        <f t="shared" ca="1" si="123"/>
        <v>1172</v>
      </c>
      <c r="C588" s="10">
        <f t="shared" ca="1" si="124"/>
        <v>0</v>
      </c>
      <c r="D588" s="11">
        <f t="shared" ca="1" si="132"/>
        <v>0.85549632818486099</v>
      </c>
      <c r="E588" s="9">
        <f t="shared" ca="1" si="133"/>
        <v>453</v>
      </c>
      <c r="F588" s="9">
        <f t="shared" ca="1" si="125"/>
        <v>719</v>
      </c>
      <c r="G588" s="12" t="str">
        <f t="shared" ca="1" si="126"/>
        <v>Yes</v>
      </c>
      <c r="H588" s="12">
        <f t="shared" ca="1" si="134"/>
        <v>0.74215434896602828</v>
      </c>
      <c r="I588" s="10">
        <f t="shared" ca="1" si="127"/>
        <v>2</v>
      </c>
      <c r="J588" s="13">
        <f t="shared" ca="1" si="128"/>
        <v>300</v>
      </c>
      <c r="K588" s="14">
        <f t="shared" ca="1" si="129"/>
        <v>143.80000000000001</v>
      </c>
      <c r="L588" s="14">
        <f t="shared" ca="1" si="130"/>
        <v>0</v>
      </c>
      <c r="M588" s="15">
        <f t="shared" ca="1" si="131"/>
        <v>443.8</v>
      </c>
      <c r="N588" s="16">
        <f ca="1">SUM($M$9:M588)/A588</f>
        <v>336.0524137931032</v>
      </c>
      <c r="O588" s="6"/>
    </row>
    <row r="589" spans="1:15" x14ac:dyDescent="0.25">
      <c r="A589" s="8">
        <v>581</v>
      </c>
      <c r="B589" s="9">
        <f t="shared" ca="1" si="123"/>
        <v>719</v>
      </c>
      <c r="C589" s="10">
        <f t="shared" ca="1" si="124"/>
        <v>0</v>
      </c>
      <c r="D589" s="11">
        <f t="shared" ca="1" si="132"/>
        <v>0.13883233841668285</v>
      </c>
      <c r="E589" s="9">
        <f t="shared" ca="1" si="133"/>
        <v>345</v>
      </c>
      <c r="F589" s="9">
        <f t="shared" ca="1" si="125"/>
        <v>374</v>
      </c>
      <c r="G589" s="12" t="str">
        <f t="shared" ca="1" si="126"/>
        <v>No</v>
      </c>
      <c r="H589" s="12">
        <f t="shared" ca="1" si="134"/>
        <v>0</v>
      </c>
      <c r="I589" s="10">
        <f t="shared" ca="1" si="127"/>
        <v>1</v>
      </c>
      <c r="J589" s="13">
        <f t="shared" ca="1" si="128"/>
        <v>0</v>
      </c>
      <c r="K589" s="14">
        <f t="shared" ca="1" si="129"/>
        <v>74.8</v>
      </c>
      <c r="L589" s="14">
        <f t="shared" ca="1" si="130"/>
        <v>0</v>
      </c>
      <c r="M589" s="15">
        <f t="shared" ca="1" si="131"/>
        <v>74.8</v>
      </c>
      <c r="N589" s="16">
        <f ca="1">SUM($M$9:M589)/A589</f>
        <v>335.60275387263312</v>
      </c>
      <c r="O589" s="6"/>
    </row>
    <row r="590" spans="1:15" x14ac:dyDescent="0.25">
      <c r="A590" s="8">
        <v>582</v>
      </c>
      <c r="B590" s="9">
        <f t="shared" ca="1" si="123"/>
        <v>2174</v>
      </c>
      <c r="C590" s="10">
        <f t="shared" ca="1" si="124"/>
        <v>1800</v>
      </c>
      <c r="D590" s="11">
        <f t="shared" ca="1" si="132"/>
        <v>0.12612788108266848</v>
      </c>
      <c r="E590" s="9">
        <f t="shared" ca="1" si="133"/>
        <v>342</v>
      </c>
      <c r="F590" s="9">
        <f t="shared" ca="1" si="125"/>
        <v>1832</v>
      </c>
      <c r="G590" s="12" t="str">
        <f t="shared" ca="1" si="126"/>
        <v>No</v>
      </c>
      <c r="H590" s="12">
        <f t="shared" ca="1" si="134"/>
        <v>0</v>
      </c>
      <c r="I590" s="10">
        <f t="shared" ca="1" si="127"/>
        <v>0</v>
      </c>
      <c r="J590" s="13">
        <f t="shared" ca="1" si="128"/>
        <v>0</v>
      </c>
      <c r="K590" s="14">
        <f t="shared" ca="1" si="129"/>
        <v>366.40000000000003</v>
      </c>
      <c r="L590" s="14">
        <f t="shared" ca="1" si="130"/>
        <v>0</v>
      </c>
      <c r="M590" s="15">
        <f t="shared" ca="1" si="131"/>
        <v>366.40000000000003</v>
      </c>
      <c r="N590" s="16">
        <f ca="1">SUM($M$9:M590)/A590</f>
        <v>335.65567010309252</v>
      </c>
      <c r="O590" s="6"/>
    </row>
    <row r="591" spans="1:15" x14ac:dyDescent="0.25">
      <c r="A591" s="8">
        <v>583</v>
      </c>
      <c r="B591" s="9">
        <f t="shared" ca="1" si="123"/>
        <v>1832</v>
      </c>
      <c r="C591" s="10">
        <f t="shared" ca="1" si="124"/>
        <v>0</v>
      </c>
      <c r="D591" s="11">
        <f t="shared" ca="1" si="132"/>
        <v>0.34587308731577582</v>
      </c>
      <c r="E591" s="9">
        <f t="shared" ca="1" si="133"/>
        <v>380</v>
      </c>
      <c r="F591" s="9">
        <f t="shared" ca="1" si="125"/>
        <v>1452</v>
      </c>
      <c r="G591" s="12" t="str">
        <f t="shared" ca="1" si="126"/>
        <v>No</v>
      </c>
      <c r="H591" s="12">
        <f t="shared" ca="1" si="134"/>
        <v>0</v>
      </c>
      <c r="I591" s="10">
        <f t="shared" ca="1" si="127"/>
        <v>0</v>
      </c>
      <c r="J591" s="13">
        <f t="shared" ca="1" si="128"/>
        <v>0</v>
      </c>
      <c r="K591" s="14">
        <f t="shared" ca="1" si="129"/>
        <v>290.40000000000003</v>
      </c>
      <c r="L591" s="14">
        <f t="shared" ca="1" si="130"/>
        <v>0</v>
      </c>
      <c r="M591" s="15">
        <f t="shared" ca="1" si="131"/>
        <v>290.40000000000003</v>
      </c>
      <c r="N591" s="16">
        <f ca="1">SUM($M$9:M591)/A591</f>
        <v>335.57804459691221</v>
      </c>
      <c r="O591" s="6"/>
    </row>
    <row r="592" spans="1:15" x14ac:dyDescent="0.25">
      <c r="A592" s="8">
        <v>584</v>
      </c>
      <c r="B592" s="9">
        <f t="shared" ca="1" si="123"/>
        <v>1452</v>
      </c>
      <c r="C592" s="10">
        <f t="shared" ca="1" si="124"/>
        <v>0</v>
      </c>
      <c r="D592" s="11">
        <f t="shared" ca="1" si="132"/>
        <v>0.88245909762916352</v>
      </c>
      <c r="E592" s="9">
        <f t="shared" ca="1" si="133"/>
        <v>459</v>
      </c>
      <c r="F592" s="9">
        <f t="shared" ca="1" si="125"/>
        <v>993</v>
      </c>
      <c r="G592" s="12" t="str">
        <f t="shared" ca="1" si="126"/>
        <v>No</v>
      </c>
      <c r="H592" s="12">
        <f t="shared" ca="1" si="134"/>
        <v>0</v>
      </c>
      <c r="I592" s="10">
        <f t="shared" ca="1" si="127"/>
        <v>0</v>
      </c>
      <c r="J592" s="13">
        <f t="shared" ca="1" si="128"/>
        <v>0</v>
      </c>
      <c r="K592" s="14">
        <f t="shared" ca="1" si="129"/>
        <v>198.60000000000002</v>
      </c>
      <c r="L592" s="14">
        <f t="shared" ca="1" si="130"/>
        <v>0</v>
      </c>
      <c r="M592" s="15">
        <f t="shared" ca="1" si="131"/>
        <v>198.60000000000002</v>
      </c>
      <c r="N592" s="16">
        <f ca="1">SUM($M$9:M592)/A592</f>
        <v>335.34349315068465</v>
      </c>
      <c r="O592" s="6"/>
    </row>
    <row r="593" spans="1:15" x14ac:dyDescent="0.25">
      <c r="A593" s="8">
        <v>585</v>
      </c>
      <c r="B593" s="9">
        <f t="shared" ca="1" si="123"/>
        <v>993</v>
      </c>
      <c r="C593" s="10">
        <f t="shared" ca="1" si="124"/>
        <v>0</v>
      </c>
      <c r="D593" s="11">
        <f t="shared" ca="1" si="132"/>
        <v>0.26821671701451621</v>
      </c>
      <c r="E593" s="9">
        <f t="shared" ca="1" si="133"/>
        <v>369</v>
      </c>
      <c r="F593" s="9">
        <f t="shared" ca="1" si="125"/>
        <v>624</v>
      </c>
      <c r="G593" s="12" t="str">
        <f t="shared" ca="1" si="126"/>
        <v>Yes</v>
      </c>
      <c r="H593" s="12">
        <f t="shared" ca="1" si="134"/>
        <v>0.67421140284885095</v>
      </c>
      <c r="I593" s="10">
        <f t="shared" ca="1" si="127"/>
        <v>1</v>
      </c>
      <c r="J593" s="13">
        <f t="shared" ca="1" si="128"/>
        <v>300</v>
      </c>
      <c r="K593" s="14">
        <f t="shared" ca="1" si="129"/>
        <v>124.80000000000001</v>
      </c>
      <c r="L593" s="14">
        <f t="shared" ca="1" si="130"/>
        <v>0</v>
      </c>
      <c r="M593" s="15">
        <f t="shared" ca="1" si="131"/>
        <v>424.8</v>
      </c>
      <c r="N593" s="16">
        <f ca="1">SUM($M$9:M593)/A593</f>
        <v>335.49641025640994</v>
      </c>
      <c r="O593" s="6"/>
    </row>
    <row r="594" spans="1:15" x14ac:dyDescent="0.25">
      <c r="A594" s="8">
        <v>586</v>
      </c>
      <c r="B594" s="9">
        <f t="shared" ca="1" si="123"/>
        <v>2424</v>
      </c>
      <c r="C594" s="10">
        <f t="shared" ca="1" si="124"/>
        <v>1800</v>
      </c>
      <c r="D594" s="11">
        <f t="shared" ca="1" si="132"/>
        <v>0.4137770411440751</v>
      </c>
      <c r="E594" s="9">
        <f t="shared" ca="1" si="133"/>
        <v>389</v>
      </c>
      <c r="F594" s="9">
        <f t="shared" ca="1" si="125"/>
        <v>2035</v>
      </c>
      <c r="G594" s="12" t="str">
        <f t="shared" ca="1" si="126"/>
        <v>No</v>
      </c>
      <c r="H594" s="12">
        <f t="shared" ca="1" si="134"/>
        <v>0</v>
      </c>
      <c r="I594" s="10">
        <f t="shared" ca="1" si="127"/>
        <v>0</v>
      </c>
      <c r="J594" s="13">
        <f t="shared" ca="1" si="128"/>
        <v>0</v>
      </c>
      <c r="K594" s="14">
        <f t="shared" ca="1" si="129"/>
        <v>407</v>
      </c>
      <c r="L594" s="14">
        <f t="shared" ca="1" si="130"/>
        <v>0</v>
      </c>
      <c r="M594" s="15">
        <f t="shared" ca="1" si="131"/>
        <v>407</v>
      </c>
      <c r="N594" s="16">
        <f ca="1">SUM($M$9:M594)/A594</f>
        <v>335.6184300341294</v>
      </c>
      <c r="O594" s="6"/>
    </row>
    <row r="595" spans="1:15" x14ac:dyDescent="0.25">
      <c r="A595" s="8">
        <v>587</v>
      </c>
      <c r="B595" s="9">
        <f t="shared" ca="1" si="123"/>
        <v>2035</v>
      </c>
      <c r="C595" s="10">
        <f t="shared" ca="1" si="124"/>
        <v>0</v>
      </c>
      <c r="D595" s="11">
        <f t="shared" ca="1" si="132"/>
        <v>0.73403975491309847</v>
      </c>
      <c r="E595" s="9">
        <f t="shared" ca="1" si="133"/>
        <v>431</v>
      </c>
      <c r="F595" s="9">
        <f t="shared" ca="1" si="125"/>
        <v>1604</v>
      </c>
      <c r="G595" s="12" t="str">
        <f t="shared" ca="1" si="126"/>
        <v>No</v>
      </c>
      <c r="H595" s="12">
        <f t="shared" ca="1" si="134"/>
        <v>0</v>
      </c>
      <c r="I595" s="10">
        <f t="shared" ca="1" si="127"/>
        <v>0</v>
      </c>
      <c r="J595" s="13">
        <f t="shared" ca="1" si="128"/>
        <v>0</v>
      </c>
      <c r="K595" s="14">
        <f t="shared" ca="1" si="129"/>
        <v>320.8</v>
      </c>
      <c r="L595" s="14">
        <f t="shared" ca="1" si="130"/>
        <v>0</v>
      </c>
      <c r="M595" s="15">
        <f t="shared" ca="1" si="131"/>
        <v>320.8</v>
      </c>
      <c r="N595" s="16">
        <f ca="1">SUM($M$9:M595)/A595</f>
        <v>335.59318568994854</v>
      </c>
      <c r="O595" s="6"/>
    </row>
    <row r="596" spans="1:15" x14ac:dyDescent="0.25">
      <c r="A596" s="8">
        <v>588</v>
      </c>
      <c r="B596" s="9">
        <f t="shared" ca="1" si="123"/>
        <v>1604</v>
      </c>
      <c r="C596" s="10">
        <f t="shared" ca="1" si="124"/>
        <v>0</v>
      </c>
      <c r="D596" s="11">
        <f t="shared" ca="1" si="132"/>
        <v>0.1383729181520631</v>
      </c>
      <c r="E596" s="9">
        <f t="shared" ca="1" si="133"/>
        <v>345</v>
      </c>
      <c r="F596" s="9">
        <f t="shared" ca="1" si="125"/>
        <v>1259</v>
      </c>
      <c r="G596" s="12" t="str">
        <f t="shared" ca="1" si="126"/>
        <v>No</v>
      </c>
      <c r="H596" s="12">
        <f t="shared" ca="1" si="134"/>
        <v>0</v>
      </c>
      <c r="I596" s="10">
        <f t="shared" ca="1" si="127"/>
        <v>0</v>
      </c>
      <c r="J596" s="13">
        <f t="shared" ca="1" si="128"/>
        <v>0</v>
      </c>
      <c r="K596" s="14">
        <f t="shared" ca="1" si="129"/>
        <v>251.8</v>
      </c>
      <c r="L596" s="14">
        <f t="shared" ca="1" si="130"/>
        <v>0</v>
      </c>
      <c r="M596" s="15">
        <f t="shared" ca="1" si="131"/>
        <v>251.8</v>
      </c>
      <c r="N596" s="16">
        <f ca="1">SUM($M$9:M596)/A596</f>
        <v>335.45068027210851</v>
      </c>
      <c r="O596" s="6"/>
    </row>
    <row r="597" spans="1:15" x14ac:dyDescent="0.25">
      <c r="A597" s="8">
        <v>589</v>
      </c>
      <c r="B597" s="9">
        <f t="shared" ca="1" si="123"/>
        <v>1259</v>
      </c>
      <c r="C597" s="10">
        <f t="shared" ca="1" si="124"/>
        <v>0</v>
      </c>
      <c r="D597" s="11">
        <f t="shared" ca="1" si="132"/>
        <v>0.41806651328274458</v>
      </c>
      <c r="E597" s="9">
        <f t="shared" ca="1" si="133"/>
        <v>389</v>
      </c>
      <c r="F597" s="9">
        <f t="shared" ca="1" si="125"/>
        <v>870</v>
      </c>
      <c r="G597" s="12" t="str">
        <f t="shared" ca="1" si="126"/>
        <v>Yes</v>
      </c>
      <c r="H597" s="12">
        <f t="shared" ca="1" si="134"/>
        <v>0.81083570692779272</v>
      </c>
      <c r="I597" s="10">
        <f t="shared" ca="1" si="127"/>
        <v>2</v>
      </c>
      <c r="J597" s="13">
        <f t="shared" ca="1" si="128"/>
        <v>300</v>
      </c>
      <c r="K597" s="14">
        <f t="shared" ca="1" si="129"/>
        <v>174</v>
      </c>
      <c r="L597" s="14">
        <f t="shared" ca="1" si="130"/>
        <v>0</v>
      </c>
      <c r="M597" s="15">
        <f t="shared" ca="1" si="131"/>
        <v>474</v>
      </c>
      <c r="N597" s="16">
        <f ca="1">SUM($M$9:M597)/A597</f>
        <v>335.6859083191847</v>
      </c>
      <c r="O597" s="6"/>
    </row>
    <row r="598" spans="1:15" x14ac:dyDescent="0.25">
      <c r="A598" s="8">
        <v>590</v>
      </c>
      <c r="B598" s="9">
        <f t="shared" ca="1" si="123"/>
        <v>870</v>
      </c>
      <c r="C598" s="10">
        <f t="shared" ca="1" si="124"/>
        <v>0</v>
      </c>
      <c r="D598" s="11">
        <f t="shared" ca="1" si="132"/>
        <v>0.8861613876313994</v>
      </c>
      <c r="E598" s="9">
        <f t="shared" ca="1" si="133"/>
        <v>460</v>
      </c>
      <c r="F598" s="9">
        <f t="shared" ca="1" si="125"/>
        <v>410</v>
      </c>
      <c r="G598" s="12" t="str">
        <f t="shared" ca="1" si="126"/>
        <v>No</v>
      </c>
      <c r="H598" s="12">
        <f t="shared" ca="1" si="134"/>
        <v>0</v>
      </c>
      <c r="I598" s="10">
        <f t="shared" ca="1" si="127"/>
        <v>1</v>
      </c>
      <c r="J598" s="13">
        <f t="shared" ca="1" si="128"/>
        <v>0</v>
      </c>
      <c r="K598" s="14">
        <f t="shared" ca="1" si="129"/>
        <v>82</v>
      </c>
      <c r="L598" s="14">
        <f t="shared" ca="1" si="130"/>
        <v>0</v>
      </c>
      <c r="M598" s="15">
        <f t="shared" ca="1" si="131"/>
        <v>82</v>
      </c>
      <c r="N598" s="16">
        <f ca="1">SUM($M$9:M598)/A598</f>
        <v>335.25593220338948</v>
      </c>
      <c r="O598" s="6"/>
    </row>
    <row r="599" spans="1:15" x14ac:dyDescent="0.25">
      <c r="A599" s="8">
        <v>591</v>
      </c>
      <c r="B599" s="9">
        <f t="shared" ca="1" si="123"/>
        <v>2210</v>
      </c>
      <c r="C599" s="10">
        <f t="shared" ca="1" si="124"/>
        <v>1800</v>
      </c>
      <c r="D599" s="11">
        <f t="shared" ca="1" si="132"/>
        <v>0.68223895598945405</v>
      </c>
      <c r="E599" s="9">
        <f t="shared" ca="1" si="133"/>
        <v>423</v>
      </c>
      <c r="F599" s="9">
        <f t="shared" ca="1" si="125"/>
        <v>1787</v>
      </c>
      <c r="G599" s="12" t="str">
        <f t="shared" ca="1" si="126"/>
        <v>No</v>
      </c>
      <c r="H599" s="12">
        <f t="shared" ca="1" si="134"/>
        <v>0</v>
      </c>
      <c r="I599" s="10">
        <f t="shared" ca="1" si="127"/>
        <v>0</v>
      </c>
      <c r="J599" s="13">
        <f t="shared" ca="1" si="128"/>
        <v>0</v>
      </c>
      <c r="K599" s="14">
        <f t="shared" ca="1" si="129"/>
        <v>357.40000000000003</v>
      </c>
      <c r="L599" s="14">
        <f t="shared" ca="1" si="130"/>
        <v>0</v>
      </c>
      <c r="M599" s="15">
        <f t="shared" ca="1" si="131"/>
        <v>357.40000000000003</v>
      </c>
      <c r="N599" s="16">
        <f ca="1">SUM($M$9:M599)/A599</f>
        <v>335.29340101522808</v>
      </c>
      <c r="O599" s="6"/>
    </row>
    <row r="600" spans="1:15" x14ac:dyDescent="0.25">
      <c r="A600" s="8">
        <v>592</v>
      </c>
      <c r="B600" s="9">
        <f t="shared" ca="1" si="123"/>
        <v>1787</v>
      </c>
      <c r="C600" s="10">
        <f t="shared" ca="1" si="124"/>
        <v>0</v>
      </c>
      <c r="D600" s="11">
        <f t="shared" ca="1" si="132"/>
        <v>1.08245582987746E-2</v>
      </c>
      <c r="E600" s="9">
        <f t="shared" ca="1" si="133"/>
        <v>285</v>
      </c>
      <c r="F600" s="9">
        <f t="shared" ca="1" si="125"/>
        <v>1502</v>
      </c>
      <c r="G600" s="12" t="str">
        <f t="shared" ca="1" si="126"/>
        <v>No</v>
      </c>
      <c r="H600" s="12">
        <f t="shared" ca="1" si="134"/>
        <v>0</v>
      </c>
      <c r="I600" s="10">
        <f t="shared" ca="1" si="127"/>
        <v>0</v>
      </c>
      <c r="J600" s="13">
        <f t="shared" ca="1" si="128"/>
        <v>0</v>
      </c>
      <c r="K600" s="14">
        <f t="shared" ca="1" si="129"/>
        <v>300.40000000000003</v>
      </c>
      <c r="L600" s="14">
        <f t="shared" ca="1" si="130"/>
        <v>0</v>
      </c>
      <c r="M600" s="15">
        <f t="shared" ca="1" si="131"/>
        <v>300.40000000000003</v>
      </c>
      <c r="N600" s="16">
        <f ca="1">SUM($M$9:M600)/A600</f>
        <v>335.23445945945912</v>
      </c>
      <c r="O600" s="6"/>
    </row>
    <row r="601" spans="1:15" x14ac:dyDescent="0.25">
      <c r="A601" s="8">
        <v>593</v>
      </c>
      <c r="B601" s="9">
        <f t="shared" ca="1" si="123"/>
        <v>1502</v>
      </c>
      <c r="C601" s="10">
        <f t="shared" ca="1" si="124"/>
        <v>0</v>
      </c>
      <c r="D601" s="11">
        <f t="shared" ca="1" si="132"/>
        <v>0.42219021037467275</v>
      </c>
      <c r="E601" s="9">
        <f t="shared" ca="1" si="133"/>
        <v>390</v>
      </c>
      <c r="F601" s="9">
        <f t="shared" ca="1" si="125"/>
        <v>1112</v>
      </c>
      <c r="G601" s="12" t="str">
        <f t="shared" ca="1" si="126"/>
        <v>No</v>
      </c>
      <c r="H601" s="12">
        <f t="shared" ca="1" si="134"/>
        <v>0</v>
      </c>
      <c r="I601" s="10">
        <f t="shared" ca="1" si="127"/>
        <v>0</v>
      </c>
      <c r="J601" s="13">
        <f t="shared" ca="1" si="128"/>
        <v>0</v>
      </c>
      <c r="K601" s="14">
        <f t="shared" ca="1" si="129"/>
        <v>222.4</v>
      </c>
      <c r="L601" s="14">
        <f t="shared" ca="1" si="130"/>
        <v>0</v>
      </c>
      <c r="M601" s="15">
        <f t="shared" ca="1" si="131"/>
        <v>222.4</v>
      </c>
      <c r="N601" s="16">
        <f ca="1">SUM($M$9:M601)/A601</f>
        <v>335.04418212478885</v>
      </c>
      <c r="O601" s="6"/>
    </row>
    <row r="602" spans="1:15" x14ac:dyDescent="0.25">
      <c r="A602" s="8">
        <v>594</v>
      </c>
      <c r="B602" s="9">
        <f t="shared" ca="1" si="123"/>
        <v>1112</v>
      </c>
      <c r="C602" s="10">
        <f t="shared" ca="1" si="124"/>
        <v>0</v>
      </c>
      <c r="D602" s="11">
        <f t="shared" ca="1" si="132"/>
        <v>0.98629596586378054</v>
      </c>
      <c r="E602" s="9">
        <f t="shared" ca="1" si="133"/>
        <v>510</v>
      </c>
      <c r="F602" s="9">
        <f t="shared" ca="1" si="125"/>
        <v>602</v>
      </c>
      <c r="G602" s="12" t="str">
        <f t="shared" ca="1" si="126"/>
        <v>Yes</v>
      </c>
      <c r="H602" s="12">
        <f t="shared" ca="1" si="134"/>
        <v>6.138010657919013E-2</v>
      </c>
      <c r="I602" s="10">
        <f t="shared" ca="1" si="127"/>
        <v>1</v>
      </c>
      <c r="J602" s="13">
        <f t="shared" ca="1" si="128"/>
        <v>300</v>
      </c>
      <c r="K602" s="14">
        <f t="shared" ca="1" si="129"/>
        <v>120.4</v>
      </c>
      <c r="L602" s="14">
        <f t="shared" ca="1" si="130"/>
        <v>0</v>
      </c>
      <c r="M602" s="15">
        <f t="shared" ca="1" si="131"/>
        <v>420.4</v>
      </c>
      <c r="N602" s="16">
        <f ca="1">SUM($M$9:M602)/A602</f>
        <v>335.18787878787839</v>
      </c>
      <c r="O602" s="6"/>
    </row>
    <row r="603" spans="1:15" x14ac:dyDescent="0.25">
      <c r="A603" s="8">
        <v>595</v>
      </c>
      <c r="B603" s="9">
        <f t="shared" ca="1" si="123"/>
        <v>2402</v>
      </c>
      <c r="C603" s="10">
        <f t="shared" ca="1" si="124"/>
        <v>1800</v>
      </c>
      <c r="D603" s="11">
        <f t="shared" ca="1" si="132"/>
        <v>0.43035531466938548</v>
      </c>
      <c r="E603" s="9">
        <f t="shared" ca="1" si="133"/>
        <v>391</v>
      </c>
      <c r="F603" s="9">
        <f t="shared" ca="1" si="125"/>
        <v>2011</v>
      </c>
      <c r="G603" s="12" t="str">
        <f t="shared" ca="1" si="126"/>
        <v>No</v>
      </c>
      <c r="H603" s="12">
        <f t="shared" ca="1" si="134"/>
        <v>0</v>
      </c>
      <c r="I603" s="10">
        <f t="shared" ca="1" si="127"/>
        <v>0</v>
      </c>
      <c r="J603" s="13">
        <f t="shared" ca="1" si="128"/>
        <v>0</v>
      </c>
      <c r="K603" s="14">
        <f t="shared" ca="1" si="129"/>
        <v>402.20000000000005</v>
      </c>
      <c r="L603" s="14">
        <f t="shared" ca="1" si="130"/>
        <v>0</v>
      </c>
      <c r="M603" s="15">
        <f t="shared" ca="1" si="131"/>
        <v>402.20000000000005</v>
      </c>
      <c r="N603" s="16">
        <f ca="1">SUM($M$9:M603)/A603</f>
        <v>335.30050420168033</v>
      </c>
      <c r="O603" s="6"/>
    </row>
    <row r="604" spans="1:15" x14ac:dyDescent="0.25">
      <c r="A604" s="8">
        <v>596</v>
      </c>
      <c r="B604" s="9">
        <f t="shared" ca="1" si="123"/>
        <v>2011</v>
      </c>
      <c r="C604" s="10">
        <f t="shared" ca="1" si="124"/>
        <v>0</v>
      </c>
      <c r="D604" s="11">
        <f t="shared" ca="1" si="132"/>
        <v>0.12034460285038739</v>
      </c>
      <c r="E604" s="9">
        <f t="shared" ca="1" si="133"/>
        <v>341</v>
      </c>
      <c r="F604" s="9">
        <f t="shared" ca="1" si="125"/>
        <v>1670</v>
      </c>
      <c r="G604" s="12" t="str">
        <f t="shared" ca="1" si="126"/>
        <v>No</v>
      </c>
      <c r="H604" s="12">
        <f t="shared" ca="1" si="134"/>
        <v>0</v>
      </c>
      <c r="I604" s="10">
        <f t="shared" ca="1" si="127"/>
        <v>0</v>
      </c>
      <c r="J604" s="13">
        <f t="shared" ca="1" si="128"/>
        <v>0</v>
      </c>
      <c r="K604" s="14">
        <f t="shared" ca="1" si="129"/>
        <v>334</v>
      </c>
      <c r="L604" s="14">
        <f t="shared" ca="1" si="130"/>
        <v>0</v>
      </c>
      <c r="M604" s="15">
        <f t="shared" ca="1" si="131"/>
        <v>334</v>
      </c>
      <c r="N604" s="16">
        <f ca="1">SUM($M$9:M604)/A604</f>
        <v>335.29832214765065</v>
      </c>
      <c r="O604" s="6"/>
    </row>
    <row r="605" spans="1:15" x14ac:dyDescent="0.25">
      <c r="A605" s="8">
        <v>597</v>
      </c>
      <c r="B605" s="9">
        <f t="shared" ca="1" si="123"/>
        <v>1670</v>
      </c>
      <c r="C605" s="10">
        <f t="shared" ca="1" si="124"/>
        <v>0</v>
      </c>
      <c r="D605" s="11">
        <f t="shared" ca="1" si="132"/>
        <v>0.62545766413566728</v>
      </c>
      <c r="E605" s="9">
        <f t="shared" ca="1" si="133"/>
        <v>415</v>
      </c>
      <c r="F605" s="9">
        <f t="shared" ca="1" si="125"/>
        <v>1255</v>
      </c>
      <c r="G605" s="12" t="str">
        <f t="shared" ca="1" si="126"/>
        <v>No</v>
      </c>
      <c r="H605" s="12">
        <f t="shared" ca="1" si="134"/>
        <v>0</v>
      </c>
      <c r="I605" s="10">
        <f t="shared" ca="1" si="127"/>
        <v>0</v>
      </c>
      <c r="J605" s="13">
        <f t="shared" ca="1" si="128"/>
        <v>0</v>
      </c>
      <c r="K605" s="14">
        <f t="shared" ca="1" si="129"/>
        <v>251</v>
      </c>
      <c r="L605" s="14">
        <f t="shared" ca="1" si="130"/>
        <v>0</v>
      </c>
      <c r="M605" s="15">
        <f t="shared" ca="1" si="131"/>
        <v>251</v>
      </c>
      <c r="N605" s="16">
        <f ca="1">SUM($M$9:M605)/A605</f>
        <v>335.15711892797282</v>
      </c>
      <c r="O605" s="6"/>
    </row>
    <row r="606" spans="1:15" x14ac:dyDescent="0.25">
      <c r="A606" s="8">
        <v>598</v>
      </c>
      <c r="B606" s="9">
        <f t="shared" ca="1" si="123"/>
        <v>1255</v>
      </c>
      <c r="C606" s="10">
        <f t="shared" ca="1" si="124"/>
        <v>0</v>
      </c>
      <c r="D606" s="11">
        <f t="shared" ca="1" si="132"/>
        <v>0.50441285550514037</v>
      </c>
      <c r="E606" s="9">
        <f t="shared" ca="1" si="133"/>
        <v>400</v>
      </c>
      <c r="F606" s="9">
        <f t="shared" ca="1" si="125"/>
        <v>855</v>
      </c>
      <c r="G606" s="12" t="str">
        <f t="shared" ca="1" si="126"/>
        <v>Yes</v>
      </c>
      <c r="H606" s="12">
        <f t="shared" ca="1" si="134"/>
        <v>2.0748878130146142E-2</v>
      </c>
      <c r="I606" s="10">
        <f t="shared" ca="1" si="127"/>
        <v>1</v>
      </c>
      <c r="J606" s="13">
        <f t="shared" ca="1" si="128"/>
        <v>300</v>
      </c>
      <c r="K606" s="14">
        <f t="shared" ca="1" si="129"/>
        <v>171</v>
      </c>
      <c r="L606" s="14">
        <f t="shared" ca="1" si="130"/>
        <v>0</v>
      </c>
      <c r="M606" s="15">
        <f t="shared" ca="1" si="131"/>
        <v>471</v>
      </c>
      <c r="N606" s="16">
        <f ca="1">SUM($M$9:M606)/A606</f>
        <v>335.3842809364545</v>
      </c>
      <c r="O606" s="6"/>
    </row>
    <row r="607" spans="1:15" x14ac:dyDescent="0.25">
      <c r="A607" s="8">
        <v>599</v>
      </c>
      <c r="B607" s="9">
        <f t="shared" ca="1" si="123"/>
        <v>2655</v>
      </c>
      <c r="C607" s="10">
        <f t="shared" ca="1" si="124"/>
        <v>1800</v>
      </c>
      <c r="D607" s="11">
        <f t="shared" ca="1" si="132"/>
        <v>0.25488508205561922</v>
      </c>
      <c r="E607" s="9">
        <f t="shared" ca="1" si="133"/>
        <v>367</v>
      </c>
      <c r="F607" s="9">
        <f t="shared" ca="1" si="125"/>
        <v>2288</v>
      </c>
      <c r="G607" s="12" t="str">
        <f t="shared" ca="1" si="126"/>
        <v>No</v>
      </c>
      <c r="H607" s="12">
        <f t="shared" ca="1" si="134"/>
        <v>0</v>
      </c>
      <c r="I607" s="10">
        <f t="shared" ca="1" si="127"/>
        <v>0</v>
      </c>
      <c r="J607" s="13">
        <f t="shared" ca="1" si="128"/>
        <v>0</v>
      </c>
      <c r="K607" s="14">
        <f t="shared" ca="1" si="129"/>
        <v>457.6</v>
      </c>
      <c r="L607" s="14">
        <f t="shared" ca="1" si="130"/>
        <v>0</v>
      </c>
      <c r="M607" s="15">
        <f t="shared" ca="1" si="131"/>
        <v>457.6</v>
      </c>
      <c r="N607" s="16">
        <f ca="1">SUM($M$9:M607)/A607</f>
        <v>335.58831385642702</v>
      </c>
      <c r="O607" s="6"/>
    </row>
    <row r="608" spans="1:15" x14ac:dyDescent="0.25">
      <c r="A608" s="8">
        <v>600</v>
      </c>
      <c r="B608" s="9">
        <f t="shared" ca="1" si="123"/>
        <v>2288</v>
      </c>
      <c r="C608" s="10">
        <f t="shared" ca="1" si="124"/>
        <v>0</v>
      </c>
      <c r="D608" s="11">
        <f t="shared" ca="1" si="132"/>
        <v>0.69118187866910508</v>
      </c>
      <c r="E608" s="9">
        <f t="shared" ca="1" si="133"/>
        <v>424</v>
      </c>
      <c r="F608" s="9">
        <f t="shared" ca="1" si="125"/>
        <v>1864</v>
      </c>
      <c r="G608" s="12" t="str">
        <f t="shared" ca="1" si="126"/>
        <v>No</v>
      </c>
      <c r="H608" s="12">
        <f t="shared" ca="1" si="134"/>
        <v>0</v>
      </c>
      <c r="I608" s="10">
        <f t="shared" ca="1" si="127"/>
        <v>0</v>
      </c>
      <c r="J608" s="13">
        <f t="shared" ca="1" si="128"/>
        <v>0</v>
      </c>
      <c r="K608" s="14">
        <f t="shared" ca="1" si="129"/>
        <v>372.8</v>
      </c>
      <c r="L608" s="14">
        <f t="shared" ca="1" si="130"/>
        <v>0</v>
      </c>
      <c r="M608" s="15">
        <f t="shared" ca="1" si="131"/>
        <v>372.8</v>
      </c>
      <c r="N608" s="16">
        <f ca="1">SUM($M$9:M608)/A608</f>
        <v>335.65033333333298</v>
      </c>
      <c r="O608" s="6"/>
    </row>
    <row r="609" spans="1:15" x14ac:dyDescent="0.25">
      <c r="A609" s="8">
        <v>601</v>
      </c>
      <c r="B609" s="9">
        <f t="shared" ca="1" si="123"/>
        <v>1864</v>
      </c>
      <c r="C609" s="10">
        <f t="shared" ca="1" si="124"/>
        <v>0</v>
      </c>
      <c r="D609" s="11">
        <f t="shared" ca="1" si="132"/>
        <v>0.32626730970631856</v>
      </c>
      <c r="E609" s="9">
        <f t="shared" ca="1" si="133"/>
        <v>377</v>
      </c>
      <c r="F609" s="9">
        <f t="shared" ca="1" si="125"/>
        <v>1487</v>
      </c>
      <c r="G609" s="12" t="str">
        <f t="shared" ca="1" si="126"/>
        <v>No</v>
      </c>
      <c r="H609" s="12">
        <f t="shared" ca="1" si="134"/>
        <v>0</v>
      </c>
      <c r="I609" s="10">
        <f t="shared" ca="1" si="127"/>
        <v>0</v>
      </c>
      <c r="J609" s="13">
        <f t="shared" ca="1" si="128"/>
        <v>0</v>
      </c>
      <c r="K609" s="14">
        <f t="shared" ca="1" si="129"/>
        <v>297.40000000000003</v>
      </c>
      <c r="L609" s="14">
        <f t="shared" ca="1" si="130"/>
        <v>0</v>
      </c>
      <c r="M609" s="15">
        <f t="shared" ca="1" si="131"/>
        <v>297.40000000000003</v>
      </c>
      <c r="N609" s="16">
        <f ca="1">SUM($M$9:M609)/A609</f>
        <v>335.5866888519131</v>
      </c>
      <c r="O609" s="6"/>
    </row>
    <row r="610" spans="1:15" x14ac:dyDescent="0.25">
      <c r="A610" s="8">
        <v>602</v>
      </c>
      <c r="B610" s="9">
        <f t="shared" ca="1" si="123"/>
        <v>1487</v>
      </c>
      <c r="C610" s="10">
        <f t="shared" ca="1" si="124"/>
        <v>0</v>
      </c>
      <c r="D610" s="11">
        <f t="shared" ca="1" si="132"/>
        <v>0.52443259339399362</v>
      </c>
      <c r="E610" s="9">
        <f t="shared" ca="1" si="133"/>
        <v>403</v>
      </c>
      <c r="F610" s="9">
        <f t="shared" ca="1" si="125"/>
        <v>1084</v>
      </c>
      <c r="G610" s="12" t="str">
        <f t="shared" ca="1" si="126"/>
        <v>No</v>
      </c>
      <c r="H610" s="12">
        <f t="shared" ca="1" si="134"/>
        <v>0</v>
      </c>
      <c r="I610" s="10">
        <f t="shared" ca="1" si="127"/>
        <v>0</v>
      </c>
      <c r="J610" s="13">
        <f t="shared" ca="1" si="128"/>
        <v>0</v>
      </c>
      <c r="K610" s="14">
        <f t="shared" ca="1" si="129"/>
        <v>216.8</v>
      </c>
      <c r="L610" s="14">
        <f t="shared" ca="1" si="130"/>
        <v>0</v>
      </c>
      <c r="M610" s="15">
        <f t="shared" ca="1" si="131"/>
        <v>216.8</v>
      </c>
      <c r="N610" s="16">
        <f ca="1">SUM($M$9:M610)/A610</f>
        <v>335.38936877076372</v>
      </c>
      <c r="O610" s="6"/>
    </row>
    <row r="611" spans="1:15" x14ac:dyDescent="0.25">
      <c r="A611" s="8">
        <v>603</v>
      </c>
      <c r="B611" s="9">
        <f t="shared" ca="1" si="123"/>
        <v>1084</v>
      </c>
      <c r="C611" s="10">
        <f t="shared" ca="1" si="124"/>
        <v>0</v>
      </c>
      <c r="D611" s="11">
        <f t="shared" ca="1" si="132"/>
        <v>0.5568715596113234</v>
      </c>
      <c r="E611" s="9">
        <f t="shared" ca="1" si="133"/>
        <v>407</v>
      </c>
      <c r="F611" s="9">
        <f t="shared" ca="1" si="125"/>
        <v>677</v>
      </c>
      <c r="G611" s="12" t="str">
        <f t="shared" ca="1" si="126"/>
        <v>Yes</v>
      </c>
      <c r="H611" s="12">
        <f t="shared" ca="1" si="134"/>
        <v>0.57230708092537841</v>
      </c>
      <c r="I611" s="10">
        <f t="shared" ca="1" si="127"/>
        <v>1</v>
      </c>
      <c r="J611" s="13">
        <f t="shared" ca="1" si="128"/>
        <v>300</v>
      </c>
      <c r="K611" s="14">
        <f t="shared" ca="1" si="129"/>
        <v>135.4</v>
      </c>
      <c r="L611" s="14">
        <f t="shared" ca="1" si="130"/>
        <v>0</v>
      </c>
      <c r="M611" s="15">
        <f t="shared" ca="1" si="131"/>
        <v>435.4</v>
      </c>
      <c r="N611" s="16">
        <f ca="1">SUM($M$9:M611)/A611</f>
        <v>335.5552238805966</v>
      </c>
      <c r="O611" s="6"/>
    </row>
    <row r="612" spans="1:15" x14ac:dyDescent="0.25">
      <c r="A612" s="8">
        <v>604</v>
      </c>
      <c r="B612" s="9">
        <f t="shared" ca="1" si="123"/>
        <v>2477</v>
      </c>
      <c r="C612" s="10">
        <f t="shared" ca="1" si="124"/>
        <v>1800</v>
      </c>
      <c r="D612" s="11">
        <f t="shared" ca="1" si="132"/>
        <v>0.76936552648306122</v>
      </c>
      <c r="E612" s="9">
        <f t="shared" ca="1" si="133"/>
        <v>436</v>
      </c>
      <c r="F612" s="9">
        <f t="shared" ca="1" si="125"/>
        <v>2041</v>
      </c>
      <c r="G612" s="12" t="str">
        <f t="shared" ca="1" si="126"/>
        <v>No</v>
      </c>
      <c r="H612" s="12">
        <f t="shared" ca="1" si="134"/>
        <v>0</v>
      </c>
      <c r="I612" s="10">
        <f t="shared" ca="1" si="127"/>
        <v>0</v>
      </c>
      <c r="J612" s="13">
        <f t="shared" ca="1" si="128"/>
        <v>0</v>
      </c>
      <c r="K612" s="14">
        <f t="shared" ca="1" si="129"/>
        <v>408.20000000000005</v>
      </c>
      <c r="L612" s="14">
        <f t="shared" ca="1" si="130"/>
        <v>0</v>
      </c>
      <c r="M612" s="15">
        <f t="shared" ca="1" si="131"/>
        <v>408.20000000000005</v>
      </c>
      <c r="N612" s="16">
        <f ca="1">SUM($M$9:M612)/A612</f>
        <v>335.67549668874136</v>
      </c>
      <c r="O612" s="6"/>
    </row>
    <row r="613" spans="1:15" x14ac:dyDescent="0.25">
      <c r="A613" s="8">
        <v>605</v>
      </c>
      <c r="B613" s="9">
        <f t="shared" ca="1" si="123"/>
        <v>2041</v>
      </c>
      <c r="C613" s="10">
        <f t="shared" ca="1" si="124"/>
        <v>0</v>
      </c>
      <c r="D613" s="11">
        <f t="shared" ca="1" si="132"/>
        <v>0.65301544809675083</v>
      </c>
      <c r="E613" s="9">
        <f t="shared" ca="1" si="133"/>
        <v>419</v>
      </c>
      <c r="F613" s="9">
        <f t="shared" ca="1" si="125"/>
        <v>1622</v>
      </c>
      <c r="G613" s="12" t="str">
        <f t="shared" ca="1" si="126"/>
        <v>No</v>
      </c>
      <c r="H613" s="12">
        <f t="shared" ca="1" si="134"/>
        <v>0</v>
      </c>
      <c r="I613" s="10">
        <f t="shared" ca="1" si="127"/>
        <v>0</v>
      </c>
      <c r="J613" s="13">
        <f t="shared" ca="1" si="128"/>
        <v>0</v>
      </c>
      <c r="K613" s="14">
        <f t="shared" ca="1" si="129"/>
        <v>324.40000000000003</v>
      </c>
      <c r="L613" s="14">
        <f t="shared" ca="1" si="130"/>
        <v>0</v>
      </c>
      <c r="M613" s="15">
        <f t="shared" ca="1" si="131"/>
        <v>324.40000000000003</v>
      </c>
      <c r="N613" s="16">
        <f ca="1">SUM($M$9:M613)/A613</f>
        <v>335.65685950413183</v>
      </c>
      <c r="O613" s="6"/>
    </row>
    <row r="614" spans="1:15" x14ac:dyDescent="0.25">
      <c r="A614" s="8">
        <v>606</v>
      </c>
      <c r="B614" s="9">
        <f t="shared" ca="1" si="123"/>
        <v>1622</v>
      </c>
      <c r="C614" s="10">
        <f t="shared" ca="1" si="124"/>
        <v>0</v>
      </c>
      <c r="D614" s="11">
        <f t="shared" ca="1" si="132"/>
        <v>0.15500738434922623</v>
      </c>
      <c r="E614" s="9">
        <f t="shared" ca="1" si="133"/>
        <v>349</v>
      </c>
      <c r="F614" s="9">
        <f t="shared" ca="1" si="125"/>
        <v>1273</v>
      </c>
      <c r="G614" s="12" t="str">
        <f t="shared" ca="1" si="126"/>
        <v>No</v>
      </c>
      <c r="H614" s="12">
        <f t="shared" ca="1" si="134"/>
        <v>0</v>
      </c>
      <c r="I614" s="10">
        <f t="shared" ca="1" si="127"/>
        <v>0</v>
      </c>
      <c r="J614" s="13">
        <f t="shared" ca="1" si="128"/>
        <v>0</v>
      </c>
      <c r="K614" s="14">
        <f t="shared" ca="1" si="129"/>
        <v>254.60000000000002</v>
      </c>
      <c r="L614" s="14">
        <f t="shared" ca="1" si="130"/>
        <v>0</v>
      </c>
      <c r="M614" s="15">
        <f t="shared" ca="1" si="131"/>
        <v>254.60000000000002</v>
      </c>
      <c r="N614" s="16">
        <f ca="1">SUM($M$9:M614)/A614</f>
        <v>335.52310231023063</v>
      </c>
      <c r="O614" s="6"/>
    </row>
    <row r="615" spans="1:15" x14ac:dyDescent="0.25">
      <c r="A615" s="8">
        <v>607</v>
      </c>
      <c r="B615" s="9">
        <f t="shared" ca="1" si="123"/>
        <v>1273</v>
      </c>
      <c r="C615" s="10">
        <f t="shared" ca="1" si="124"/>
        <v>0</v>
      </c>
      <c r="D615" s="11">
        <f t="shared" ca="1" si="132"/>
        <v>0.3631594522728725</v>
      </c>
      <c r="E615" s="9">
        <f t="shared" ca="1" si="133"/>
        <v>382</v>
      </c>
      <c r="F615" s="9">
        <f t="shared" ca="1" si="125"/>
        <v>891</v>
      </c>
      <c r="G615" s="12" t="str">
        <f t="shared" ca="1" si="126"/>
        <v>Yes</v>
      </c>
      <c r="H615" s="12">
        <f t="shared" ca="1" si="134"/>
        <v>0.27379802844710888</v>
      </c>
      <c r="I615" s="10">
        <f t="shared" ca="1" si="127"/>
        <v>1</v>
      </c>
      <c r="J615" s="13">
        <f t="shared" ca="1" si="128"/>
        <v>300</v>
      </c>
      <c r="K615" s="14">
        <f t="shared" ca="1" si="129"/>
        <v>178.20000000000002</v>
      </c>
      <c r="L615" s="14">
        <f t="shared" ca="1" si="130"/>
        <v>0</v>
      </c>
      <c r="M615" s="15">
        <f t="shared" ca="1" si="131"/>
        <v>478.20000000000005</v>
      </c>
      <c r="N615" s="16">
        <f ca="1">SUM($M$9:M615)/A615</f>
        <v>335.75815485996668</v>
      </c>
      <c r="O615" s="6"/>
    </row>
    <row r="616" spans="1:15" x14ac:dyDescent="0.25">
      <c r="A616" s="8">
        <v>608</v>
      </c>
      <c r="B616" s="9">
        <f t="shared" ca="1" si="123"/>
        <v>2691</v>
      </c>
      <c r="C616" s="10">
        <f t="shared" ca="1" si="124"/>
        <v>1800</v>
      </c>
      <c r="D616" s="11">
        <f t="shared" ca="1" si="132"/>
        <v>0.28910074680743725</v>
      </c>
      <c r="E616" s="9">
        <f t="shared" ca="1" si="133"/>
        <v>372</v>
      </c>
      <c r="F616" s="9">
        <f t="shared" ca="1" si="125"/>
        <v>2319</v>
      </c>
      <c r="G616" s="12" t="str">
        <f t="shared" ca="1" si="126"/>
        <v>No</v>
      </c>
      <c r="H616" s="12">
        <f t="shared" ca="1" si="134"/>
        <v>0</v>
      </c>
      <c r="I616" s="10">
        <f t="shared" ca="1" si="127"/>
        <v>0</v>
      </c>
      <c r="J616" s="13">
        <f t="shared" ca="1" si="128"/>
        <v>0</v>
      </c>
      <c r="K616" s="14">
        <f t="shared" ca="1" si="129"/>
        <v>463.8</v>
      </c>
      <c r="L616" s="14">
        <f t="shared" ca="1" si="130"/>
        <v>0</v>
      </c>
      <c r="M616" s="15">
        <f t="shared" ca="1" si="131"/>
        <v>463.8</v>
      </c>
      <c r="N616" s="16">
        <f ca="1">SUM($M$9:M616)/A616</f>
        <v>335.9687499999996</v>
      </c>
      <c r="O616" s="6"/>
    </row>
    <row r="617" spans="1:15" x14ac:dyDescent="0.25">
      <c r="A617" s="8">
        <v>609</v>
      </c>
      <c r="B617" s="9">
        <f t="shared" ca="1" si="123"/>
        <v>2319</v>
      </c>
      <c r="C617" s="10">
        <f t="shared" ca="1" si="124"/>
        <v>0</v>
      </c>
      <c r="D617" s="11">
        <f t="shared" ca="1" si="132"/>
        <v>0.11662211745089002</v>
      </c>
      <c r="E617" s="9">
        <f t="shared" ca="1" si="133"/>
        <v>340</v>
      </c>
      <c r="F617" s="9">
        <f t="shared" ca="1" si="125"/>
        <v>1979</v>
      </c>
      <c r="G617" s="12" t="str">
        <f t="shared" ca="1" si="126"/>
        <v>No</v>
      </c>
      <c r="H617" s="12">
        <f t="shared" ca="1" si="134"/>
        <v>0</v>
      </c>
      <c r="I617" s="10">
        <f t="shared" ca="1" si="127"/>
        <v>0</v>
      </c>
      <c r="J617" s="13">
        <f t="shared" ca="1" si="128"/>
        <v>0</v>
      </c>
      <c r="K617" s="14">
        <f t="shared" ca="1" si="129"/>
        <v>395.8</v>
      </c>
      <c r="L617" s="14">
        <f t="shared" ca="1" si="130"/>
        <v>0</v>
      </c>
      <c r="M617" s="15">
        <f t="shared" ca="1" si="131"/>
        <v>395.8</v>
      </c>
      <c r="N617" s="16">
        <f ca="1">SUM($M$9:M617)/A617</f>
        <v>336.06699507389123</v>
      </c>
      <c r="O617" s="6"/>
    </row>
    <row r="618" spans="1:15" x14ac:dyDescent="0.25">
      <c r="A618" s="8">
        <v>610</v>
      </c>
      <c r="B618" s="9">
        <f t="shared" ca="1" si="123"/>
        <v>1979</v>
      </c>
      <c r="C618" s="10">
        <f t="shared" ca="1" si="124"/>
        <v>0</v>
      </c>
      <c r="D618" s="11">
        <f t="shared" ca="1" si="132"/>
        <v>9.3053069171821434E-2</v>
      </c>
      <c r="E618" s="9">
        <f t="shared" ca="1" si="133"/>
        <v>333</v>
      </c>
      <c r="F618" s="9">
        <f t="shared" ca="1" si="125"/>
        <v>1646</v>
      </c>
      <c r="G618" s="12" t="str">
        <f t="shared" ca="1" si="126"/>
        <v>No</v>
      </c>
      <c r="H618" s="12">
        <f t="shared" ca="1" si="134"/>
        <v>0</v>
      </c>
      <c r="I618" s="10">
        <f t="shared" ca="1" si="127"/>
        <v>0</v>
      </c>
      <c r="J618" s="13">
        <f t="shared" ca="1" si="128"/>
        <v>0</v>
      </c>
      <c r="K618" s="14">
        <f t="shared" ca="1" si="129"/>
        <v>329.20000000000005</v>
      </c>
      <c r="L618" s="14">
        <f t="shared" ca="1" si="130"/>
        <v>0</v>
      </c>
      <c r="M618" s="15">
        <f t="shared" ca="1" si="131"/>
        <v>329.20000000000005</v>
      </c>
      <c r="N618" s="16">
        <f ca="1">SUM($M$9:M618)/A618</f>
        <v>336.05573770491765</v>
      </c>
      <c r="O618" s="6"/>
    </row>
    <row r="619" spans="1:15" x14ac:dyDescent="0.25">
      <c r="A619" s="8">
        <v>611</v>
      </c>
      <c r="B619" s="9">
        <f t="shared" ca="1" si="123"/>
        <v>1646</v>
      </c>
      <c r="C619" s="10">
        <f t="shared" ca="1" si="124"/>
        <v>0</v>
      </c>
      <c r="D619" s="11">
        <f t="shared" ca="1" si="132"/>
        <v>0.77624064528197234</v>
      </c>
      <c r="E619" s="9">
        <f t="shared" ca="1" si="133"/>
        <v>437</v>
      </c>
      <c r="F619" s="9">
        <f t="shared" ca="1" si="125"/>
        <v>1209</v>
      </c>
      <c r="G619" s="12" t="str">
        <f t="shared" ca="1" si="126"/>
        <v>No</v>
      </c>
      <c r="H619" s="12">
        <f t="shared" ca="1" si="134"/>
        <v>0</v>
      </c>
      <c r="I619" s="10">
        <f t="shared" ca="1" si="127"/>
        <v>0</v>
      </c>
      <c r="J619" s="13">
        <f t="shared" ca="1" si="128"/>
        <v>0</v>
      </c>
      <c r="K619" s="14">
        <f t="shared" ca="1" si="129"/>
        <v>241.8</v>
      </c>
      <c r="L619" s="14">
        <f t="shared" ca="1" si="130"/>
        <v>0</v>
      </c>
      <c r="M619" s="15">
        <f t="shared" ca="1" si="131"/>
        <v>241.8</v>
      </c>
      <c r="N619" s="16">
        <f ca="1">SUM($M$9:M619)/A619</f>
        <v>335.90147299508959</v>
      </c>
      <c r="O619" s="6"/>
    </row>
    <row r="620" spans="1:15" x14ac:dyDescent="0.25">
      <c r="A620" s="8">
        <v>612</v>
      </c>
      <c r="B620" s="9">
        <f t="shared" ca="1" si="123"/>
        <v>1209</v>
      </c>
      <c r="C620" s="10">
        <f t="shared" ca="1" si="124"/>
        <v>0</v>
      </c>
      <c r="D620" s="11">
        <f t="shared" ca="1" si="132"/>
        <v>0.42881797676795574</v>
      </c>
      <c r="E620" s="9">
        <f t="shared" ca="1" si="133"/>
        <v>391</v>
      </c>
      <c r="F620" s="9">
        <f t="shared" ca="1" si="125"/>
        <v>818</v>
      </c>
      <c r="G620" s="12" t="str">
        <f t="shared" ca="1" si="126"/>
        <v>Yes</v>
      </c>
      <c r="H620" s="12">
        <f t="shared" ca="1" si="134"/>
        <v>0.78172234868921453</v>
      </c>
      <c r="I620" s="10">
        <f t="shared" ca="1" si="127"/>
        <v>2</v>
      </c>
      <c r="J620" s="13">
        <f t="shared" ca="1" si="128"/>
        <v>300</v>
      </c>
      <c r="K620" s="14">
        <f t="shared" ca="1" si="129"/>
        <v>163.60000000000002</v>
      </c>
      <c r="L620" s="14">
        <f t="shared" ca="1" si="130"/>
        <v>0</v>
      </c>
      <c r="M620" s="15">
        <f t="shared" ca="1" si="131"/>
        <v>463.6</v>
      </c>
      <c r="N620" s="16">
        <f ca="1">SUM($M$9:M620)/A620</f>
        <v>336.11013071895388</v>
      </c>
      <c r="O620" s="6"/>
    </row>
    <row r="621" spans="1:15" x14ac:dyDescent="0.25">
      <c r="A621" s="8">
        <v>613</v>
      </c>
      <c r="B621" s="9">
        <f t="shared" ca="1" si="123"/>
        <v>818</v>
      </c>
      <c r="C621" s="10">
        <f t="shared" ca="1" si="124"/>
        <v>0</v>
      </c>
      <c r="D621" s="11">
        <f t="shared" ca="1" si="132"/>
        <v>0.49922718218343221</v>
      </c>
      <c r="E621" s="9">
        <f t="shared" ca="1" si="133"/>
        <v>399</v>
      </c>
      <c r="F621" s="9">
        <f t="shared" ca="1" si="125"/>
        <v>419</v>
      </c>
      <c r="G621" s="12" t="str">
        <f t="shared" ca="1" si="126"/>
        <v>No</v>
      </c>
      <c r="H621" s="12">
        <f t="shared" ca="1" si="134"/>
        <v>0</v>
      </c>
      <c r="I621" s="10">
        <f t="shared" ca="1" si="127"/>
        <v>1</v>
      </c>
      <c r="J621" s="13">
        <f t="shared" ca="1" si="128"/>
        <v>0</v>
      </c>
      <c r="K621" s="14">
        <f t="shared" ca="1" si="129"/>
        <v>83.800000000000011</v>
      </c>
      <c r="L621" s="14">
        <f t="shared" ca="1" si="130"/>
        <v>0</v>
      </c>
      <c r="M621" s="15">
        <f t="shared" ca="1" si="131"/>
        <v>83.800000000000011</v>
      </c>
      <c r="N621" s="16">
        <f ca="1">SUM($M$9:M621)/A621</f>
        <v>335.69853181076633</v>
      </c>
      <c r="O621" s="6"/>
    </row>
    <row r="622" spans="1:15" x14ac:dyDescent="0.25">
      <c r="A622" s="8">
        <v>614</v>
      </c>
      <c r="B622" s="9">
        <f t="shared" ca="1" si="123"/>
        <v>2219</v>
      </c>
      <c r="C622" s="10">
        <f t="shared" ca="1" si="124"/>
        <v>1800</v>
      </c>
      <c r="D622" s="11">
        <f t="shared" ca="1" si="132"/>
        <v>0.79390142634185135</v>
      </c>
      <c r="E622" s="9">
        <f t="shared" ca="1" si="133"/>
        <v>441</v>
      </c>
      <c r="F622" s="9">
        <f t="shared" ca="1" si="125"/>
        <v>1778</v>
      </c>
      <c r="G622" s="12" t="str">
        <f t="shared" ca="1" si="126"/>
        <v>No</v>
      </c>
      <c r="H622" s="12">
        <f t="shared" ca="1" si="134"/>
        <v>0</v>
      </c>
      <c r="I622" s="10">
        <f t="shared" ca="1" si="127"/>
        <v>0</v>
      </c>
      <c r="J622" s="13">
        <f t="shared" ca="1" si="128"/>
        <v>0</v>
      </c>
      <c r="K622" s="14">
        <f t="shared" ca="1" si="129"/>
        <v>355.6</v>
      </c>
      <c r="L622" s="14">
        <f t="shared" ca="1" si="130"/>
        <v>0</v>
      </c>
      <c r="M622" s="15">
        <f t="shared" ca="1" si="131"/>
        <v>355.6</v>
      </c>
      <c r="N622" s="16">
        <f ca="1">SUM($M$9:M622)/A622</f>
        <v>335.73094462540678</v>
      </c>
      <c r="O622" s="6"/>
    </row>
    <row r="623" spans="1:15" x14ac:dyDescent="0.25">
      <c r="A623" s="8">
        <v>615</v>
      </c>
      <c r="B623" s="9">
        <f t="shared" ca="1" si="123"/>
        <v>1778</v>
      </c>
      <c r="C623" s="10">
        <f t="shared" ca="1" si="124"/>
        <v>0</v>
      </c>
      <c r="D623" s="11">
        <f t="shared" ca="1" si="132"/>
        <v>5.3233679974367787E-2</v>
      </c>
      <c r="E623" s="9">
        <f t="shared" ca="1" si="133"/>
        <v>319</v>
      </c>
      <c r="F623" s="9">
        <f t="shared" ca="1" si="125"/>
        <v>1459</v>
      </c>
      <c r="G623" s="12" t="str">
        <f t="shared" ca="1" si="126"/>
        <v>No</v>
      </c>
      <c r="H623" s="12">
        <f t="shared" ca="1" si="134"/>
        <v>0</v>
      </c>
      <c r="I623" s="10">
        <f t="shared" ca="1" si="127"/>
        <v>0</v>
      </c>
      <c r="J623" s="13">
        <f t="shared" ca="1" si="128"/>
        <v>0</v>
      </c>
      <c r="K623" s="14">
        <f t="shared" ca="1" si="129"/>
        <v>291.8</v>
      </c>
      <c r="L623" s="14">
        <f t="shared" ca="1" si="130"/>
        <v>0</v>
      </c>
      <c r="M623" s="15">
        <f t="shared" ca="1" si="131"/>
        <v>291.8</v>
      </c>
      <c r="N623" s="16">
        <f ca="1">SUM($M$9:M623)/A623</f>
        <v>335.65951219512152</v>
      </c>
      <c r="O623" s="6"/>
    </row>
    <row r="624" spans="1:15" x14ac:dyDescent="0.25">
      <c r="A624" s="8">
        <v>616</v>
      </c>
      <c r="B624" s="9">
        <f t="shared" ca="1" si="123"/>
        <v>1459</v>
      </c>
      <c r="C624" s="10">
        <f t="shared" ca="1" si="124"/>
        <v>0</v>
      </c>
      <c r="D624" s="11">
        <f t="shared" ca="1" si="132"/>
        <v>0.50507783879933232</v>
      </c>
      <c r="E624" s="9">
        <f t="shared" ca="1" si="133"/>
        <v>400</v>
      </c>
      <c r="F624" s="9">
        <f t="shared" ca="1" si="125"/>
        <v>1059</v>
      </c>
      <c r="G624" s="12" t="str">
        <f t="shared" ca="1" si="126"/>
        <v>No</v>
      </c>
      <c r="H624" s="12">
        <f t="shared" ca="1" si="134"/>
        <v>0</v>
      </c>
      <c r="I624" s="10">
        <f t="shared" ca="1" si="127"/>
        <v>0</v>
      </c>
      <c r="J624" s="13">
        <f t="shared" ca="1" si="128"/>
        <v>0</v>
      </c>
      <c r="K624" s="14">
        <f t="shared" ca="1" si="129"/>
        <v>211.8</v>
      </c>
      <c r="L624" s="14">
        <f t="shared" ca="1" si="130"/>
        <v>0</v>
      </c>
      <c r="M624" s="15">
        <f t="shared" ca="1" si="131"/>
        <v>211.8</v>
      </c>
      <c r="N624" s="16">
        <f ca="1">SUM($M$9:M624)/A624</f>
        <v>335.45844155844111</v>
      </c>
      <c r="O624" s="6"/>
    </row>
    <row r="625" spans="1:15" x14ac:dyDescent="0.25">
      <c r="A625" s="8">
        <v>617</v>
      </c>
      <c r="B625" s="9">
        <f t="shared" ca="1" si="123"/>
        <v>1059</v>
      </c>
      <c r="C625" s="10">
        <f t="shared" ca="1" si="124"/>
        <v>0</v>
      </c>
      <c r="D625" s="11">
        <f t="shared" ca="1" si="132"/>
        <v>0.80113463443406008</v>
      </c>
      <c r="E625" s="9">
        <f t="shared" ca="1" si="133"/>
        <v>442</v>
      </c>
      <c r="F625" s="9">
        <f t="shared" ca="1" si="125"/>
        <v>617</v>
      </c>
      <c r="G625" s="12" t="str">
        <f t="shared" ca="1" si="126"/>
        <v>Yes</v>
      </c>
      <c r="H625" s="12">
        <f t="shared" ca="1" si="134"/>
        <v>0.26365279427152277</v>
      </c>
      <c r="I625" s="10">
        <f t="shared" ca="1" si="127"/>
        <v>1</v>
      </c>
      <c r="J625" s="13">
        <f t="shared" ca="1" si="128"/>
        <v>300</v>
      </c>
      <c r="K625" s="14">
        <f t="shared" ca="1" si="129"/>
        <v>123.4</v>
      </c>
      <c r="L625" s="14">
        <f t="shared" ca="1" si="130"/>
        <v>0</v>
      </c>
      <c r="M625" s="15">
        <f t="shared" ca="1" si="131"/>
        <v>423.4</v>
      </c>
      <c r="N625" s="16">
        <f ca="1">SUM($M$9:M625)/A625</f>
        <v>335.60097244732532</v>
      </c>
      <c r="O625" s="6"/>
    </row>
    <row r="626" spans="1:15" x14ac:dyDescent="0.25">
      <c r="A626" s="8">
        <v>618</v>
      </c>
      <c r="B626" s="9">
        <f t="shared" ca="1" si="123"/>
        <v>2417</v>
      </c>
      <c r="C626" s="10">
        <f t="shared" ca="1" si="124"/>
        <v>1800</v>
      </c>
      <c r="D626" s="11">
        <f t="shared" ca="1" si="132"/>
        <v>0.59052352970511102</v>
      </c>
      <c r="E626" s="9">
        <f t="shared" ca="1" si="133"/>
        <v>411</v>
      </c>
      <c r="F626" s="9">
        <f t="shared" ca="1" si="125"/>
        <v>2006</v>
      </c>
      <c r="G626" s="12" t="str">
        <f t="shared" ca="1" si="126"/>
        <v>No</v>
      </c>
      <c r="H626" s="12">
        <f t="shared" ca="1" si="134"/>
        <v>0</v>
      </c>
      <c r="I626" s="10">
        <f t="shared" ca="1" si="127"/>
        <v>0</v>
      </c>
      <c r="J626" s="13">
        <f t="shared" ca="1" si="128"/>
        <v>0</v>
      </c>
      <c r="K626" s="14">
        <f t="shared" ca="1" si="129"/>
        <v>401.20000000000005</v>
      </c>
      <c r="L626" s="14">
        <f t="shared" ca="1" si="130"/>
        <v>0</v>
      </c>
      <c r="M626" s="15">
        <f t="shared" ca="1" si="131"/>
        <v>401.20000000000005</v>
      </c>
      <c r="N626" s="16">
        <f ca="1">SUM($M$9:M626)/A626</f>
        <v>335.70711974109992</v>
      </c>
      <c r="O626" s="6"/>
    </row>
    <row r="627" spans="1:15" x14ac:dyDescent="0.25">
      <c r="A627" s="8">
        <v>619</v>
      </c>
      <c r="B627" s="9">
        <f t="shared" ca="1" si="123"/>
        <v>2006</v>
      </c>
      <c r="C627" s="10">
        <f t="shared" ca="1" si="124"/>
        <v>0</v>
      </c>
      <c r="D627" s="11">
        <f t="shared" ca="1" si="132"/>
        <v>0.28217464732325392</v>
      </c>
      <c r="E627" s="9">
        <f t="shared" ca="1" si="133"/>
        <v>371</v>
      </c>
      <c r="F627" s="9">
        <f t="shared" ca="1" si="125"/>
        <v>1635</v>
      </c>
      <c r="G627" s="12" t="str">
        <f t="shared" ca="1" si="126"/>
        <v>No</v>
      </c>
      <c r="H627" s="12">
        <f t="shared" ca="1" si="134"/>
        <v>0</v>
      </c>
      <c r="I627" s="10">
        <f t="shared" ca="1" si="127"/>
        <v>0</v>
      </c>
      <c r="J627" s="13">
        <f t="shared" ca="1" si="128"/>
        <v>0</v>
      </c>
      <c r="K627" s="14">
        <f t="shared" ca="1" si="129"/>
        <v>327</v>
      </c>
      <c r="L627" s="14">
        <f t="shared" ca="1" si="130"/>
        <v>0</v>
      </c>
      <c r="M627" s="15">
        <f t="shared" ca="1" si="131"/>
        <v>327</v>
      </c>
      <c r="N627" s="16">
        <f ca="1">SUM($M$9:M627)/A627</f>
        <v>335.69305331179277</v>
      </c>
      <c r="O627" s="6"/>
    </row>
    <row r="628" spans="1:15" x14ac:dyDescent="0.25">
      <c r="A628" s="8">
        <v>620</v>
      </c>
      <c r="B628" s="9">
        <f t="shared" ca="1" si="123"/>
        <v>1635</v>
      </c>
      <c r="C628" s="10">
        <f t="shared" ca="1" si="124"/>
        <v>0</v>
      </c>
      <c r="D628" s="11">
        <f t="shared" ca="1" si="132"/>
        <v>0.42479739087313695</v>
      </c>
      <c r="E628" s="9">
        <f t="shared" ca="1" si="133"/>
        <v>390</v>
      </c>
      <c r="F628" s="9">
        <f t="shared" ca="1" si="125"/>
        <v>1245</v>
      </c>
      <c r="G628" s="12" t="str">
        <f t="shared" ca="1" si="126"/>
        <v>No</v>
      </c>
      <c r="H628" s="12">
        <f t="shared" ca="1" si="134"/>
        <v>0</v>
      </c>
      <c r="I628" s="10">
        <f t="shared" ca="1" si="127"/>
        <v>0</v>
      </c>
      <c r="J628" s="13">
        <f t="shared" ca="1" si="128"/>
        <v>0</v>
      </c>
      <c r="K628" s="14">
        <f t="shared" ca="1" si="129"/>
        <v>249</v>
      </c>
      <c r="L628" s="14">
        <f t="shared" ca="1" si="130"/>
        <v>0</v>
      </c>
      <c r="M628" s="15">
        <f t="shared" ca="1" si="131"/>
        <v>249</v>
      </c>
      <c r="N628" s="16">
        <f ca="1">SUM($M$9:M628)/A628</f>
        <v>335.55322580645117</v>
      </c>
      <c r="O628" s="6"/>
    </row>
    <row r="629" spans="1:15" x14ac:dyDescent="0.25">
      <c r="A629" s="8">
        <v>621</v>
      </c>
      <c r="B629" s="9">
        <f t="shared" ca="1" si="123"/>
        <v>1245</v>
      </c>
      <c r="C629" s="10">
        <f t="shared" ca="1" si="124"/>
        <v>0</v>
      </c>
      <c r="D629" s="11">
        <f t="shared" ca="1" si="132"/>
        <v>0.71092442828345603</v>
      </c>
      <c r="E629" s="9">
        <f t="shared" ca="1" si="133"/>
        <v>427</v>
      </c>
      <c r="F629" s="9">
        <f t="shared" ca="1" si="125"/>
        <v>818</v>
      </c>
      <c r="G629" s="12" t="str">
        <f t="shared" ca="1" si="126"/>
        <v>Yes</v>
      </c>
      <c r="H629" s="12">
        <f t="shared" ca="1" si="134"/>
        <v>0.17118347389844779</v>
      </c>
      <c r="I629" s="10">
        <f t="shared" ca="1" si="127"/>
        <v>1</v>
      </c>
      <c r="J629" s="13">
        <f t="shared" ca="1" si="128"/>
        <v>300</v>
      </c>
      <c r="K629" s="14">
        <f t="shared" ca="1" si="129"/>
        <v>163.60000000000002</v>
      </c>
      <c r="L629" s="14">
        <f t="shared" ca="1" si="130"/>
        <v>0</v>
      </c>
      <c r="M629" s="15">
        <f t="shared" ca="1" si="131"/>
        <v>463.6</v>
      </c>
      <c r="N629" s="16">
        <f ca="1">SUM($M$9:M629)/A629</f>
        <v>335.75942028985469</v>
      </c>
      <c r="O629" s="6"/>
    </row>
    <row r="630" spans="1:15" x14ac:dyDescent="0.25">
      <c r="A630" s="8">
        <v>622</v>
      </c>
      <c r="B630" s="9">
        <f t="shared" ca="1" si="123"/>
        <v>2618</v>
      </c>
      <c r="C630" s="10">
        <f t="shared" ca="1" si="124"/>
        <v>1800</v>
      </c>
      <c r="D630" s="11">
        <f t="shared" ca="1" si="132"/>
        <v>0.60442996396836013</v>
      </c>
      <c r="E630" s="9">
        <f t="shared" ca="1" si="133"/>
        <v>413</v>
      </c>
      <c r="F630" s="9">
        <f t="shared" ca="1" si="125"/>
        <v>2205</v>
      </c>
      <c r="G630" s="12" t="str">
        <f t="shared" ca="1" si="126"/>
        <v>No</v>
      </c>
      <c r="H630" s="12">
        <f t="shared" ca="1" si="134"/>
        <v>0</v>
      </c>
      <c r="I630" s="10">
        <f t="shared" ca="1" si="127"/>
        <v>0</v>
      </c>
      <c r="J630" s="13">
        <f t="shared" ca="1" si="128"/>
        <v>0</v>
      </c>
      <c r="K630" s="14">
        <f t="shared" ca="1" si="129"/>
        <v>441</v>
      </c>
      <c r="L630" s="14">
        <f t="shared" ca="1" si="130"/>
        <v>0</v>
      </c>
      <c r="M630" s="15">
        <f t="shared" ca="1" si="131"/>
        <v>441</v>
      </c>
      <c r="N630" s="16">
        <f ca="1">SUM($M$9:M630)/A630</f>
        <v>335.92861736334362</v>
      </c>
      <c r="O630" s="6"/>
    </row>
    <row r="631" spans="1:15" x14ac:dyDescent="0.25">
      <c r="A631" s="8">
        <v>623</v>
      </c>
      <c r="B631" s="9">
        <f t="shared" ca="1" si="123"/>
        <v>2205</v>
      </c>
      <c r="C631" s="10">
        <f t="shared" ca="1" si="124"/>
        <v>0</v>
      </c>
      <c r="D631" s="11">
        <f t="shared" ca="1" si="132"/>
        <v>0.57771521634329581</v>
      </c>
      <c r="E631" s="9">
        <f t="shared" ca="1" si="133"/>
        <v>409</v>
      </c>
      <c r="F631" s="9">
        <f t="shared" ca="1" si="125"/>
        <v>1796</v>
      </c>
      <c r="G631" s="12" t="str">
        <f t="shared" ca="1" si="126"/>
        <v>No</v>
      </c>
      <c r="H631" s="12">
        <f t="shared" ca="1" si="134"/>
        <v>0</v>
      </c>
      <c r="I631" s="10">
        <f t="shared" ca="1" si="127"/>
        <v>0</v>
      </c>
      <c r="J631" s="13">
        <f t="shared" ca="1" si="128"/>
        <v>0</v>
      </c>
      <c r="K631" s="14">
        <f t="shared" ca="1" si="129"/>
        <v>359.20000000000005</v>
      </c>
      <c r="L631" s="14">
        <f t="shared" ca="1" si="130"/>
        <v>0</v>
      </c>
      <c r="M631" s="15">
        <f t="shared" ca="1" si="131"/>
        <v>359.20000000000005</v>
      </c>
      <c r="N631" s="16">
        <f ca="1">SUM($M$9:M631)/A631</f>
        <v>335.96597110754374</v>
      </c>
      <c r="O631" s="6"/>
    </row>
    <row r="632" spans="1:15" x14ac:dyDescent="0.25">
      <c r="A632" s="8">
        <v>624</v>
      </c>
      <c r="B632" s="9">
        <f t="shared" ca="1" si="123"/>
        <v>1796</v>
      </c>
      <c r="C632" s="10">
        <f t="shared" ca="1" si="124"/>
        <v>0</v>
      </c>
      <c r="D632" s="11">
        <f t="shared" ca="1" si="132"/>
        <v>0.64420293403590034</v>
      </c>
      <c r="E632" s="9">
        <f t="shared" ca="1" si="133"/>
        <v>418</v>
      </c>
      <c r="F632" s="9">
        <f t="shared" ca="1" si="125"/>
        <v>1378</v>
      </c>
      <c r="G632" s="12" t="str">
        <f t="shared" ca="1" si="126"/>
        <v>No</v>
      </c>
      <c r="H632" s="12">
        <f t="shared" ca="1" si="134"/>
        <v>0</v>
      </c>
      <c r="I632" s="10">
        <f t="shared" ca="1" si="127"/>
        <v>0</v>
      </c>
      <c r="J632" s="13">
        <f t="shared" ca="1" si="128"/>
        <v>0</v>
      </c>
      <c r="K632" s="14">
        <f t="shared" ca="1" si="129"/>
        <v>275.60000000000002</v>
      </c>
      <c r="L632" s="14">
        <f t="shared" ca="1" si="130"/>
        <v>0</v>
      </c>
      <c r="M632" s="15">
        <f t="shared" ca="1" si="131"/>
        <v>275.60000000000002</v>
      </c>
      <c r="N632" s="16">
        <f ca="1">SUM($M$9:M632)/A632</f>
        <v>335.8692307692304</v>
      </c>
      <c r="O632" s="6"/>
    </row>
    <row r="633" spans="1:15" x14ac:dyDescent="0.25">
      <c r="A633" s="8">
        <v>625</v>
      </c>
      <c r="B633" s="9">
        <f t="shared" ca="1" si="123"/>
        <v>1378</v>
      </c>
      <c r="C633" s="10">
        <f t="shared" ca="1" si="124"/>
        <v>0</v>
      </c>
      <c r="D633" s="11">
        <f t="shared" ca="1" si="132"/>
        <v>0.15640903573138143</v>
      </c>
      <c r="E633" s="9">
        <f t="shared" ca="1" si="133"/>
        <v>349</v>
      </c>
      <c r="F633" s="9">
        <f t="shared" ca="1" si="125"/>
        <v>1029</v>
      </c>
      <c r="G633" s="12" t="str">
        <f t="shared" ca="1" si="126"/>
        <v>Yes</v>
      </c>
      <c r="H633" s="12">
        <f t="shared" ca="1" si="134"/>
        <v>0.59658996923474505</v>
      </c>
      <c r="I633" s="10">
        <f t="shared" ca="1" si="127"/>
        <v>1</v>
      </c>
      <c r="J633" s="13">
        <f t="shared" ca="1" si="128"/>
        <v>300</v>
      </c>
      <c r="K633" s="14">
        <f t="shared" ca="1" si="129"/>
        <v>205.8</v>
      </c>
      <c r="L633" s="14">
        <f t="shared" ca="1" si="130"/>
        <v>0</v>
      </c>
      <c r="M633" s="15">
        <f t="shared" ca="1" si="131"/>
        <v>505.8</v>
      </c>
      <c r="N633" s="16">
        <f ca="1">SUM($M$9:M633)/A633</f>
        <v>336.1411199999996</v>
      </c>
      <c r="O633" s="6"/>
    </row>
    <row r="634" spans="1:15" x14ac:dyDescent="0.25">
      <c r="A634" s="8">
        <v>626</v>
      </c>
      <c r="B634" s="9">
        <f t="shared" ca="1" si="123"/>
        <v>2829</v>
      </c>
      <c r="C634" s="10">
        <f t="shared" ca="1" si="124"/>
        <v>1800</v>
      </c>
      <c r="D634" s="11">
        <f t="shared" ca="1" si="132"/>
        <v>3.822641116189418E-2</v>
      </c>
      <c r="E634" s="9">
        <f t="shared" ca="1" si="133"/>
        <v>311</v>
      </c>
      <c r="F634" s="9">
        <f t="shared" ca="1" si="125"/>
        <v>2518</v>
      </c>
      <c r="G634" s="12" t="str">
        <f t="shared" ca="1" si="126"/>
        <v>No</v>
      </c>
      <c r="H634" s="12">
        <f t="shared" ca="1" si="134"/>
        <v>0</v>
      </c>
      <c r="I634" s="10">
        <f t="shared" ca="1" si="127"/>
        <v>0</v>
      </c>
      <c r="J634" s="13">
        <f t="shared" ca="1" si="128"/>
        <v>0</v>
      </c>
      <c r="K634" s="14">
        <f t="shared" ca="1" si="129"/>
        <v>503.6</v>
      </c>
      <c r="L634" s="14">
        <f t="shared" ca="1" si="130"/>
        <v>0</v>
      </c>
      <c r="M634" s="15">
        <f t="shared" ca="1" si="131"/>
        <v>503.6</v>
      </c>
      <c r="N634" s="16">
        <f ca="1">SUM($M$9:M634)/A634</f>
        <v>336.40862619808269</v>
      </c>
      <c r="O634" s="6"/>
    </row>
    <row r="635" spans="1:15" x14ac:dyDescent="0.25">
      <c r="A635" s="8">
        <v>627</v>
      </c>
      <c r="B635" s="9">
        <f t="shared" ca="1" si="123"/>
        <v>2518</v>
      </c>
      <c r="C635" s="10">
        <f t="shared" ca="1" si="124"/>
        <v>0</v>
      </c>
      <c r="D635" s="11">
        <f t="shared" ca="1" si="132"/>
        <v>0.44577439459489443</v>
      </c>
      <c r="E635" s="9">
        <f t="shared" ca="1" si="133"/>
        <v>393</v>
      </c>
      <c r="F635" s="9">
        <f t="shared" ca="1" si="125"/>
        <v>2125</v>
      </c>
      <c r="G635" s="12" t="str">
        <f t="shared" ca="1" si="126"/>
        <v>No</v>
      </c>
      <c r="H635" s="12">
        <f t="shared" ca="1" si="134"/>
        <v>0</v>
      </c>
      <c r="I635" s="10">
        <f t="shared" ca="1" si="127"/>
        <v>0</v>
      </c>
      <c r="J635" s="13">
        <f t="shared" ca="1" si="128"/>
        <v>0</v>
      </c>
      <c r="K635" s="14">
        <f t="shared" ca="1" si="129"/>
        <v>425</v>
      </c>
      <c r="L635" s="14">
        <f t="shared" ca="1" si="130"/>
        <v>0</v>
      </c>
      <c r="M635" s="15">
        <f t="shared" ca="1" si="131"/>
        <v>425</v>
      </c>
      <c r="N635" s="16">
        <f ca="1">SUM($M$9:M635)/A635</f>
        <v>336.549920255183</v>
      </c>
      <c r="O635" s="6"/>
    </row>
    <row r="636" spans="1:15" x14ac:dyDescent="0.25">
      <c r="A636" s="8">
        <v>628</v>
      </c>
      <c r="B636" s="9">
        <f t="shared" ca="1" si="123"/>
        <v>2125</v>
      </c>
      <c r="C636" s="10">
        <f t="shared" ca="1" si="124"/>
        <v>0</v>
      </c>
      <c r="D636" s="11">
        <f t="shared" ca="1" si="132"/>
        <v>0.83177905906431748</v>
      </c>
      <c r="E636" s="9">
        <f t="shared" ca="1" si="133"/>
        <v>448</v>
      </c>
      <c r="F636" s="9">
        <f t="shared" ca="1" si="125"/>
        <v>1677</v>
      </c>
      <c r="G636" s="12" t="str">
        <f t="shared" ca="1" si="126"/>
        <v>No</v>
      </c>
      <c r="H636" s="12">
        <f t="shared" ca="1" si="134"/>
        <v>0</v>
      </c>
      <c r="I636" s="10">
        <f t="shared" ca="1" si="127"/>
        <v>0</v>
      </c>
      <c r="J636" s="13">
        <f t="shared" ca="1" si="128"/>
        <v>0</v>
      </c>
      <c r="K636" s="14">
        <f t="shared" ca="1" si="129"/>
        <v>335.40000000000003</v>
      </c>
      <c r="L636" s="14">
        <f t="shared" ca="1" si="130"/>
        <v>0</v>
      </c>
      <c r="M636" s="15">
        <f t="shared" ca="1" si="131"/>
        <v>335.40000000000003</v>
      </c>
      <c r="N636" s="16">
        <f ca="1">SUM($M$9:M636)/A636</f>
        <v>336.54808917197414</v>
      </c>
      <c r="O636" s="6"/>
    </row>
    <row r="637" spans="1:15" x14ac:dyDescent="0.25">
      <c r="A637" s="8">
        <v>629</v>
      </c>
      <c r="B637" s="9">
        <f t="shared" ref="B637:B700" ca="1" si="135">IF(I636=1,F636+Quantity,F636)</f>
        <v>1677</v>
      </c>
      <c r="C637" s="10">
        <f t="shared" ref="C637:C700" ca="1" si="136">IF(I636=1,Quantity,0)</f>
        <v>0</v>
      </c>
      <c r="D637" s="11">
        <f t="shared" ca="1" si="132"/>
        <v>0.22955157635666024</v>
      </c>
      <c r="E637" s="9">
        <f t="shared" ca="1" si="133"/>
        <v>362</v>
      </c>
      <c r="F637" s="9">
        <f t="shared" ref="F637:F700" ca="1" si="137">IF(B637+C637-E637&lt;0,0,B637-E637)</f>
        <v>1315</v>
      </c>
      <c r="G637" s="12" t="str">
        <f t="shared" ref="G637:G700" ca="1" si="138">IF(B637&lt;Point,IF(I636=0,"Yes","No"),"No")</f>
        <v>No</v>
      </c>
      <c r="H637" s="12">
        <f t="shared" ca="1" si="134"/>
        <v>0</v>
      </c>
      <c r="I637" s="10">
        <f t="shared" ref="I637:I700" ca="1" si="139">IF(I636&gt;0,I636-1,(IF(G637="Yes",(VLOOKUP(H637,LTD,3)),0)))</f>
        <v>0</v>
      </c>
      <c r="J637" s="13">
        <f t="shared" ref="J637:J700" ca="1" si="140">IF(G637="Yes",Order_Cost,0)</f>
        <v>0</v>
      </c>
      <c r="K637" s="14">
        <f t="shared" ref="K637:K700" ca="1" si="141">F637*Holding_Cost</f>
        <v>263</v>
      </c>
      <c r="L637" s="14">
        <f t="shared" ref="L637:L700" ca="1" si="142">IF(B637+C637&lt;E637,Shortage_Cost*(E637-B637-C637),0)</f>
        <v>0</v>
      </c>
      <c r="M637" s="15">
        <f t="shared" ref="M637:M700" ca="1" si="143">SUM(J637:L637)</f>
        <v>263</v>
      </c>
      <c r="N637" s="16">
        <f ca="1">SUM($M$9:M637)/A637</f>
        <v>336.43116057233664</v>
      </c>
      <c r="O637" s="6"/>
    </row>
    <row r="638" spans="1:15" x14ac:dyDescent="0.25">
      <c r="A638" s="8">
        <v>630</v>
      </c>
      <c r="B638" s="9">
        <f t="shared" ca="1" si="135"/>
        <v>1315</v>
      </c>
      <c r="C638" s="10">
        <f t="shared" ca="1" si="136"/>
        <v>0</v>
      </c>
      <c r="D638" s="11">
        <f t="shared" ca="1" si="132"/>
        <v>0.70041814050514184</v>
      </c>
      <c r="E638" s="9">
        <f t="shared" ca="1" si="133"/>
        <v>426</v>
      </c>
      <c r="F638" s="9">
        <f t="shared" ca="1" si="137"/>
        <v>889</v>
      </c>
      <c r="G638" s="12" t="str">
        <f t="shared" ca="1" si="138"/>
        <v>Yes</v>
      </c>
      <c r="H638" s="12">
        <f t="shared" ca="1" si="134"/>
        <v>0.47677358345062604</v>
      </c>
      <c r="I638" s="10">
        <f t="shared" ca="1" si="139"/>
        <v>1</v>
      </c>
      <c r="J638" s="13">
        <f t="shared" ca="1" si="140"/>
        <v>300</v>
      </c>
      <c r="K638" s="14">
        <f t="shared" ca="1" si="141"/>
        <v>177.8</v>
      </c>
      <c r="L638" s="14">
        <f t="shared" ca="1" si="142"/>
        <v>0</v>
      </c>
      <c r="M638" s="15">
        <f t="shared" ca="1" si="143"/>
        <v>477.8</v>
      </c>
      <c r="N638" s="16">
        <f ca="1">SUM($M$9:M638)/A638</f>
        <v>336.65555555555517</v>
      </c>
      <c r="O638" s="6"/>
    </row>
    <row r="639" spans="1:15" x14ac:dyDescent="0.25">
      <c r="A639" s="8">
        <v>631</v>
      </c>
      <c r="B639" s="9">
        <f t="shared" ca="1" si="135"/>
        <v>2689</v>
      </c>
      <c r="C639" s="10">
        <f t="shared" ca="1" si="136"/>
        <v>1800</v>
      </c>
      <c r="D639" s="11">
        <f t="shared" ca="1" si="132"/>
        <v>0.98340686767902374</v>
      </c>
      <c r="E639" s="9">
        <f t="shared" ca="1" si="133"/>
        <v>506</v>
      </c>
      <c r="F639" s="9">
        <f t="shared" ca="1" si="137"/>
        <v>2183</v>
      </c>
      <c r="G639" s="12" t="str">
        <f t="shared" ca="1" si="138"/>
        <v>No</v>
      </c>
      <c r="H639" s="12">
        <f t="shared" ca="1" si="134"/>
        <v>0</v>
      </c>
      <c r="I639" s="10">
        <f t="shared" ca="1" si="139"/>
        <v>0</v>
      </c>
      <c r="J639" s="13">
        <f t="shared" ca="1" si="140"/>
        <v>0</v>
      </c>
      <c r="K639" s="14">
        <f t="shared" ca="1" si="141"/>
        <v>436.6</v>
      </c>
      <c r="L639" s="14">
        <f t="shared" ca="1" si="142"/>
        <v>0</v>
      </c>
      <c r="M639" s="15">
        <f t="shared" ca="1" si="143"/>
        <v>436.6</v>
      </c>
      <c r="N639" s="16">
        <f ca="1">SUM($M$9:M639)/A639</f>
        <v>336.81394611727376</v>
      </c>
      <c r="O639" s="6"/>
    </row>
    <row r="640" spans="1:15" x14ac:dyDescent="0.25">
      <c r="A640" s="8">
        <v>632</v>
      </c>
      <c r="B640" s="9">
        <f t="shared" ca="1" si="135"/>
        <v>2183</v>
      </c>
      <c r="C640" s="10">
        <f t="shared" ca="1" si="136"/>
        <v>0</v>
      </c>
      <c r="D640" s="11">
        <f t="shared" ca="1" si="132"/>
        <v>0.93147668002314521</v>
      </c>
      <c r="E640" s="9">
        <f t="shared" ca="1" si="133"/>
        <v>474</v>
      </c>
      <c r="F640" s="9">
        <f t="shared" ca="1" si="137"/>
        <v>1709</v>
      </c>
      <c r="G640" s="12" t="str">
        <f t="shared" ca="1" si="138"/>
        <v>No</v>
      </c>
      <c r="H640" s="12">
        <f t="shared" ca="1" si="134"/>
        <v>0</v>
      </c>
      <c r="I640" s="10">
        <f t="shared" ca="1" si="139"/>
        <v>0</v>
      </c>
      <c r="J640" s="13">
        <f t="shared" ca="1" si="140"/>
        <v>0</v>
      </c>
      <c r="K640" s="14">
        <f t="shared" ca="1" si="141"/>
        <v>341.8</v>
      </c>
      <c r="L640" s="14">
        <f t="shared" ca="1" si="142"/>
        <v>0</v>
      </c>
      <c r="M640" s="15">
        <f t="shared" ca="1" si="143"/>
        <v>341.8</v>
      </c>
      <c r="N640" s="16">
        <f ca="1">SUM($M$9:M640)/A640</f>
        <v>336.82183544303757</v>
      </c>
      <c r="O640" s="6"/>
    </row>
    <row r="641" spans="1:15" x14ac:dyDescent="0.25">
      <c r="A641" s="8">
        <v>633</v>
      </c>
      <c r="B641" s="9">
        <f t="shared" ca="1" si="135"/>
        <v>1709</v>
      </c>
      <c r="C641" s="10">
        <f t="shared" ca="1" si="136"/>
        <v>0</v>
      </c>
      <c r="D641" s="11">
        <f t="shared" ca="1" si="132"/>
        <v>0.55414202285567271</v>
      </c>
      <c r="E641" s="9">
        <f t="shared" ca="1" si="133"/>
        <v>406</v>
      </c>
      <c r="F641" s="9">
        <f t="shared" ca="1" si="137"/>
        <v>1303</v>
      </c>
      <c r="G641" s="12" t="str">
        <f t="shared" ca="1" si="138"/>
        <v>No</v>
      </c>
      <c r="H641" s="12">
        <f t="shared" ca="1" si="134"/>
        <v>0</v>
      </c>
      <c r="I641" s="10">
        <f t="shared" ca="1" si="139"/>
        <v>0</v>
      </c>
      <c r="J641" s="13">
        <f t="shared" ca="1" si="140"/>
        <v>0</v>
      </c>
      <c r="K641" s="14">
        <f t="shared" ca="1" si="141"/>
        <v>260.60000000000002</v>
      </c>
      <c r="L641" s="14">
        <f t="shared" ca="1" si="142"/>
        <v>0</v>
      </c>
      <c r="M641" s="15">
        <f t="shared" ca="1" si="143"/>
        <v>260.60000000000002</v>
      </c>
      <c r="N641" s="16">
        <f ca="1">SUM($M$9:M641)/A641</f>
        <v>336.70142180094746</v>
      </c>
      <c r="O641" s="6"/>
    </row>
    <row r="642" spans="1:15" x14ac:dyDescent="0.25">
      <c r="A642" s="8">
        <v>634</v>
      </c>
      <c r="B642" s="9">
        <f t="shared" ca="1" si="135"/>
        <v>1303</v>
      </c>
      <c r="C642" s="10">
        <f t="shared" ca="1" si="136"/>
        <v>0</v>
      </c>
      <c r="D642" s="11">
        <f t="shared" ca="1" si="132"/>
        <v>0.86444971694086492</v>
      </c>
      <c r="E642" s="9">
        <f t="shared" ca="1" si="133"/>
        <v>455</v>
      </c>
      <c r="F642" s="9">
        <f t="shared" ca="1" si="137"/>
        <v>848</v>
      </c>
      <c r="G642" s="12" t="str">
        <f t="shared" ca="1" si="138"/>
        <v>Yes</v>
      </c>
      <c r="H642" s="12">
        <f t="shared" ca="1" si="134"/>
        <v>0.8629228110838838</v>
      </c>
      <c r="I642" s="10">
        <f t="shared" ca="1" si="139"/>
        <v>2</v>
      </c>
      <c r="J642" s="13">
        <f t="shared" ca="1" si="140"/>
        <v>300</v>
      </c>
      <c r="K642" s="14">
        <f t="shared" ca="1" si="141"/>
        <v>169.60000000000002</v>
      </c>
      <c r="L642" s="14">
        <f t="shared" ca="1" si="142"/>
        <v>0</v>
      </c>
      <c r="M642" s="15">
        <f t="shared" ca="1" si="143"/>
        <v>469.6</v>
      </c>
      <c r="N642" s="16">
        <f ca="1">SUM($M$9:M642)/A642</f>
        <v>336.9110410094633</v>
      </c>
      <c r="O642" s="6"/>
    </row>
    <row r="643" spans="1:15" x14ac:dyDescent="0.25">
      <c r="A643" s="8">
        <v>635</v>
      </c>
      <c r="B643" s="9">
        <f t="shared" ca="1" si="135"/>
        <v>848</v>
      </c>
      <c r="C643" s="10">
        <f t="shared" ca="1" si="136"/>
        <v>0</v>
      </c>
      <c r="D643" s="11">
        <f t="shared" ca="1" si="132"/>
        <v>0.30056489456639646</v>
      </c>
      <c r="E643" s="9">
        <f t="shared" ca="1" si="133"/>
        <v>373</v>
      </c>
      <c r="F643" s="9">
        <f t="shared" ca="1" si="137"/>
        <v>475</v>
      </c>
      <c r="G643" s="12" t="str">
        <f t="shared" ca="1" si="138"/>
        <v>No</v>
      </c>
      <c r="H643" s="12">
        <f t="shared" ca="1" si="134"/>
        <v>0</v>
      </c>
      <c r="I643" s="10">
        <f t="shared" ca="1" si="139"/>
        <v>1</v>
      </c>
      <c r="J643" s="13">
        <f t="shared" ca="1" si="140"/>
        <v>0</v>
      </c>
      <c r="K643" s="14">
        <f t="shared" ca="1" si="141"/>
        <v>95</v>
      </c>
      <c r="L643" s="14">
        <f t="shared" ca="1" si="142"/>
        <v>0</v>
      </c>
      <c r="M643" s="15">
        <f t="shared" ca="1" si="143"/>
        <v>95</v>
      </c>
      <c r="N643" s="16">
        <f ca="1">SUM($M$9:M643)/A643</f>
        <v>336.53007874015708</v>
      </c>
      <c r="O643" s="6"/>
    </row>
    <row r="644" spans="1:15" x14ac:dyDescent="0.25">
      <c r="A644" s="8">
        <v>636</v>
      </c>
      <c r="B644" s="9">
        <f t="shared" ca="1" si="135"/>
        <v>2275</v>
      </c>
      <c r="C644" s="10">
        <f t="shared" ca="1" si="136"/>
        <v>1800</v>
      </c>
      <c r="D644" s="11">
        <f t="shared" ca="1" si="132"/>
        <v>0.81546499538277539</v>
      </c>
      <c r="E644" s="9">
        <f t="shared" ca="1" si="133"/>
        <v>444</v>
      </c>
      <c r="F644" s="9">
        <f t="shared" ca="1" si="137"/>
        <v>1831</v>
      </c>
      <c r="G644" s="12" t="str">
        <f t="shared" ca="1" si="138"/>
        <v>No</v>
      </c>
      <c r="H644" s="12">
        <f t="shared" ca="1" si="134"/>
        <v>0</v>
      </c>
      <c r="I644" s="10">
        <f t="shared" ca="1" si="139"/>
        <v>0</v>
      </c>
      <c r="J644" s="13">
        <f t="shared" ca="1" si="140"/>
        <v>0</v>
      </c>
      <c r="K644" s="14">
        <f t="shared" ca="1" si="141"/>
        <v>366.20000000000005</v>
      </c>
      <c r="L644" s="14">
        <f t="shared" ca="1" si="142"/>
        <v>0</v>
      </c>
      <c r="M644" s="15">
        <f t="shared" ca="1" si="143"/>
        <v>366.20000000000005</v>
      </c>
      <c r="N644" s="16">
        <f ca="1">SUM($M$9:M644)/A644</f>
        <v>336.57672955974806</v>
      </c>
      <c r="O644" s="6"/>
    </row>
    <row r="645" spans="1:15" x14ac:dyDescent="0.25">
      <c r="A645" s="8">
        <v>637</v>
      </c>
      <c r="B645" s="9">
        <f t="shared" ca="1" si="135"/>
        <v>1831</v>
      </c>
      <c r="C645" s="10">
        <f t="shared" ca="1" si="136"/>
        <v>0</v>
      </c>
      <c r="D645" s="11">
        <f t="shared" ca="1" si="132"/>
        <v>1.1703388339066367E-2</v>
      </c>
      <c r="E645" s="9">
        <f t="shared" ca="1" si="133"/>
        <v>286</v>
      </c>
      <c r="F645" s="9">
        <f t="shared" ca="1" si="137"/>
        <v>1545</v>
      </c>
      <c r="G645" s="12" t="str">
        <f t="shared" ca="1" si="138"/>
        <v>No</v>
      </c>
      <c r="H645" s="12">
        <f t="shared" ca="1" si="134"/>
        <v>0</v>
      </c>
      <c r="I645" s="10">
        <f t="shared" ca="1" si="139"/>
        <v>0</v>
      </c>
      <c r="J645" s="13">
        <f t="shared" ca="1" si="140"/>
        <v>0</v>
      </c>
      <c r="K645" s="14">
        <f t="shared" ca="1" si="141"/>
        <v>309</v>
      </c>
      <c r="L645" s="14">
        <f t="shared" ca="1" si="142"/>
        <v>0</v>
      </c>
      <c r="M645" s="15">
        <f t="shared" ca="1" si="143"/>
        <v>309</v>
      </c>
      <c r="N645" s="16">
        <f ca="1">SUM($M$9:M645)/A645</f>
        <v>336.53343799058047</v>
      </c>
      <c r="O645" s="6"/>
    </row>
    <row r="646" spans="1:15" x14ac:dyDescent="0.25">
      <c r="A646" s="8">
        <v>638</v>
      </c>
      <c r="B646" s="9">
        <f t="shared" ca="1" si="135"/>
        <v>1545</v>
      </c>
      <c r="C646" s="10">
        <f t="shared" ca="1" si="136"/>
        <v>0</v>
      </c>
      <c r="D646" s="11">
        <f t="shared" ca="1" si="132"/>
        <v>0.40616250772402673</v>
      </c>
      <c r="E646" s="9">
        <f t="shared" ca="1" si="133"/>
        <v>388</v>
      </c>
      <c r="F646" s="9">
        <f t="shared" ca="1" si="137"/>
        <v>1157</v>
      </c>
      <c r="G646" s="12" t="str">
        <f t="shared" ca="1" si="138"/>
        <v>No</v>
      </c>
      <c r="H646" s="12">
        <f t="shared" ca="1" si="134"/>
        <v>0</v>
      </c>
      <c r="I646" s="10">
        <f t="shared" ca="1" si="139"/>
        <v>0</v>
      </c>
      <c r="J646" s="13">
        <f t="shared" ca="1" si="140"/>
        <v>0</v>
      </c>
      <c r="K646" s="14">
        <f t="shared" ca="1" si="141"/>
        <v>231.4</v>
      </c>
      <c r="L646" s="14">
        <f t="shared" ca="1" si="142"/>
        <v>0</v>
      </c>
      <c r="M646" s="15">
        <f t="shared" ca="1" si="143"/>
        <v>231.4</v>
      </c>
      <c r="N646" s="16">
        <f ca="1">SUM($M$9:M646)/A646</f>
        <v>336.36865203761715</v>
      </c>
      <c r="O646" s="6"/>
    </row>
    <row r="647" spans="1:15" x14ac:dyDescent="0.25">
      <c r="A647" s="8">
        <v>639</v>
      </c>
      <c r="B647" s="9">
        <f t="shared" ca="1" si="135"/>
        <v>1157</v>
      </c>
      <c r="C647" s="10">
        <f t="shared" ca="1" si="136"/>
        <v>0</v>
      </c>
      <c r="D647" s="11">
        <f t="shared" ca="1" si="132"/>
        <v>0.20701838698853636</v>
      </c>
      <c r="E647" s="9">
        <f t="shared" ca="1" si="133"/>
        <v>359</v>
      </c>
      <c r="F647" s="9">
        <f t="shared" ca="1" si="137"/>
        <v>798</v>
      </c>
      <c r="G647" s="12" t="str">
        <f t="shared" ca="1" si="138"/>
        <v>Yes</v>
      </c>
      <c r="H647" s="12">
        <f t="shared" ca="1" si="134"/>
        <v>0.75968017821404832</v>
      </c>
      <c r="I647" s="10">
        <f t="shared" ca="1" si="139"/>
        <v>2</v>
      </c>
      <c r="J647" s="13">
        <f t="shared" ca="1" si="140"/>
        <v>300</v>
      </c>
      <c r="K647" s="14">
        <f t="shared" ca="1" si="141"/>
        <v>159.60000000000002</v>
      </c>
      <c r="L647" s="14">
        <f t="shared" ca="1" si="142"/>
        <v>0</v>
      </c>
      <c r="M647" s="15">
        <f t="shared" ca="1" si="143"/>
        <v>459.6</v>
      </c>
      <c r="N647" s="16">
        <f ca="1">SUM($M$9:M647)/A647</f>
        <v>336.56150234741744</v>
      </c>
      <c r="O647" s="6"/>
    </row>
    <row r="648" spans="1:15" x14ac:dyDescent="0.25">
      <c r="A648" s="8">
        <v>640</v>
      </c>
      <c r="B648" s="9">
        <f t="shared" ca="1" si="135"/>
        <v>798</v>
      </c>
      <c r="C648" s="10">
        <f t="shared" ca="1" si="136"/>
        <v>0</v>
      </c>
      <c r="D648" s="11">
        <f t="shared" ca="1" si="132"/>
        <v>0.98734170037509195</v>
      </c>
      <c r="E648" s="9">
        <f t="shared" ca="1" si="133"/>
        <v>511</v>
      </c>
      <c r="F648" s="9">
        <f t="shared" ca="1" si="137"/>
        <v>287</v>
      </c>
      <c r="G648" s="12" t="str">
        <f t="shared" ca="1" si="138"/>
        <v>No</v>
      </c>
      <c r="H648" s="12">
        <f t="shared" ca="1" si="134"/>
        <v>0</v>
      </c>
      <c r="I648" s="10">
        <f t="shared" ca="1" si="139"/>
        <v>1</v>
      </c>
      <c r="J648" s="13">
        <f t="shared" ca="1" si="140"/>
        <v>0</v>
      </c>
      <c r="K648" s="14">
        <f t="shared" ca="1" si="141"/>
        <v>57.400000000000006</v>
      </c>
      <c r="L648" s="14">
        <f t="shared" ca="1" si="142"/>
        <v>0</v>
      </c>
      <c r="M648" s="15">
        <f t="shared" ca="1" si="143"/>
        <v>57.400000000000006</v>
      </c>
      <c r="N648" s="16">
        <f ca="1">SUM($M$9:M648)/A648</f>
        <v>336.12531249999961</v>
      </c>
      <c r="O648" s="6"/>
    </row>
    <row r="649" spans="1:15" x14ac:dyDescent="0.25">
      <c r="A649" s="8">
        <v>641</v>
      </c>
      <c r="B649" s="9">
        <f t="shared" ca="1" si="135"/>
        <v>2087</v>
      </c>
      <c r="C649" s="10">
        <f t="shared" ca="1" si="136"/>
        <v>1800</v>
      </c>
      <c r="D649" s="11">
        <f t="shared" ca="1" si="132"/>
        <v>0.84994125538832366</v>
      </c>
      <c r="E649" s="9">
        <f t="shared" ca="1" si="133"/>
        <v>451</v>
      </c>
      <c r="F649" s="9">
        <f t="shared" ca="1" si="137"/>
        <v>1636</v>
      </c>
      <c r="G649" s="12" t="str">
        <f t="shared" ca="1" si="138"/>
        <v>No</v>
      </c>
      <c r="H649" s="12">
        <f t="shared" ca="1" si="134"/>
        <v>0</v>
      </c>
      <c r="I649" s="10">
        <f t="shared" ca="1" si="139"/>
        <v>0</v>
      </c>
      <c r="J649" s="13">
        <f t="shared" ca="1" si="140"/>
        <v>0</v>
      </c>
      <c r="K649" s="14">
        <f t="shared" ca="1" si="141"/>
        <v>327.20000000000005</v>
      </c>
      <c r="L649" s="14">
        <f t="shared" ca="1" si="142"/>
        <v>0</v>
      </c>
      <c r="M649" s="15">
        <f t="shared" ca="1" si="143"/>
        <v>327.20000000000005</v>
      </c>
      <c r="N649" s="16">
        <f ca="1">SUM($M$9:M649)/A649</f>
        <v>336.11138845553785</v>
      </c>
      <c r="O649" s="6"/>
    </row>
    <row r="650" spans="1:15" x14ac:dyDescent="0.25">
      <c r="A650" s="8">
        <v>642</v>
      </c>
      <c r="B650" s="9">
        <f t="shared" ca="1" si="135"/>
        <v>1636</v>
      </c>
      <c r="C650" s="10">
        <f t="shared" ca="1" si="136"/>
        <v>0</v>
      </c>
      <c r="D650" s="11">
        <f t="shared" ref="D650:D713" ca="1" si="144">RAND()</f>
        <v>0.51553567190508931</v>
      </c>
      <c r="E650" s="9">
        <f t="shared" ref="E650:E713" ca="1" si="145">INT(NORMINV(D650,D_Mean,D_StdDev))</f>
        <v>401</v>
      </c>
      <c r="F650" s="9">
        <f t="shared" ca="1" si="137"/>
        <v>1235</v>
      </c>
      <c r="G650" s="12" t="str">
        <f t="shared" ca="1" si="138"/>
        <v>No</v>
      </c>
      <c r="H650" s="12">
        <f t="shared" ref="H650:H713" ca="1" si="146">IF(G650="Yes",RAND(),0)</f>
        <v>0</v>
      </c>
      <c r="I650" s="10">
        <f t="shared" ca="1" si="139"/>
        <v>0</v>
      </c>
      <c r="J650" s="13">
        <f t="shared" ca="1" si="140"/>
        <v>0</v>
      </c>
      <c r="K650" s="14">
        <f t="shared" ca="1" si="141"/>
        <v>247</v>
      </c>
      <c r="L650" s="14">
        <f t="shared" ca="1" si="142"/>
        <v>0</v>
      </c>
      <c r="M650" s="15">
        <f t="shared" ca="1" si="143"/>
        <v>247</v>
      </c>
      <c r="N650" s="16">
        <f ca="1">SUM($M$9:M650)/A650</f>
        <v>335.97258566978155</v>
      </c>
      <c r="O650" s="6"/>
    </row>
    <row r="651" spans="1:15" x14ac:dyDescent="0.25">
      <c r="A651" s="8">
        <v>643</v>
      </c>
      <c r="B651" s="9">
        <f t="shared" ca="1" si="135"/>
        <v>1235</v>
      </c>
      <c r="C651" s="10">
        <f t="shared" ca="1" si="136"/>
        <v>0</v>
      </c>
      <c r="D651" s="11">
        <f t="shared" ca="1" si="144"/>
        <v>0.67424905284829362</v>
      </c>
      <c r="E651" s="9">
        <f t="shared" ca="1" si="145"/>
        <v>422</v>
      </c>
      <c r="F651" s="9">
        <f t="shared" ca="1" si="137"/>
        <v>813</v>
      </c>
      <c r="G651" s="12" t="str">
        <f t="shared" ca="1" si="138"/>
        <v>Yes</v>
      </c>
      <c r="H651" s="12">
        <f t="shared" ca="1" si="146"/>
        <v>0.65819180326557902</v>
      </c>
      <c r="I651" s="10">
        <f t="shared" ca="1" si="139"/>
        <v>1</v>
      </c>
      <c r="J651" s="13">
        <f t="shared" ca="1" si="140"/>
        <v>300</v>
      </c>
      <c r="K651" s="14">
        <f t="shared" ca="1" si="141"/>
        <v>162.60000000000002</v>
      </c>
      <c r="L651" s="14">
        <f t="shared" ca="1" si="142"/>
        <v>0</v>
      </c>
      <c r="M651" s="15">
        <f t="shared" ca="1" si="143"/>
        <v>462.6</v>
      </c>
      <c r="N651" s="16">
        <f ca="1">SUM($M$9:M651)/A651</f>
        <v>336.16951788491411</v>
      </c>
      <c r="O651" s="6"/>
    </row>
    <row r="652" spans="1:15" x14ac:dyDescent="0.25">
      <c r="A652" s="8">
        <v>644</v>
      </c>
      <c r="B652" s="9">
        <f t="shared" ca="1" si="135"/>
        <v>2613</v>
      </c>
      <c r="C652" s="10">
        <f t="shared" ca="1" si="136"/>
        <v>1800</v>
      </c>
      <c r="D652" s="11">
        <f t="shared" ca="1" si="144"/>
        <v>0.1669287000521622</v>
      </c>
      <c r="E652" s="9">
        <f t="shared" ca="1" si="145"/>
        <v>351</v>
      </c>
      <c r="F652" s="9">
        <f t="shared" ca="1" si="137"/>
        <v>2262</v>
      </c>
      <c r="G652" s="12" t="str">
        <f t="shared" ca="1" si="138"/>
        <v>No</v>
      </c>
      <c r="H652" s="12">
        <f t="shared" ca="1" si="146"/>
        <v>0</v>
      </c>
      <c r="I652" s="10">
        <f t="shared" ca="1" si="139"/>
        <v>0</v>
      </c>
      <c r="J652" s="13">
        <f t="shared" ca="1" si="140"/>
        <v>0</v>
      </c>
      <c r="K652" s="14">
        <f t="shared" ca="1" si="141"/>
        <v>452.40000000000003</v>
      </c>
      <c r="L652" s="14">
        <f t="shared" ca="1" si="142"/>
        <v>0</v>
      </c>
      <c r="M652" s="15">
        <f t="shared" ca="1" si="143"/>
        <v>452.40000000000003</v>
      </c>
      <c r="N652" s="16">
        <f ca="1">SUM($M$9:M652)/A652</f>
        <v>336.34999999999962</v>
      </c>
      <c r="O652" s="6"/>
    </row>
    <row r="653" spans="1:15" x14ac:dyDescent="0.25">
      <c r="A653" s="8">
        <v>645</v>
      </c>
      <c r="B653" s="9">
        <f t="shared" ca="1" si="135"/>
        <v>2262</v>
      </c>
      <c r="C653" s="10">
        <f t="shared" ca="1" si="136"/>
        <v>0</v>
      </c>
      <c r="D653" s="11">
        <f t="shared" ca="1" si="144"/>
        <v>0.5280652184797554</v>
      </c>
      <c r="E653" s="9">
        <f t="shared" ca="1" si="145"/>
        <v>403</v>
      </c>
      <c r="F653" s="9">
        <f t="shared" ca="1" si="137"/>
        <v>1859</v>
      </c>
      <c r="G653" s="12" t="str">
        <f t="shared" ca="1" si="138"/>
        <v>No</v>
      </c>
      <c r="H653" s="12">
        <f t="shared" ca="1" si="146"/>
        <v>0</v>
      </c>
      <c r="I653" s="10">
        <f t="shared" ca="1" si="139"/>
        <v>0</v>
      </c>
      <c r="J653" s="13">
        <f t="shared" ca="1" si="140"/>
        <v>0</v>
      </c>
      <c r="K653" s="14">
        <f t="shared" ca="1" si="141"/>
        <v>371.8</v>
      </c>
      <c r="L653" s="14">
        <f t="shared" ca="1" si="142"/>
        <v>0</v>
      </c>
      <c r="M653" s="15">
        <f t="shared" ca="1" si="143"/>
        <v>371.8</v>
      </c>
      <c r="N653" s="16">
        <f ca="1">SUM($M$9:M653)/A653</f>
        <v>336.40496124030972</v>
      </c>
      <c r="O653" s="6"/>
    </row>
    <row r="654" spans="1:15" x14ac:dyDescent="0.25">
      <c r="A654" s="8">
        <v>646</v>
      </c>
      <c r="B654" s="9">
        <f t="shared" ca="1" si="135"/>
        <v>1859</v>
      </c>
      <c r="C654" s="10">
        <f t="shared" ca="1" si="136"/>
        <v>0</v>
      </c>
      <c r="D654" s="11">
        <f t="shared" ca="1" si="144"/>
        <v>0.73362974053487806</v>
      </c>
      <c r="E654" s="9">
        <f t="shared" ca="1" si="145"/>
        <v>431</v>
      </c>
      <c r="F654" s="9">
        <f t="shared" ca="1" si="137"/>
        <v>1428</v>
      </c>
      <c r="G654" s="12" t="str">
        <f t="shared" ca="1" si="138"/>
        <v>No</v>
      </c>
      <c r="H654" s="12">
        <f t="shared" ca="1" si="146"/>
        <v>0</v>
      </c>
      <c r="I654" s="10">
        <f t="shared" ca="1" si="139"/>
        <v>0</v>
      </c>
      <c r="J654" s="13">
        <f t="shared" ca="1" si="140"/>
        <v>0</v>
      </c>
      <c r="K654" s="14">
        <f t="shared" ca="1" si="141"/>
        <v>285.60000000000002</v>
      </c>
      <c r="L654" s="14">
        <f t="shared" ca="1" si="142"/>
        <v>0</v>
      </c>
      <c r="M654" s="15">
        <f t="shared" ca="1" si="143"/>
        <v>285.60000000000002</v>
      </c>
      <c r="N654" s="16">
        <f ca="1">SUM($M$9:M654)/A654</f>
        <v>336.32631578947331</v>
      </c>
      <c r="O654" s="6"/>
    </row>
    <row r="655" spans="1:15" x14ac:dyDescent="0.25">
      <c r="A655" s="8">
        <v>647</v>
      </c>
      <c r="B655" s="9">
        <f t="shared" ca="1" si="135"/>
        <v>1428</v>
      </c>
      <c r="C655" s="10">
        <f t="shared" ca="1" si="136"/>
        <v>0</v>
      </c>
      <c r="D655" s="11">
        <f t="shared" ca="1" si="144"/>
        <v>0.37156614411227451</v>
      </c>
      <c r="E655" s="9">
        <f t="shared" ca="1" si="145"/>
        <v>383</v>
      </c>
      <c r="F655" s="9">
        <f t="shared" ca="1" si="137"/>
        <v>1045</v>
      </c>
      <c r="G655" s="12" t="str">
        <f t="shared" ca="1" si="138"/>
        <v>No</v>
      </c>
      <c r="H655" s="12">
        <f t="shared" ca="1" si="146"/>
        <v>0</v>
      </c>
      <c r="I655" s="10">
        <f t="shared" ca="1" si="139"/>
        <v>0</v>
      </c>
      <c r="J655" s="13">
        <f t="shared" ca="1" si="140"/>
        <v>0</v>
      </c>
      <c r="K655" s="14">
        <f t="shared" ca="1" si="141"/>
        <v>209</v>
      </c>
      <c r="L655" s="14">
        <f t="shared" ca="1" si="142"/>
        <v>0</v>
      </c>
      <c r="M655" s="15">
        <f t="shared" ca="1" si="143"/>
        <v>209</v>
      </c>
      <c r="N655" s="16">
        <f ca="1">SUM($M$9:M655)/A655</f>
        <v>336.12952086553287</v>
      </c>
      <c r="O655" s="6"/>
    </row>
    <row r="656" spans="1:15" x14ac:dyDescent="0.25">
      <c r="A656" s="8">
        <v>648</v>
      </c>
      <c r="B656" s="9">
        <f t="shared" ca="1" si="135"/>
        <v>1045</v>
      </c>
      <c r="C656" s="10">
        <f t="shared" ca="1" si="136"/>
        <v>0</v>
      </c>
      <c r="D656" s="11">
        <f t="shared" ca="1" si="144"/>
        <v>0.88423849927597187</v>
      </c>
      <c r="E656" s="9">
        <f t="shared" ca="1" si="145"/>
        <v>459</v>
      </c>
      <c r="F656" s="9">
        <f t="shared" ca="1" si="137"/>
        <v>586</v>
      </c>
      <c r="G656" s="12" t="str">
        <f t="shared" ca="1" si="138"/>
        <v>Yes</v>
      </c>
      <c r="H656" s="12">
        <f t="shared" ca="1" si="146"/>
        <v>0.41837076822772812</v>
      </c>
      <c r="I656" s="10">
        <f t="shared" ca="1" si="139"/>
        <v>1</v>
      </c>
      <c r="J656" s="13">
        <f t="shared" ca="1" si="140"/>
        <v>300</v>
      </c>
      <c r="K656" s="14">
        <f t="shared" ca="1" si="141"/>
        <v>117.2</v>
      </c>
      <c r="L656" s="14">
        <f t="shared" ca="1" si="142"/>
        <v>0</v>
      </c>
      <c r="M656" s="15">
        <f t="shared" ca="1" si="143"/>
        <v>417.2</v>
      </c>
      <c r="N656" s="16">
        <f ca="1">SUM($M$9:M656)/A656</f>
        <v>336.25462962962928</v>
      </c>
      <c r="O656" s="6"/>
    </row>
    <row r="657" spans="1:15" x14ac:dyDescent="0.25">
      <c r="A657" s="8">
        <v>649</v>
      </c>
      <c r="B657" s="9">
        <f t="shared" ca="1" si="135"/>
        <v>2386</v>
      </c>
      <c r="C657" s="10">
        <f t="shared" ca="1" si="136"/>
        <v>1800</v>
      </c>
      <c r="D657" s="11">
        <f t="shared" ca="1" si="144"/>
        <v>2.4560842346252332E-2</v>
      </c>
      <c r="E657" s="9">
        <f t="shared" ca="1" si="145"/>
        <v>301</v>
      </c>
      <c r="F657" s="9">
        <f t="shared" ca="1" si="137"/>
        <v>2085</v>
      </c>
      <c r="G657" s="12" t="str">
        <f t="shared" ca="1" si="138"/>
        <v>No</v>
      </c>
      <c r="H657" s="12">
        <f t="shared" ca="1" si="146"/>
        <v>0</v>
      </c>
      <c r="I657" s="10">
        <f t="shared" ca="1" si="139"/>
        <v>0</v>
      </c>
      <c r="J657" s="13">
        <f t="shared" ca="1" si="140"/>
        <v>0</v>
      </c>
      <c r="K657" s="14">
        <f t="shared" ca="1" si="141"/>
        <v>417</v>
      </c>
      <c r="L657" s="14">
        <f t="shared" ca="1" si="142"/>
        <v>0</v>
      </c>
      <c r="M657" s="15">
        <f t="shared" ca="1" si="143"/>
        <v>417</v>
      </c>
      <c r="N657" s="16">
        <f ca="1">SUM($M$9:M657)/A657</f>
        <v>336.3790446841291</v>
      </c>
      <c r="O657" s="6"/>
    </row>
    <row r="658" spans="1:15" x14ac:dyDescent="0.25">
      <c r="A658" s="8">
        <v>650</v>
      </c>
      <c r="B658" s="9">
        <f t="shared" ca="1" si="135"/>
        <v>2085</v>
      </c>
      <c r="C658" s="10">
        <f t="shared" ca="1" si="136"/>
        <v>0</v>
      </c>
      <c r="D658" s="11">
        <f t="shared" ca="1" si="144"/>
        <v>0.31952208918189007</v>
      </c>
      <c r="E658" s="9">
        <f t="shared" ca="1" si="145"/>
        <v>376</v>
      </c>
      <c r="F658" s="9">
        <f t="shared" ca="1" si="137"/>
        <v>1709</v>
      </c>
      <c r="G658" s="12" t="str">
        <f t="shared" ca="1" si="138"/>
        <v>No</v>
      </c>
      <c r="H658" s="12">
        <f t="shared" ca="1" si="146"/>
        <v>0</v>
      </c>
      <c r="I658" s="10">
        <f t="shared" ca="1" si="139"/>
        <v>0</v>
      </c>
      <c r="J658" s="13">
        <f t="shared" ca="1" si="140"/>
        <v>0</v>
      </c>
      <c r="K658" s="14">
        <f t="shared" ca="1" si="141"/>
        <v>341.8</v>
      </c>
      <c r="L658" s="14">
        <f t="shared" ca="1" si="142"/>
        <v>0</v>
      </c>
      <c r="M658" s="15">
        <f t="shared" ca="1" si="143"/>
        <v>341.8</v>
      </c>
      <c r="N658" s="16">
        <f ca="1">SUM($M$9:M658)/A658</f>
        <v>336.38738461538424</v>
      </c>
      <c r="O658" s="6"/>
    </row>
    <row r="659" spans="1:15" x14ac:dyDescent="0.25">
      <c r="A659" s="8">
        <v>651</v>
      </c>
      <c r="B659" s="9">
        <f t="shared" ca="1" si="135"/>
        <v>1709</v>
      </c>
      <c r="C659" s="10">
        <f t="shared" ca="1" si="136"/>
        <v>0</v>
      </c>
      <c r="D659" s="11">
        <f t="shared" ca="1" si="144"/>
        <v>0.57419497137441644</v>
      </c>
      <c r="E659" s="9">
        <f t="shared" ca="1" si="145"/>
        <v>409</v>
      </c>
      <c r="F659" s="9">
        <f t="shared" ca="1" si="137"/>
        <v>1300</v>
      </c>
      <c r="G659" s="12" t="str">
        <f t="shared" ca="1" si="138"/>
        <v>No</v>
      </c>
      <c r="H659" s="12">
        <f t="shared" ca="1" si="146"/>
        <v>0</v>
      </c>
      <c r="I659" s="10">
        <f t="shared" ca="1" si="139"/>
        <v>0</v>
      </c>
      <c r="J659" s="13">
        <f t="shared" ca="1" si="140"/>
        <v>0</v>
      </c>
      <c r="K659" s="14">
        <f t="shared" ca="1" si="141"/>
        <v>260</v>
      </c>
      <c r="L659" s="14">
        <f t="shared" ca="1" si="142"/>
        <v>0</v>
      </c>
      <c r="M659" s="15">
        <f t="shared" ca="1" si="143"/>
        <v>260</v>
      </c>
      <c r="N659" s="16">
        <f ca="1">SUM($M$9:M659)/A659</f>
        <v>336.27004608294891</v>
      </c>
      <c r="O659" s="6"/>
    </row>
    <row r="660" spans="1:15" x14ac:dyDescent="0.25">
      <c r="A660" s="8">
        <v>652</v>
      </c>
      <c r="B660" s="9">
        <f t="shared" ca="1" si="135"/>
        <v>1300</v>
      </c>
      <c r="C660" s="10">
        <f t="shared" ca="1" si="136"/>
        <v>0</v>
      </c>
      <c r="D660" s="11">
        <f t="shared" ca="1" si="144"/>
        <v>0.64200092587338919</v>
      </c>
      <c r="E660" s="9">
        <f t="shared" ca="1" si="145"/>
        <v>418</v>
      </c>
      <c r="F660" s="9">
        <f t="shared" ca="1" si="137"/>
        <v>882</v>
      </c>
      <c r="G660" s="12" t="str">
        <f t="shared" ca="1" si="138"/>
        <v>Yes</v>
      </c>
      <c r="H660" s="12">
        <f t="shared" ca="1" si="146"/>
        <v>0.79222253506858042</v>
      </c>
      <c r="I660" s="10">
        <f t="shared" ca="1" si="139"/>
        <v>2</v>
      </c>
      <c r="J660" s="13">
        <f t="shared" ca="1" si="140"/>
        <v>300</v>
      </c>
      <c r="K660" s="14">
        <f t="shared" ca="1" si="141"/>
        <v>176.4</v>
      </c>
      <c r="L660" s="14">
        <f t="shared" ca="1" si="142"/>
        <v>0</v>
      </c>
      <c r="M660" s="15">
        <f t="shared" ca="1" si="143"/>
        <v>476.4</v>
      </c>
      <c r="N660" s="16">
        <f ca="1">SUM($M$9:M660)/A660</f>
        <v>336.48496932515297</v>
      </c>
      <c r="O660" s="6"/>
    </row>
    <row r="661" spans="1:15" x14ac:dyDescent="0.25">
      <c r="A661" s="8">
        <v>653</v>
      </c>
      <c r="B661" s="9">
        <f t="shared" ca="1" si="135"/>
        <v>882</v>
      </c>
      <c r="C661" s="10">
        <f t="shared" ca="1" si="136"/>
        <v>0</v>
      </c>
      <c r="D661" s="11">
        <f t="shared" ca="1" si="144"/>
        <v>0.59599609031386169</v>
      </c>
      <c r="E661" s="9">
        <f t="shared" ca="1" si="145"/>
        <v>412</v>
      </c>
      <c r="F661" s="9">
        <f t="shared" ca="1" si="137"/>
        <v>470</v>
      </c>
      <c r="G661" s="12" t="str">
        <f t="shared" ca="1" si="138"/>
        <v>No</v>
      </c>
      <c r="H661" s="12">
        <f t="shared" ca="1" si="146"/>
        <v>0</v>
      </c>
      <c r="I661" s="10">
        <f t="shared" ca="1" si="139"/>
        <v>1</v>
      </c>
      <c r="J661" s="13">
        <f t="shared" ca="1" si="140"/>
        <v>0</v>
      </c>
      <c r="K661" s="14">
        <f t="shared" ca="1" si="141"/>
        <v>94</v>
      </c>
      <c r="L661" s="14">
        <f t="shared" ca="1" si="142"/>
        <v>0</v>
      </c>
      <c r="M661" s="15">
        <f t="shared" ca="1" si="143"/>
        <v>94</v>
      </c>
      <c r="N661" s="16">
        <f ca="1">SUM($M$9:M661)/A661</f>
        <v>336.11362940275615</v>
      </c>
      <c r="O661" s="6"/>
    </row>
    <row r="662" spans="1:15" x14ac:dyDescent="0.25">
      <c r="A662" s="8">
        <v>654</v>
      </c>
      <c r="B662" s="9">
        <f t="shared" ca="1" si="135"/>
        <v>2270</v>
      </c>
      <c r="C662" s="10">
        <f t="shared" ca="1" si="136"/>
        <v>1800</v>
      </c>
      <c r="D662" s="11">
        <f t="shared" ca="1" si="144"/>
        <v>0.77332879519184028</v>
      </c>
      <c r="E662" s="9">
        <f t="shared" ca="1" si="145"/>
        <v>437</v>
      </c>
      <c r="F662" s="9">
        <f t="shared" ca="1" si="137"/>
        <v>1833</v>
      </c>
      <c r="G662" s="12" t="str">
        <f t="shared" ca="1" si="138"/>
        <v>No</v>
      </c>
      <c r="H662" s="12">
        <f t="shared" ca="1" si="146"/>
        <v>0</v>
      </c>
      <c r="I662" s="10">
        <f t="shared" ca="1" si="139"/>
        <v>0</v>
      </c>
      <c r="J662" s="13">
        <f t="shared" ca="1" si="140"/>
        <v>0</v>
      </c>
      <c r="K662" s="14">
        <f t="shared" ca="1" si="141"/>
        <v>366.6</v>
      </c>
      <c r="L662" s="14">
        <f t="shared" ca="1" si="142"/>
        <v>0</v>
      </c>
      <c r="M662" s="15">
        <f t="shared" ca="1" si="143"/>
        <v>366.6</v>
      </c>
      <c r="N662" s="16">
        <f ca="1">SUM($M$9:M662)/A662</f>
        <v>336.16024464831764</v>
      </c>
      <c r="O662" s="6"/>
    </row>
    <row r="663" spans="1:15" x14ac:dyDescent="0.25">
      <c r="A663" s="8">
        <v>655</v>
      </c>
      <c r="B663" s="9">
        <f t="shared" ca="1" si="135"/>
        <v>1833</v>
      </c>
      <c r="C663" s="10">
        <f t="shared" ca="1" si="136"/>
        <v>0</v>
      </c>
      <c r="D663" s="11">
        <f t="shared" ca="1" si="144"/>
        <v>0.43388943554028614</v>
      </c>
      <c r="E663" s="9">
        <f t="shared" ca="1" si="145"/>
        <v>391</v>
      </c>
      <c r="F663" s="9">
        <f t="shared" ca="1" si="137"/>
        <v>1442</v>
      </c>
      <c r="G663" s="12" t="str">
        <f t="shared" ca="1" si="138"/>
        <v>No</v>
      </c>
      <c r="H663" s="12">
        <f t="shared" ca="1" si="146"/>
        <v>0</v>
      </c>
      <c r="I663" s="10">
        <f t="shared" ca="1" si="139"/>
        <v>0</v>
      </c>
      <c r="J663" s="13">
        <f t="shared" ca="1" si="140"/>
        <v>0</v>
      </c>
      <c r="K663" s="14">
        <f t="shared" ca="1" si="141"/>
        <v>288.40000000000003</v>
      </c>
      <c r="L663" s="14">
        <f t="shared" ca="1" si="142"/>
        <v>0</v>
      </c>
      <c r="M663" s="15">
        <f t="shared" ca="1" si="143"/>
        <v>288.40000000000003</v>
      </c>
      <c r="N663" s="16">
        <f ca="1">SUM($M$9:M663)/A663</f>
        <v>336.08732824427443</v>
      </c>
      <c r="O663" s="6"/>
    </row>
    <row r="664" spans="1:15" x14ac:dyDescent="0.25">
      <c r="A664" s="8">
        <v>656</v>
      </c>
      <c r="B664" s="9">
        <f t="shared" ca="1" si="135"/>
        <v>1442</v>
      </c>
      <c r="C664" s="10">
        <f t="shared" ca="1" si="136"/>
        <v>0</v>
      </c>
      <c r="D664" s="11">
        <f t="shared" ca="1" si="144"/>
        <v>0.13949292297430416</v>
      </c>
      <c r="E664" s="9">
        <f t="shared" ca="1" si="145"/>
        <v>345</v>
      </c>
      <c r="F664" s="9">
        <f t="shared" ca="1" si="137"/>
        <v>1097</v>
      </c>
      <c r="G664" s="12" t="str">
        <f t="shared" ca="1" si="138"/>
        <v>No</v>
      </c>
      <c r="H664" s="12">
        <f t="shared" ca="1" si="146"/>
        <v>0</v>
      </c>
      <c r="I664" s="10">
        <f t="shared" ca="1" si="139"/>
        <v>0</v>
      </c>
      <c r="J664" s="13">
        <f t="shared" ca="1" si="140"/>
        <v>0</v>
      </c>
      <c r="K664" s="14">
        <f t="shared" ca="1" si="141"/>
        <v>219.4</v>
      </c>
      <c r="L664" s="14">
        <f t="shared" ca="1" si="142"/>
        <v>0</v>
      </c>
      <c r="M664" s="15">
        <f t="shared" ca="1" si="143"/>
        <v>219.4</v>
      </c>
      <c r="N664" s="16">
        <f ca="1">SUM($M$9:M664)/A664</f>
        <v>335.90945121951182</v>
      </c>
      <c r="O664" s="6"/>
    </row>
    <row r="665" spans="1:15" x14ac:dyDescent="0.25">
      <c r="A665" s="8">
        <v>657</v>
      </c>
      <c r="B665" s="9">
        <f t="shared" ca="1" si="135"/>
        <v>1097</v>
      </c>
      <c r="C665" s="10">
        <f t="shared" ca="1" si="136"/>
        <v>0</v>
      </c>
      <c r="D665" s="11">
        <f t="shared" ca="1" si="144"/>
        <v>8.6855461474473317E-2</v>
      </c>
      <c r="E665" s="9">
        <f t="shared" ca="1" si="145"/>
        <v>331</v>
      </c>
      <c r="F665" s="9">
        <f t="shared" ca="1" si="137"/>
        <v>766</v>
      </c>
      <c r="G665" s="12" t="str">
        <f t="shared" ca="1" si="138"/>
        <v>Yes</v>
      </c>
      <c r="H665" s="12">
        <f t="shared" ca="1" si="146"/>
        <v>9.580692888585185E-2</v>
      </c>
      <c r="I665" s="10">
        <f t="shared" ca="1" si="139"/>
        <v>1</v>
      </c>
      <c r="J665" s="13">
        <f t="shared" ca="1" si="140"/>
        <v>300</v>
      </c>
      <c r="K665" s="14">
        <f t="shared" ca="1" si="141"/>
        <v>153.20000000000002</v>
      </c>
      <c r="L665" s="14">
        <f t="shared" ca="1" si="142"/>
        <v>0</v>
      </c>
      <c r="M665" s="15">
        <f t="shared" ca="1" si="143"/>
        <v>453.20000000000005</v>
      </c>
      <c r="N665" s="16">
        <f ca="1">SUM($M$9:M665)/A665</f>
        <v>336.08797564687939</v>
      </c>
      <c r="O665" s="6"/>
    </row>
    <row r="666" spans="1:15" x14ac:dyDescent="0.25">
      <c r="A666" s="8">
        <v>658</v>
      </c>
      <c r="B666" s="9">
        <f t="shared" ca="1" si="135"/>
        <v>2566</v>
      </c>
      <c r="C666" s="10">
        <f t="shared" ca="1" si="136"/>
        <v>1800</v>
      </c>
      <c r="D666" s="11">
        <f t="shared" ca="1" si="144"/>
        <v>0.17684305618195362</v>
      </c>
      <c r="E666" s="9">
        <f t="shared" ca="1" si="145"/>
        <v>353</v>
      </c>
      <c r="F666" s="9">
        <f t="shared" ca="1" si="137"/>
        <v>2213</v>
      </c>
      <c r="G666" s="12" t="str">
        <f t="shared" ca="1" si="138"/>
        <v>No</v>
      </c>
      <c r="H666" s="12">
        <f t="shared" ca="1" si="146"/>
        <v>0</v>
      </c>
      <c r="I666" s="10">
        <f t="shared" ca="1" si="139"/>
        <v>0</v>
      </c>
      <c r="J666" s="13">
        <f t="shared" ca="1" si="140"/>
        <v>0</v>
      </c>
      <c r="K666" s="14">
        <f t="shared" ca="1" si="141"/>
        <v>442.6</v>
      </c>
      <c r="L666" s="14">
        <f t="shared" ca="1" si="142"/>
        <v>0</v>
      </c>
      <c r="M666" s="15">
        <f t="shared" ca="1" si="143"/>
        <v>442.6</v>
      </c>
      <c r="N666" s="16">
        <f ca="1">SUM($M$9:M666)/A666</f>
        <v>336.24984802431572</v>
      </c>
      <c r="O666" s="6"/>
    </row>
    <row r="667" spans="1:15" x14ac:dyDescent="0.25">
      <c r="A667" s="8">
        <v>659</v>
      </c>
      <c r="B667" s="9">
        <f t="shared" ca="1" si="135"/>
        <v>2213</v>
      </c>
      <c r="C667" s="10">
        <f t="shared" ca="1" si="136"/>
        <v>0</v>
      </c>
      <c r="D667" s="11">
        <f t="shared" ca="1" si="144"/>
        <v>0.20523219550244964</v>
      </c>
      <c r="E667" s="9">
        <f t="shared" ca="1" si="145"/>
        <v>358</v>
      </c>
      <c r="F667" s="9">
        <f t="shared" ca="1" si="137"/>
        <v>1855</v>
      </c>
      <c r="G667" s="12" t="str">
        <f t="shared" ca="1" si="138"/>
        <v>No</v>
      </c>
      <c r="H667" s="12">
        <f t="shared" ca="1" si="146"/>
        <v>0</v>
      </c>
      <c r="I667" s="10">
        <f t="shared" ca="1" si="139"/>
        <v>0</v>
      </c>
      <c r="J667" s="13">
        <f t="shared" ca="1" si="140"/>
        <v>0</v>
      </c>
      <c r="K667" s="14">
        <f t="shared" ca="1" si="141"/>
        <v>371</v>
      </c>
      <c r="L667" s="14">
        <f t="shared" ca="1" si="142"/>
        <v>0</v>
      </c>
      <c r="M667" s="15">
        <f t="shared" ca="1" si="143"/>
        <v>371</v>
      </c>
      <c r="N667" s="16">
        <f ca="1">SUM($M$9:M667)/A667</f>
        <v>336.30257966616051</v>
      </c>
      <c r="O667" s="6"/>
    </row>
    <row r="668" spans="1:15" x14ac:dyDescent="0.25">
      <c r="A668" s="8">
        <v>660</v>
      </c>
      <c r="B668" s="9">
        <f t="shared" ca="1" si="135"/>
        <v>1855</v>
      </c>
      <c r="C668" s="10">
        <f t="shared" ca="1" si="136"/>
        <v>0</v>
      </c>
      <c r="D668" s="11">
        <f t="shared" ca="1" si="144"/>
        <v>0.77792282449931593</v>
      </c>
      <c r="E668" s="9">
        <f t="shared" ca="1" si="145"/>
        <v>438</v>
      </c>
      <c r="F668" s="9">
        <f t="shared" ca="1" si="137"/>
        <v>1417</v>
      </c>
      <c r="G668" s="12" t="str">
        <f t="shared" ca="1" si="138"/>
        <v>No</v>
      </c>
      <c r="H668" s="12">
        <f t="shared" ca="1" si="146"/>
        <v>0</v>
      </c>
      <c r="I668" s="10">
        <f t="shared" ca="1" si="139"/>
        <v>0</v>
      </c>
      <c r="J668" s="13">
        <f t="shared" ca="1" si="140"/>
        <v>0</v>
      </c>
      <c r="K668" s="14">
        <f t="shared" ca="1" si="141"/>
        <v>283.40000000000003</v>
      </c>
      <c r="L668" s="14">
        <f t="shared" ca="1" si="142"/>
        <v>0</v>
      </c>
      <c r="M668" s="15">
        <f t="shared" ca="1" si="143"/>
        <v>283.40000000000003</v>
      </c>
      <c r="N668" s="16">
        <f ca="1">SUM($M$9:M668)/A668</f>
        <v>336.22242424242387</v>
      </c>
      <c r="O668" s="6"/>
    </row>
    <row r="669" spans="1:15" x14ac:dyDescent="0.25">
      <c r="A669" s="8">
        <v>661</v>
      </c>
      <c r="B669" s="9">
        <f t="shared" ca="1" si="135"/>
        <v>1417</v>
      </c>
      <c r="C669" s="10">
        <f t="shared" ca="1" si="136"/>
        <v>0</v>
      </c>
      <c r="D669" s="11">
        <f t="shared" ca="1" si="144"/>
        <v>0.70615686937011013</v>
      </c>
      <c r="E669" s="9">
        <f t="shared" ca="1" si="145"/>
        <v>427</v>
      </c>
      <c r="F669" s="9">
        <f t="shared" ca="1" si="137"/>
        <v>990</v>
      </c>
      <c r="G669" s="12" t="str">
        <f t="shared" ca="1" si="138"/>
        <v>No</v>
      </c>
      <c r="H669" s="12">
        <f t="shared" ca="1" si="146"/>
        <v>0</v>
      </c>
      <c r="I669" s="10">
        <f t="shared" ca="1" si="139"/>
        <v>0</v>
      </c>
      <c r="J669" s="13">
        <f t="shared" ca="1" si="140"/>
        <v>0</v>
      </c>
      <c r="K669" s="14">
        <f t="shared" ca="1" si="141"/>
        <v>198</v>
      </c>
      <c r="L669" s="14">
        <f t="shared" ca="1" si="142"/>
        <v>0</v>
      </c>
      <c r="M669" s="15">
        <f t="shared" ca="1" si="143"/>
        <v>198</v>
      </c>
      <c r="N669" s="16">
        <f ca="1">SUM($M$9:M669)/A669</f>
        <v>336.0133131618756</v>
      </c>
      <c r="O669" s="6"/>
    </row>
    <row r="670" spans="1:15" x14ac:dyDescent="0.25">
      <c r="A670" s="8">
        <v>662</v>
      </c>
      <c r="B670" s="9">
        <f t="shared" ca="1" si="135"/>
        <v>990</v>
      </c>
      <c r="C670" s="10">
        <f t="shared" ca="1" si="136"/>
        <v>0</v>
      </c>
      <c r="D670" s="11">
        <f t="shared" ca="1" si="144"/>
        <v>0.23751689885854244</v>
      </c>
      <c r="E670" s="9">
        <f t="shared" ca="1" si="145"/>
        <v>364</v>
      </c>
      <c r="F670" s="9">
        <f t="shared" ca="1" si="137"/>
        <v>626</v>
      </c>
      <c r="G670" s="12" t="str">
        <f t="shared" ca="1" si="138"/>
        <v>Yes</v>
      </c>
      <c r="H670" s="12">
        <f t="shared" ca="1" si="146"/>
        <v>0.58741379299280028</v>
      </c>
      <c r="I670" s="10">
        <f t="shared" ca="1" si="139"/>
        <v>1</v>
      </c>
      <c r="J670" s="13">
        <f t="shared" ca="1" si="140"/>
        <v>300</v>
      </c>
      <c r="K670" s="14">
        <f t="shared" ca="1" si="141"/>
        <v>125.2</v>
      </c>
      <c r="L670" s="14">
        <f t="shared" ca="1" si="142"/>
        <v>0</v>
      </c>
      <c r="M670" s="15">
        <f t="shared" ca="1" si="143"/>
        <v>425.2</v>
      </c>
      <c r="N670" s="16">
        <f ca="1">SUM($M$9:M670)/A670</f>
        <v>336.14803625377607</v>
      </c>
      <c r="O670" s="6"/>
    </row>
    <row r="671" spans="1:15" x14ac:dyDescent="0.25">
      <c r="A671" s="8">
        <v>663</v>
      </c>
      <c r="B671" s="9">
        <f t="shared" ca="1" si="135"/>
        <v>2426</v>
      </c>
      <c r="C671" s="10">
        <f t="shared" ca="1" si="136"/>
        <v>1800</v>
      </c>
      <c r="D671" s="11">
        <f t="shared" ca="1" si="144"/>
        <v>7.0780155861944527E-2</v>
      </c>
      <c r="E671" s="9">
        <f t="shared" ca="1" si="145"/>
        <v>326</v>
      </c>
      <c r="F671" s="9">
        <f t="shared" ca="1" si="137"/>
        <v>2100</v>
      </c>
      <c r="G671" s="12" t="str">
        <f t="shared" ca="1" si="138"/>
        <v>No</v>
      </c>
      <c r="H671" s="12">
        <f t="shared" ca="1" si="146"/>
        <v>0</v>
      </c>
      <c r="I671" s="10">
        <f t="shared" ca="1" si="139"/>
        <v>0</v>
      </c>
      <c r="J671" s="13">
        <f t="shared" ca="1" si="140"/>
        <v>0</v>
      </c>
      <c r="K671" s="14">
        <f t="shared" ca="1" si="141"/>
        <v>420</v>
      </c>
      <c r="L671" s="14">
        <f t="shared" ca="1" si="142"/>
        <v>0</v>
      </c>
      <c r="M671" s="15">
        <f t="shared" ca="1" si="143"/>
        <v>420</v>
      </c>
      <c r="N671" s="16">
        <f ca="1">SUM($M$9:M671)/A671</f>
        <v>336.27450980392121</v>
      </c>
      <c r="O671" s="6"/>
    </row>
    <row r="672" spans="1:15" x14ac:dyDescent="0.25">
      <c r="A672" s="8">
        <v>664</v>
      </c>
      <c r="B672" s="9">
        <f t="shared" ca="1" si="135"/>
        <v>2100</v>
      </c>
      <c r="C672" s="10">
        <f t="shared" ca="1" si="136"/>
        <v>0</v>
      </c>
      <c r="D672" s="11">
        <f t="shared" ca="1" si="144"/>
        <v>1.8238370688639094E-4</v>
      </c>
      <c r="E672" s="9">
        <f t="shared" ca="1" si="145"/>
        <v>221</v>
      </c>
      <c r="F672" s="9">
        <f t="shared" ca="1" si="137"/>
        <v>1879</v>
      </c>
      <c r="G672" s="12" t="str">
        <f t="shared" ca="1" si="138"/>
        <v>No</v>
      </c>
      <c r="H672" s="12">
        <f t="shared" ca="1" si="146"/>
        <v>0</v>
      </c>
      <c r="I672" s="10">
        <f t="shared" ca="1" si="139"/>
        <v>0</v>
      </c>
      <c r="J672" s="13">
        <f t="shared" ca="1" si="140"/>
        <v>0</v>
      </c>
      <c r="K672" s="14">
        <f t="shared" ca="1" si="141"/>
        <v>375.8</v>
      </c>
      <c r="L672" s="14">
        <f t="shared" ca="1" si="142"/>
        <v>0</v>
      </c>
      <c r="M672" s="15">
        <f t="shared" ca="1" si="143"/>
        <v>375.8</v>
      </c>
      <c r="N672" s="16">
        <f ca="1">SUM($M$9:M672)/A672</f>
        <v>336.33403614457796</v>
      </c>
      <c r="O672" s="6"/>
    </row>
    <row r="673" spans="1:15" x14ac:dyDescent="0.25">
      <c r="A673" s="8">
        <v>665</v>
      </c>
      <c r="B673" s="9">
        <f t="shared" ca="1" si="135"/>
        <v>1879</v>
      </c>
      <c r="C673" s="10">
        <f t="shared" ca="1" si="136"/>
        <v>0</v>
      </c>
      <c r="D673" s="11">
        <f t="shared" ca="1" si="144"/>
        <v>0.19643773492843042</v>
      </c>
      <c r="E673" s="9">
        <f t="shared" ca="1" si="145"/>
        <v>357</v>
      </c>
      <c r="F673" s="9">
        <f t="shared" ca="1" si="137"/>
        <v>1522</v>
      </c>
      <c r="G673" s="12" t="str">
        <f t="shared" ca="1" si="138"/>
        <v>No</v>
      </c>
      <c r="H673" s="12">
        <f t="shared" ca="1" si="146"/>
        <v>0</v>
      </c>
      <c r="I673" s="10">
        <f t="shared" ca="1" si="139"/>
        <v>0</v>
      </c>
      <c r="J673" s="13">
        <f t="shared" ca="1" si="140"/>
        <v>0</v>
      </c>
      <c r="K673" s="14">
        <f t="shared" ca="1" si="141"/>
        <v>304.40000000000003</v>
      </c>
      <c r="L673" s="14">
        <f t="shared" ca="1" si="142"/>
        <v>0</v>
      </c>
      <c r="M673" s="15">
        <f t="shared" ca="1" si="143"/>
        <v>304.40000000000003</v>
      </c>
      <c r="N673" s="16">
        <f ca="1">SUM($M$9:M673)/A673</f>
        <v>336.28601503759359</v>
      </c>
      <c r="O673" s="6"/>
    </row>
    <row r="674" spans="1:15" x14ac:dyDescent="0.25">
      <c r="A674" s="8">
        <v>666</v>
      </c>
      <c r="B674" s="9">
        <f t="shared" ca="1" si="135"/>
        <v>1522</v>
      </c>
      <c r="C674" s="10">
        <f t="shared" ca="1" si="136"/>
        <v>0</v>
      </c>
      <c r="D674" s="11">
        <f t="shared" ca="1" si="144"/>
        <v>0.39754490480395477</v>
      </c>
      <c r="E674" s="9">
        <f t="shared" ca="1" si="145"/>
        <v>387</v>
      </c>
      <c r="F674" s="9">
        <f t="shared" ca="1" si="137"/>
        <v>1135</v>
      </c>
      <c r="G674" s="12" t="str">
        <f t="shared" ca="1" si="138"/>
        <v>No</v>
      </c>
      <c r="H674" s="12">
        <f t="shared" ca="1" si="146"/>
        <v>0</v>
      </c>
      <c r="I674" s="10">
        <f t="shared" ca="1" si="139"/>
        <v>0</v>
      </c>
      <c r="J674" s="13">
        <f t="shared" ca="1" si="140"/>
        <v>0</v>
      </c>
      <c r="K674" s="14">
        <f t="shared" ca="1" si="141"/>
        <v>227</v>
      </c>
      <c r="L674" s="14">
        <f t="shared" ca="1" si="142"/>
        <v>0</v>
      </c>
      <c r="M674" s="15">
        <f t="shared" ca="1" si="143"/>
        <v>227</v>
      </c>
      <c r="N674" s="16">
        <f ca="1">SUM($M$9:M674)/A674</f>
        <v>336.12192192192157</v>
      </c>
      <c r="O674" s="6"/>
    </row>
    <row r="675" spans="1:15" x14ac:dyDescent="0.25">
      <c r="A675" s="8">
        <v>667</v>
      </c>
      <c r="B675" s="9">
        <f t="shared" ca="1" si="135"/>
        <v>1135</v>
      </c>
      <c r="C675" s="10">
        <f t="shared" ca="1" si="136"/>
        <v>0</v>
      </c>
      <c r="D675" s="11">
        <f t="shared" ca="1" si="144"/>
        <v>0.34013195141612618</v>
      </c>
      <c r="E675" s="9">
        <f t="shared" ca="1" si="145"/>
        <v>379</v>
      </c>
      <c r="F675" s="9">
        <f t="shared" ca="1" si="137"/>
        <v>756</v>
      </c>
      <c r="G675" s="12" t="str">
        <f t="shared" ca="1" si="138"/>
        <v>Yes</v>
      </c>
      <c r="H675" s="12">
        <f t="shared" ca="1" si="146"/>
        <v>0.67012364337540997</v>
      </c>
      <c r="I675" s="10">
        <f t="shared" ca="1" si="139"/>
        <v>1</v>
      </c>
      <c r="J675" s="13">
        <f t="shared" ca="1" si="140"/>
        <v>300</v>
      </c>
      <c r="K675" s="14">
        <f t="shared" ca="1" si="141"/>
        <v>151.20000000000002</v>
      </c>
      <c r="L675" s="14">
        <f t="shared" ca="1" si="142"/>
        <v>0</v>
      </c>
      <c r="M675" s="15">
        <f t="shared" ca="1" si="143"/>
        <v>451.20000000000005</v>
      </c>
      <c r="N675" s="16">
        <f ca="1">SUM($M$9:M675)/A675</f>
        <v>336.29445277361282</v>
      </c>
      <c r="O675" s="6"/>
    </row>
    <row r="676" spans="1:15" x14ac:dyDescent="0.25">
      <c r="A676" s="8">
        <v>668</v>
      </c>
      <c r="B676" s="9">
        <f t="shared" ca="1" si="135"/>
        <v>2556</v>
      </c>
      <c r="C676" s="10">
        <f t="shared" ca="1" si="136"/>
        <v>1800</v>
      </c>
      <c r="D676" s="11">
        <f t="shared" ca="1" si="144"/>
        <v>0.26262507784354039</v>
      </c>
      <c r="E676" s="9">
        <f t="shared" ca="1" si="145"/>
        <v>368</v>
      </c>
      <c r="F676" s="9">
        <f t="shared" ca="1" si="137"/>
        <v>2188</v>
      </c>
      <c r="G676" s="12" t="str">
        <f t="shared" ca="1" si="138"/>
        <v>No</v>
      </c>
      <c r="H676" s="12">
        <f t="shared" ca="1" si="146"/>
        <v>0</v>
      </c>
      <c r="I676" s="10">
        <f t="shared" ca="1" si="139"/>
        <v>0</v>
      </c>
      <c r="J676" s="13">
        <f t="shared" ca="1" si="140"/>
        <v>0</v>
      </c>
      <c r="K676" s="14">
        <f t="shared" ca="1" si="141"/>
        <v>437.6</v>
      </c>
      <c r="L676" s="14">
        <f t="shared" ca="1" si="142"/>
        <v>0</v>
      </c>
      <c r="M676" s="15">
        <f t="shared" ca="1" si="143"/>
        <v>437.6</v>
      </c>
      <c r="N676" s="16">
        <f ca="1">SUM($M$9:M676)/A676</f>
        <v>336.44610778443081</v>
      </c>
      <c r="O676" s="6"/>
    </row>
    <row r="677" spans="1:15" x14ac:dyDescent="0.25">
      <c r="A677" s="8">
        <v>669</v>
      </c>
      <c r="B677" s="9">
        <f t="shared" ca="1" si="135"/>
        <v>2188</v>
      </c>
      <c r="C677" s="10">
        <f t="shared" ca="1" si="136"/>
        <v>0</v>
      </c>
      <c r="D677" s="11">
        <f t="shared" ca="1" si="144"/>
        <v>0.17109869215384066</v>
      </c>
      <c r="E677" s="9">
        <f t="shared" ca="1" si="145"/>
        <v>352</v>
      </c>
      <c r="F677" s="9">
        <f t="shared" ca="1" si="137"/>
        <v>1836</v>
      </c>
      <c r="G677" s="12" t="str">
        <f t="shared" ca="1" si="138"/>
        <v>No</v>
      </c>
      <c r="H677" s="12">
        <f t="shared" ca="1" si="146"/>
        <v>0</v>
      </c>
      <c r="I677" s="10">
        <f t="shared" ca="1" si="139"/>
        <v>0</v>
      </c>
      <c r="J677" s="13">
        <f t="shared" ca="1" si="140"/>
        <v>0</v>
      </c>
      <c r="K677" s="14">
        <f t="shared" ca="1" si="141"/>
        <v>367.20000000000005</v>
      </c>
      <c r="L677" s="14">
        <f t="shared" ca="1" si="142"/>
        <v>0</v>
      </c>
      <c r="M677" s="15">
        <f t="shared" ca="1" si="143"/>
        <v>367.20000000000005</v>
      </c>
      <c r="N677" s="16">
        <f ca="1">SUM($M$9:M677)/A677</f>
        <v>336.49207772795182</v>
      </c>
      <c r="O677" s="6"/>
    </row>
    <row r="678" spans="1:15" x14ac:dyDescent="0.25">
      <c r="A678" s="8">
        <v>670</v>
      </c>
      <c r="B678" s="9">
        <f t="shared" ca="1" si="135"/>
        <v>1836</v>
      </c>
      <c r="C678" s="10">
        <f t="shared" ca="1" si="136"/>
        <v>0</v>
      </c>
      <c r="D678" s="11">
        <f t="shared" ca="1" si="144"/>
        <v>0.9677737796681477</v>
      </c>
      <c r="E678" s="9">
        <f t="shared" ca="1" si="145"/>
        <v>492</v>
      </c>
      <c r="F678" s="9">
        <f t="shared" ca="1" si="137"/>
        <v>1344</v>
      </c>
      <c r="G678" s="12" t="str">
        <f t="shared" ca="1" si="138"/>
        <v>No</v>
      </c>
      <c r="H678" s="12">
        <f t="shared" ca="1" si="146"/>
        <v>0</v>
      </c>
      <c r="I678" s="10">
        <f t="shared" ca="1" si="139"/>
        <v>0</v>
      </c>
      <c r="J678" s="13">
        <f t="shared" ca="1" si="140"/>
        <v>0</v>
      </c>
      <c r="K678" s="14">
        <f t="shared" ca="1" si="141"/>
        <v>268.8</v>
      </c>
      <c r="L678" s="14">
        <f t="shared" ca="1" si="142"/>
        <v>0</v>
      </c>
      <c r="M678" s="15">
        <f t="shared" ca="1" si="143"/>
        <v>268.8</v>
      </c>
      <c r="N678" s="16">
        <f ca="1">SUM($M$9:M678)/A678</f>
        <v>336.39104477611903</v>
      </c>
      <c r="O678" s="6"/>
    </row>
    <row r="679" spans="1:15" x14ac:dyDescent="0.25">
      <c r="A679" s="8">
        <v>671</v>
      </c>
      <c r="B679" s="9">
        <f t="shared" ca="1" si="135"/>
        <v>1344</v>
      </c>
      <c r="C679" s="10">
        <f t="shared" ca="1" si="136"/>
        <v>0</v>
      </c>
      <c r="D679" s="11">
        <f t="shared" ca="1" si="144"/>
        <v>0.92026900699083836</v>
      </c>
      <c r="E679" s="9">
        <f t="shared" ca="1" si="145"/>
        <v>470</v>
      </c>
      <c r="F679" s="9">
        <f t="shared" ca="1" si="137"/>
        <v>874</v>
      </c>
      <c r="G679" s="12" t="str">
        <f t="shared" ca="1" si="138"/>
        <v>Yes</v>
      </c>
      <c r="H679" s="12">
        <f t="shared" ca="1" si="146"/>
        <v>7.5897178979600577E-2</v>
      </c>
      <c r="I679" s="10">
        <f t="shared" ca="1" si="139"/>
        <v>1</v>
      </c>
      <c r="J679" s="13">
        <f t="shared" ca="1" si="140"/>
        <v>300</v>
      </c>
      <c r="K679" s="14">
        <f t="shared" ca="1" si="141"/>
        <v>174.8</v>
      </c>
      <c r="L679" s="14">
        <f t="shared" ca="1" si="142"/>
        <v>0</v>
      </c>
      <c r="M679" s="15">
        <f t="shared" ca="1" si="143"/>
        <v>474.8</v>
      </c>
      <c r="N679" s="16">
        <f ca="1">SUM($M$9:M679)/A679</f>
        <v>336.59731743666134</v>
      </c>
      <c r="O679" s="6"/>
    </row>
    <row r="680" spans="1:15" x14ac:dyDescent="0.25">
      <c r="A680" s="8">
        <v>672</v>
      </c>
      <c r="B680" s="9">
        <f t="shared" ca="1" si="135"/>
        <v>2674</v>
      </c>
      <c r="C680" s="10">
        <f t="shared" ca="1" si="136"/>
        <v>1800</v>
      </c>
      <c r="D680" s="11">
        <f t="shared" ca="1" si="144"/>
        <v>0.44900872288200022</v>
      </c>
      <c r="E680" s="9">
        <f t="shared" ca="1" si="145"/>
        <v>393</v>
      </c>
      <c r="F680" s="9">
        <f t="shared" ca="1" si="137"/>
        <v>2281</v>
      </c>
      <c r="G680" s="12" t="str">
        <f t="shared" ca="1" si="138"/>
        <v>No</v>
      </c>
      <c r="H680" s="12">
        <f t="shared" ca="1" si="146"/>
        <v>0</v>
      </c>
      <c r="I680" s="10">
        <f t="shared" ca="1" si="139"/>
        <v>0</v>
      </c>
      <c r="J680" s="13">
        <f t="shared" ca="1" si="140"/>
        <v>0</v>
      </c>
      <c r="K680" s="14">
        <f t="shared" ca="1" si="141"/>
        <v>456.20000000000005</v>
      </c>
      <c r="L680" s="14">
        <f t="shared" ca="1" si="142"/>
        <v>0</v>
      </c>
      <c r="M680" s="15">
        <f t="shared" ca="1" si="143"/>
        <v>456.20000000000005</v>
      </c>
      <c r="N680" s="16">
        <f ca="1">SUM($M$9:M680)/A680</f>
        <v>336.77529761904725</v>
      </c>
      <c r="O680" s="6"/>
    </row>
    <row r="681" spans="1:15" x14ac:dyDescent="0.25">
      <c r="A681" s="8">
        <v>673</v>
      </c>
      <c r="B681" s="9">
        <f t="shared" ca="1" si="135"/>
        <v>2281</v>
      </c>
      <c r="C681" s="10">
        <f t="shared" ca="1" si="136"/>
        <v>0</v>
      </c>
      <c r="D681" s="11">
        <f t="shared" ca="1" si="144"/>
        <v>0.18881270935477223</v>
      </c>
      <c r="E681" s="9">
        <f t="shared" ca="1" si="145"/>
        <v>355</v>
      </c>
      <c r="F681" s="9">
        <f t="shared" ca="1" si="137"/>
        <v>1926</v>
      </c>
      <c r="G681" s="12" t="str">
        <f t="shared" ca="1" si="138"/>
        <v>No</v>
      </c>
      <c r="H681" s="12">
        <f t="shared" ca="1" si="146"/>
        <v>0</v>
      </c>
      <c r="I681" s="10">
        <f t="shared" ca="1" si="139"/>
        <v>0</v>
      </c>
      <c r="J681" s="13">
        <f t="shared" ca="1" si="140"/>
        <v>0</v>
      </c>
      <c r="K681" s="14">
        <f t="shared" ca="1" si="141"/>
        <v>385.20000000000005</v>
      </c>
      <c r="L681" s="14">
        <f t="shared" ca="1" si="142"/>
        <v>0</v>
      </c>
      <c r="M681" s="15">
        <f t="shared" ca="1" si="143"/>
        <v>385.20000000000005</v>
      </c>
      <c r="N681" s="16">
        <f ca="1">SUM($M$9:M681)/A681</f>
        <v>336.84725111441276</v>
      </c>
      <c r="O681" s="6"/>
    </row>
    <row r="682" spans="1:15" x14ac:dyDescent="0.25">
      <c r="A682" s="8">
        <v>674</v>
      </c>
      <c r="B682" s="9">
        <f t="shared" ca="1" si="135"/>
        <v>1926</v>
      </c>
      <c r="C682" s="10">
        <f t="shared" ca="1" si="136"/>
        <v>0</v>
      </c>
      <c r="D682" s="11">
        <f t="shared" ca="1" si="144"/>
        <v>0.18683386240145927</v>
      </c>
      <c r="E682" s="9">
        <f t="shared" ca="1" si="145"/>
        <v>355</v>
      </c>
      <c r="F682" s="9">
        <f t="shared" ca="1" si="137"/>
        <v>1571</v>
      </c>
      <c r="G682" s="12" t="str">
        <f t="shared" ca="1" si="138"/>
        <v>No</v>
      </c>
      <c r="H682" s="12">
        <f t="shared" ca="1" si="146"/>
        <v>0</v>
      </c>
      <c r="I682" s="10">
        <f t="shared" ca="1" si="139"/>
        <v>0</v>
      </c>
      <c r="J682" s="13">
        <f t="shared" ca="1" si="140"/>
        <v>0</v>
      </c>
      <c r="K682" s="14">
        <f t="shared" ca="1" si="141"/>
        <v>314.20000000000005</v>
      </c>
      <c r="L682" s="14">
        <f t="shared" ca="1" si="142"/>
        <v>0</v>
      </c>
      <c r="M682" s="15">
        <f t="shared" ca="1" si="143"/>
        <v>314.20000000000005</v>
      </c>
      <c r="N682" s="16">
        <f ca="1">SUM($M$9:M682)/A682</f>
        <v>336.81364985163174</v>
      </c>
      <c r="O682" s="6"/>
    </row>
    <row r="683" spans="1:15" x14ac:dyDescent="0.25">
      <c r="A683" s="8">
        <v>675</v>
      </c>
      <c r="B683" s="9">
        <f t="shared" ca="1" si="135"/>
        <v>1571</v>
      </c>
      <c r="C683" s="10">
        <f t="shared" ca="1" si="136"/>
        <v>0</v>
      </c>
      <c r="D683" s="11">
        <f t="shared" ca="1" si="144"/>
        <v>0.10168232450396786</v>
      </c>
      <c r="E683" s="9">
        <f t="shared" ca="1" si="145"/>
        <v>336</v>
      </c>
      <c r="F683" s="9">
        <f t="shared" ca="1" si="137"/>
        <v>1235</v>
      </c>
      <c r="G683" s="12" t="str">
        <f t="shared" ca="1" si="138"/>
        <v>No</v>
      </c>
      <c r="H683" s="12">
        <f t="shared" ca="1" si="146"/>
        <v>0</v>
      </c>
      <c r="I683" s="10">
        <f t="shared" ca="1" si="139"/>
        <v>0</v>
      </c>
      <c r="J683" s="13">
        <f t="shared" ca="1" si="140"/>
        <v>0</v>
      </c>
      <c r="K683" s="14">
        <f t="shared" ca="1" si="141"/>
        <v>247</v>
      </c>
      <c r="L683" s="14">
        <f t="shared" ca="1" si="142"/>
        <v>0</v>
      </c>
      <c r="M683" s="15">
        <f t="shared" ca="1" si="143"/>
        <v>247</v>
      </c>
      <c r="N683" s="16">
        <f ca="1">SUM($M$9:M683)/A683</f>
        <v>336.68059259259229</v>
      </c>
      <c r="O683" s="6"/>
    </row>
    <row r="684" spans="1:15" x14ac:dyDescent="0.25">
      <c r="A684" s="8">
        <v>676</v>
      </c>
      <c r="B684" s="9">
        <f t="shared" ca="1" si="135"/>
        <v>1235</v>
      </c>
      <c r="C684" s="10">
        <f t="shared" ca="1" si="136"/>
        <v>0</v>
      </c>
      <c r="D684" s="11">
        <f t="shared" ca="1" si="144"/>
        <v>0.99909750861057611</v>
      </c>
      <c r="E684" s="9">
        <f t="shared" ca="1" si="145"/>
        <v>556</v>
      </c>
      <c r="F684" s="9">
        <f t="shared" ca="1" si="137"/>
        <v>679</v>
      </c>
      <c r="G684" s="12" t="str">
        <f t="shared" ca="1" si="138"/>
        <v>Yes</v>
      </c>
      <c r="H684" s="12">
        <f t="shared" ca="1" si="146"/>
        <v>0.70764610833842601</v>
      </c>
      <c r="I684" s="10">
        <f t="shared" ca="1" si="139"/>
        <v>2</v>
      </c>
      <c r="J684" s="13">
        <f t="shared" ca="1" si="140"/>
        <v>300</v>
      </c>
      <c r="K684" s="14">
        <f t="shared" ca="1" si="141"/>
        <v>135.80000000000001</v>
      </c>
      <c r="L684" s="14">
        <f t="shared" ca="1" si="142"/>
        <v>0</v>
      </c>
      <c r="M684" s="15">
        <f t="shared" ca="1" si="143"/>
        <v>435.8</v>
      </c>
      <c r="N684" s="16">
        <f ca="1">SUM($M$9:M684)/A684</f>
        <v>336.82721893491089</v>
      </c>
      <c r="O684" s="6"/>
    </row>
    <row r="685" spans="1:15" x14ac:dyDescent="0.25">
      <c r="A685" s="8">
        <v>677</v>
      </c>
      <c r="B685" s="9">
        <f t="shared" ca="1" si="135"/>
        <v>679</v>
      </c>
      <c r="C685" s="10">
        <f t="shared" ca="1" si="136"/>
        <v>0</v>
      </c>
      <c r="D685" s="11">
        <f t="shared" ca="1" si="144"/>
        <v>0.98088626641999344</v>
      </c>
      <c r="E685" s="9">
        <f t="shared" ca="1" si="145"/>
        <v>503</v>
      </c>
      <c r="F685" s="9">
        <f t="shared" ca="1" si="137"/>
        <v>176</v>
      </c>
      <c r="G685" s="12" t="str">
        <f t="shared" ca="1" si="138"/>
        <v>No</v>
      </c>
      <c r="H685" s="12">
        <f t="shared" ca="1" si="146"/>
        <v>0</v>
      </c>
      <c r="I685" s="10">
        <f t="shared" ca="1" si="139"/>
        <v>1</v>
      </c>
      <c r="J685" s="13">
        <f t="shared" ca="1" si="140"/>
        <v>0</v>
      </c>
      <c r="K685" s="14">
        <f t="shared" ca="1" si="141"/>
        <v>35.200000000000003</v>
      </c>
      <c r="L685" s="14">
        <f t="shared" ca="1" si="142"/>
        <v>0</v>
      </c>
      <c r="M685" s="15">
        <f t="shared" ca="1" si="143"/>
        <v>35.200000000000003</v>
      </c>
      <c r="N685" s="16">
        <f ca="1">SUM($M$9:M685)/A685</f>
        <v>336.38168389955655</v>
      </c>
      <c r="O685" s="6"/>
    </row>
    <row r="686" spans="1:15" x14ac:dyDescent="0.25">
      <c r="A686" s="8">
        <v>678</v>
      </c>
      <c r="B686" s="9">
        <f t="shared" ca="1" si="135"/>
        <v>1976</v>
      </c>
      <c r="C686" s="10">
        <f t="shared" ca="1" si="136"/>
        <v>1800</v>
      </c>
      <c r="D686" s="11">
        <f t="shared" ca="1" si="144"/>
        <v>0.90944544100395552</v>
      </c>
      <c r="E686" s="9">
        <f t="shared" ca="1" si="145"/>
        <v>466</v>
      </c>
      <c r="F686" s="9">
        <f t="shared" ca="1" si="137"/>
        <v>1510</v>
      </c>
      <c r="G686" s="12" t="str">
        <f t="shared" ca="1" si="138"/>
        <v>No</v>
      </c>
      <c r="H686" s="12">
        <f t="shared" ca="1" si="146"/>
        <v>0</v>
      </c>
      <c r="I686" s="10">
        <f t="shared" ca="1" si="139"/>
        <v>0</v>
      </c>
      <c r="J686" s="13">
        <f t="shared" ca="1" si="140"/>
        <v>0</v>
      </c>
      <c r="K686" s="14">
        <f t="shared" ca="1" si="141"/>
        <v>302</v>
      </c>
      <c r="L686" s="14">
        <f t="shared" ca="1" si="142"/>
        <v>0</v>
      </c>
      <c r="M686" s="15">
        <f t="shared" ca="1" si="143"/>
        <v>302</v>
      </c>
      <c r="N686" s="16">
        <f ca="1">SUM($M$9:M686)/A686</f>
        <v>336.33097345132711</v>
      </c>
      <c r="O686" s="6"/>
    </row>
    <row r="687" spans="1:15" x14ac:dyDescent="0.25">
      <c r="A687" s="8">
        <v>679</v>
      </c>
      <c r="B687" s="9">
        <f t="shared" ca="1" si="135"/>
        <v>1510</v>
      </c>
      <c r="C687" s="10">
        <f t="shared" ca="1" si="136"/>
        <v>0</v>
      </c>
      <c r="D687" s="11">
        <f t="shared" ca="1" si="144"/>
        <v>0.72003844527693461</v>
      </c>
      <c r="E687" s="9">
        <f t="shared" ca="1" si="145"/>
        <v>429</v>
      </c>
      <c r="F687" s="9">
        <f t="shared" ca="1" si="137"/>
        <v>1081</v>
      </c>
      <c r="G687" s="12" t="str">
        <f t="shared" ca="1" si="138"/>
        <v>No</v>
      </c>
      <c r="H687" s="12">
        <f t="shared" ca="1" si="146"/>
        <v>0</v>
      </c>
      <c r="I687" s="10">
        <f t="shared" ca="1" si="139"/>
        <v>0</v>
      </c>
      <c r="J687" s="13">
        <f t="shared" ca="1" si="140"/>
        <v>0</v>
      </c>
      <c r="K687" s="14">
        <f t="shared" ca="1" si="141"/>
        <v>216.20000000000002</v>
      </c>
      <c r="L687" s="14">
        <f t="shared" ca="1" si="142"/>
        <v>0</v>
      </c>
      <c r="M687" s="15">
        <f t="shared" ca="1" si="143"/>
        <v>216.20000000000002</v>
      </c>
      <c r="N687" s="16">
        <f ca="1">SUM($M$9:M687)/A687</f>
        <v>336.15405007363739</v>
      </c>
      <c r="O687" s="6"/>
    </row>
    <row r="688" spans="1:15" x14ac:dyDescent="0.25">
      <c r="A688" s="8">
        <v>680</v>
      </c>
      <c r="B688" s="9">
        <f t="shared" ca="1" si="135"/>
        <v>1081</v>
      </c>
      <c r="C688" s="10">
        <f t="shared" ca="1" si="136"/>
        <v>0</v>
      </c>
      <c r="D688" s="11">
        <f t="shared" ca="1" si="144"/>
        <v>0.87021166759942448</v>
      </c>
      <c r="E688" s="9">
        <f t="shared" ca="1" si="145"/>
        <v>456</v>
      </c>
      <c r="F688" s="9">
        <f t="shared" ca="1" si="137"/>
        <v>625</v>
      </c>
      <c r="G688" s="12" t="str">
        <f t="shared" ca="1" si="138"/>
        <v>Yes</v>
      </c>
      <c r="H688" s="12">
        <f t="shared" ca="1" si="146"/>
        <v>7.440071687365668E-2</v>
      </c>
      <c r="I688" s="10">
        <f t="shared" ca="1" si="139"/>
        <v>1</v>
      </c>
      <c r="J688" s="13">
        <f t="shared" ca="1" si="140"/>
        <v>300</v>
      </c>
      <c r="K688" s="14">
        <f t="shared" ca="1" si="141"/>
        <v>125</v>
      </c>
      <c r="L688" s="14">
        <f t="shared" ca="1" si="142"/>
        <v>0</v>
      </c>
      <c r="M688" s="15">
        <f t="shared" ca="1" si="143"/>
        <v>425</v>
      </c>
      <c r="N688" s="16">
        <f ca="1">SUM($M$9:M688)/A688</f>
        <v>336.28470588235263</v>
      </c>
      <c r="O688" s="6"/>
    </row>
    <row r="689" spans="1:15" x14ac:dyDescent="0.25">
      <c r="A689" s="8">
        <v>681</v>
      </c>
      <c r="B689" s="9">
        <f t="shared" ca="1" si="135"/>
        <v>2425</v>
      </c>
      <c r="C689" s="10">
        <f t="shared" ca="1" si="136"/>
        <v>1800</v>
      </c>
      <c r="D689" s="11">
        <f t="shared" ca="1" si="144"/>
        <v>0.59541737979681941</v>
      </c>
      <c r="E689" s="9">
        <f t="shared" ca="1" si="145"/>
        <v>412</v>
      </c>
      <c r="F689" s="9">
        <f t="shared" ca="1" si="137"/>
        <v>2013</v>
      </c>
      <c r="G689" s="12" t="str">
        <f t="shared" ca="1" si="138"/>
        <v>No</v>
      </c>
      <c r="H689" s="12">
        <f t="shared" ca="1" si="146"/>
        <v>0</v>
      </c>
      <c r="I689" s="10">
        <f t="shared" ca="1" si="139"/>
        <v>0</v>
      </c>
      <c r="J689" s="13">
        <f t="shared" ca="1" si="140"/>
        <v>0</v>
      </c>
      <c r="K689" s="14">
        <f t="shared" ca="1" si="141"/>
        <v>402.6</v>
      </c>
      <c r="L689" s="14">
        <f t="shared" ca="1" si="142"/>
        <v>0</v>
      </c>
      <c r="M689" s="15">
        <f t="shared" ca="1" si="143"/>
        <v>402.6</v>
      </c>
      <c r="N689" s="16">
        <f ca="1">SUM($M$9:M689)/A689</f>
        <v>336.38208516886903</v>
      </c>
      <c r="O689" s="6"/>
    </row>
    <row r="690" spans="1:15" x14ac:dyDescent="0.25">
      <c r="A690" s="8">
        <v>682</v>
      </c>
      <c r="B690" s="9">
        <f t="shared" ca="1" si="135"/>
        <v>2013</v>
      </c>
      <c r="C690" s="10">
        <f t="shared" ca="1" si="136"/>
        <v>0</v>
      </c>
      <c r="D690" s="11">
        <f t="shared" ca="1" si="144"/>
        <v>0.43916610647094878</v>
      </c>
      <c r="E690" s="9">
        <f t="shared" ca="1" si="145"/>
        <v>392</v>
      </c>
      <c r="F690" s="9">
        <f t="shared" ca="1" si="137"/>
        <v>1621</v>
      </c>
      <c r="G690" s="12" t="str">
        <f t="shared" ca="1" si="138"/>
        <v>No</v>
      </c>
      <c r="H690" s="12">
        <f t="shared" ca="1" si="146"/>
        <v>0</v>
      </c>
      <c r="I690" s="10">
        <f t="shared" ca="1" si="139"/>
        <v>0</v>
      </c>
      <c r="J690" s="13">
        <f t="shared" ca="1" si="140"/>
        <v>0</v>
      </c>
      <c r="K690" s="14">
        <f t="shared" ca="1" si="141"/>
        <v>324.20000000000005</v>
      </c>
      <c r="L690" s="14">
        <f t="shared" ca="1" si="142"/>
        <v>0</v>
      </c>
      <c r="M690" s="15">
        <f t="shared" ca="1" si="143"/>
        <v>324.20000000000005</v>
      </c>
      <c r="N690" s="16">
        <f ca="1">SUM($M$9:M690)/A690</f>
        <v>336.36422287390002</v>
      </c>
      <c r="O690" s="6"/>
    </row>
    <row r="691" spans="1:15" x14ac:dyDescent="0.25">
      <c r="A691" s="8">
        <v>683</v>
      </c>
      <c r="B691" s="9">
        <f t="shared" ca="1" si="135"/>
        <v>1621</v>
      </c>
      <c r="C691" s="10">
        <f t="shared" ca="1" si="136"/>
        <v>0</v>
      </c>
      <c r="D691" s="11">
        <f t="shared" ca="1" si="144"/>
        <v>0.25885096596763224</v>
      </c>
      <c r="E691" s="9">
        <f t="shared" ca="1" si="145"/>
        <v>367</v>
      </c>
      <c r="F691" s="9">
        <f t="shared" ca="1" si="137"/>
        <v>1254</v>
      </c>
      <c r="G691" s="12" t="str">
        <f t="shared" ca="1" si="138"/>
        <v>No</v>
      </c>
      <c r="H691" s="12">
        <f t="shared" ca="1" si="146"/>
        <v>0</v>
      </c>
      <c r="I691" s="10">
        <f t="shared" ca="1" si="139"/>
        <v>0</v>
      </c>
      <c r="J691" s="13">
        <f t="shared" ca="1" si="140"/>
        <v>0</v>
      </c>
      <c r="K691" s="14">
        <f t="shared" ca="1" si="141"/>
        <v>250.8</v>
      </c>
      <c r="L691" s="14">
        <f t="shared" ca="1" si="142"/>
        <v>0</v>
      </c>
      <c r="M691" s="15">
        <f t="shared" ca="1" si="143"/>
        <v>250.8</v>
      </c>
      <c r="N691" s="16">
        <f ca="1">SUM($M$9:M691)/A691</f>
        <v>336.2389458272325</v>
      </c>
      <c r="O691" s="6"/>
    </row>
    <row r="692" spans="1:15" x14ac:dyDescent="0.25">
      <c r="A692" s="8">
        <v>684</v>
      </c>
      <c r="B692" s="9">
        <f t="shared" ca="1" si="135"/>
        <v>1254</v>
      </c>
      <c r="C692" s="10">
        <f t="shared" ca="1" si="136"/>
        <v>0</v>
      </c>
      <c r="D692" s="11">
        <f t="shared" ca="1" si="144"/>
        <v>0.14746144101304759</v>
      </c>
      <c r="E692" s="9">
        <f t="shared" ca="1" si="145"/>
        <v>347</v>
      </c>
      <c r="F692" s="9">
        <f t="shared" ca="1" si="137"/>
        <v>907</v>
      </c>
      <c r="G692" s="12" t="str">
        <f t="shared" ca="1" si="138"/>
        <v>Yes</v>
      </c>
      <c r="H692" s="12">
        <f t="shared" ca="1" si="146"/>
        <v>0.12846076887805491</v>
      </c>
      <c r="I692" s="10">
        <f t="shared" ca="1" si="139"/>
        <v>1</v>
      </c>
      <c r="J692" s="13">
        <f t="shared" ca="1" si="140"/>
        <v>300</v>
      </c>
      <c r="K692" s="14">
        <f t="shared" ca="1" si="141"/>
        <v>181.4</v>
      </c>
      <c r="L692" s="14">
        <f t="shared" ca="1" si="142"/>
        <v>0</v>
      </c>
      <c r="M692" s="15">
        <f t="shared" ca="1" si="143"/>
        <v>481.4</v>
      </c>
      <c r="N692" s="16">
        <f ca="1">SUM($M$9:M692)/A692</f>
        <v>336.45116959064296</v>
      </c>
      <c r="O692" s="6"/>
    </row>
    <row r="693" spans="1:15" x14ac:dyDescent="0.25">
      <c r="A693" s="8">
        <v>685</v>
      </c>
      <c r="B693" s="9">
        <f t="shared" ca="1" si="135"/>
        <v>2707</v>
      </c>
      <c r="C693" s="10">
        <f t="shared" ca="1" si="136"/>
        <v>1800</v>
      </c>
      <c r="D693" s="11">
        <f t="shared" ca="1" si="144"/>
        <v>0.38847857762927895</v>
      </c>
      <c r="E693" s="9">
        <f t="shared" ca="1" si="145"/>
        <v>385</v>
      </c>
      <c r="F693" s="9">
        <f t="shared" ca="1" si="137"/>
        <v>2322</v>
      </c>
      <c r="G693" s="12" t="str">
        <f t="shared" ca="1" si="138"/>
        <v>No</v>
      </c>
      <c r="H693" s="12">
        <f t="shared" ca="1" si="146"/>
        <v>0</v>
      </c>
      <c r="I693" s="10">
        <f t="shared" ca="1" si="139"/>
        <v>0</v>
      </c>
      <c r="J693" s="13">
        <f t="shared" ca="1" si="140"/>
        <v>0</v>
      </c>
      <c r="K693" s="14">
        <f t="shared" ca="1" si="141"/>
        <v>464.40000000000003</v>
      </c>
      <c r="L693" s="14">
        <f t="shared" ca="1" si="142"/>
        <v>0</v>
      </c>
      <c r="M693" s="15">
        <f t="shared" ca="1" si="143"/>
        <v>464.40000000000003</v>
      </c>
      <c r="N693" s="16">
        <f ca="1">SUM($M$9:M693)/A693</f>
        <v>336.63795620437929</v>
      </c>
      <c r="O693" s="6"/>
    </row>
    <row r="694" spans="1:15" x14ac:dyDescent="0.25">
      <c r="A694" s="8">
        <v>686</v>
      </c>
      <c r="B694" s="9">
        <f t="shared" ca="1" si="135"/>
        <v>2322</v>
      </c>
      <c r="C694" s="10">
        <f t="shared" ca="1" si="136"/>
        <v>0</v>
      </c>
      <c r="D694" s="11">
        <f t="shared" ca="1" si="144"/>
        <v>0.2158135661964794</v>
      </c>
      <c r="E694" s="9">
        <f t="shared" ca="1" si="145"/>
        <v>360</v>
      </c>
      <c r="F694" s="9">
        <f t="shared" ca="1" si="137"/>
        <v>1962</v>
      </c>
      <c r="G694" s="12" t="str">
        <f t="shared" ca="1" si="138"/>
        <v>No</v>
      </c>
      <c r="H694" s="12">
        <f t="shared" ca="1" si="146"/>
        <v>0</v>
      </c>
      <c r="I694" s="10">
        <f t="shared" ca="1" si="139"/>
        <v>0</v>
      </c>
      <c r="J694" s="13">
        <f t="shared" ca="1" si="140"/>
        <v>0</v>
      </c>
      <c r="K694" s="14">
        <f t="shared" ca="1" si="141"/>
        <v>392.40000000000003</v>
      </c>
      <c r="L694" s="14">
        <f t="shared" ca="1" si="142"/>
        <v>0</v>
      </c>
      <c r="M694" s="15">
        <f t="shared" ca="1" si="143"/>
        <v>392.40000000000003</v>
      </c>
      <c r="N694" s="16">
        <f ca="1">SUM($M$9:M694)/A694</f>
        <v>336.71924198250696</v>
      </c>
      <c r="O694" s="6"/>
    </row>
    <row r="695" spans="1:15" x14ac:dyDescent="0.25">
      <c r="A695" s="8">
        <v>687</v>
      </c>
      <c r="B695" s="9">
        <f t="shared" ca="1" si="135"/>
        <v>1962</v>
      </c>
      <c r="C695" s="10">
        <f t="shared" ca="1" si="136"/>
        <v>0</v>
      </c>
      <c r="D695" s="11">
        <f t="shared" ca="1" si="144"/>
        <v>0.69529668623238583</v>
      </c>
      <c r="E695" s="9">
        <f t="shared" ca="1" si="145"/>
        <v>425</v>
      </c>
      <c r="F695" s="9">
        <f t="shared" ca="1" si="137"/>
        <v>1537</v>
      </c>
      <c r="G695" s="12" t="str">
        <f t="shared" ca="1" si="138"/>
        <v>No</v>
      </c>
      <c r="H695" s="12">
        <f t="shared" ca="1" si="146"/>
        <v>0</v>
      </c>
      <c r="I695" s="10">
        <f t="shared" ca="1" si="139"/>
        <v>0</v>
      </c>
      <c r="J695" s="13">
        <f t="shared" ca="1" si="140"/>
        <v>0</v>
      </c>
      <c r="K695" s="14">
        <f t="shared" ca="1" si="141"/>
        <v>307.40000000000003</v>
      </c>
      <c r="L695" s="14">
        <f t="shared" ca="1" si="142"/>
        <v>0</v>
      </c>
      <c r="M695" s="15">
        <f t="shared" ca="1" si="143"/>
        <v>307.40000000000003</v>
      </c>
      <c r="N695" s="16">
        <f ca="1">SUM($M$9:M695)/A695</f>
        <v>336.67656477438106</v>
      </c>
      <c r="O695" s="6"/>
    </row>
    <row r="696" spans="1:15" x14ac:dyDescent="0.25">
      <c r="A696" s="8">
        <v>688</v>
      </c>
      <c r="B696" s="9">
        <f t="shared" ca="1" si="135"/>
        <v>1537</v>
      </c>
      <c r="C696" s="10">
        <f t="shared" ca="1" si="136"/>
        <v>0</v>
      </c>
      <c r="D696" s="11">
        <f t="shared" ca="1" si="144"/>
        <v>0.39632608353764498</v>
      </c>
      <c r="E696" s="9">
        <f t="shared" ca="1" si="145"/>
        <v>386</v>
      </c>
      <c r="F696" s="9">
        <f t="shared" ca="1" si="137"/>
        <v>1151</v>
      </c>
      <c r="G696" s="12" t="str">
        <f t="shared" ca="1" si="138"/>
        <v>No</v>
      </c>
      <c r="H696" s="12">
        <f t="shared" ca="1" si="146"/>
        <v>0</v>
      </c>
      <c r="I696" s="10">
        <f t="shared" ca="1" si="139"/>
        <v>0</v>
      </c>
      <c r="J696" s="13">
        <f t="shared" ca="1" si="140"/>
        <v>0</v>
      </c>
      <c r="K696" s="14">
        <f t="shared" ca="1" si="141"/>
        <v>230.20000000000002</v>
      </c>
      <c r="L696" s="14">
        <f t="shared" ca="1" si="142"/>
        <v>0</v>
      </c>
      <c r="M696" s="15">
        <f t="shared" ca="1" si="143"/>
        <v>230.20000000000002</v>
      </c>
      <c r="N696" s="16">
        <f ca="1">SUM($M$9:M696)/A696</f>
        <v>336.52180232558112</v>
      </c>
      <c r="O696" s="6"/>
    </row>
    <row r="697" spans="1:15" x14ac:dyDescent="0.25">
      <c r="A697" s="8">
        <v>689</v>
      </c>
      <c r="B697" s="9">
        <f t="shared" ca="1" si="135"/>
        <v>1151</v>
      </c>
      <c r="C697" s="10">
        <f t="shared" ca="1" si="136"/>
        <v>0</v>
      </c>
      <c r="D697" s="11">
        <f t="shared" ca="1" si="144"/>
        <v>0.95264219314763487</v>
      </c>
      <c r="E697" s="9">
        <f t="shared" ca="1" si="145"/>
        <v>483</v>
      </c>
      <c r="F697" s="9">
        <f t="shared" ca="1" si="137"/>
        <v>668</v>
      </c>
      <c r="G697" s="12" t="str">
        <f t="shared" ca="1" si="138"/>
        <v>Yes</v>
      </c>
      <c r="H697" s="12">
        <f t="shared" ca="1" si="146"/>
        <v>0.72755482003811678</v>
      </c>
      <c r="I697" s="10">
        <f t="shared" ca="1" si="139"/>
        <v>2</v>
      </c>
      <c r="J697" s="13">
        <f t="shared" ca="1" si="140"/>
        <v>300</v>
      </c>
      <c r="K697" s="14">
        <f t="shared" ca="1" si="141"/>
        <v>133.6</v>
      </c>
      <c r="L697" s="14">
        <f t="shared" ca="1" si="142"/>
        <v>0</v>
      </c>
      <c r="M697" s="15">
        <f t="shared" ca="1" si="143"/>
        <v>433.6</v>
      </c>
      <c r="N697" s="16">
        <f ca="1">SUM($M$9:M697)/A697</f>
        <v>336.66269956458609</v>
      </c>
      <c r="O697" s="6"/>
    </row>
    <row r="698" spans="1:15" x14ac:dyDescent="0.25">
      <c r="A698" s="8">
        <v>690</v>
      </c>
      <c r="B698" s="9">
        <f t="shared" ca="1" si="135"/>
        <v>668</v>
      </c>
      <c r="C698" s="10">
        <f t="shared" ca="1" si="136"/>
        <v>0</v>
      </c>
      <c r="D698" s="11">
        <f t="shared" ca="1" si="144"/>
        <v>0.6871192519028364</v>
      </c>
      <c r="E698" s="9">
        <f t="shared" ca="1" si="145"/>
        <v>424</v>
      </c>
      <c r="F698" s="9">
        <f t="shared" ca="1" si="137"/>
        <v>244</v>
      </c>
      <c r="G698" s="12" t="str">
        <f t="shared" ca="1" si="138"/>
        <v>No</v>
      </c>
      <c r="H698" s="12">
        <f t="shared" ca="1" si="146"/>
        <v>0</v>
      </c>
      <c r="I698" s="10">
        <f t="shared" ca="1" si="139"/>
        <v>1</v>
      </c>
      <c r="J698" s="13">
        <f t="shared" ca="1" si="140"/>
        <v>0</v>
      </c>
      <c r="K698" s="14">
        <f t="shared" ca="1" si="141"/>
        <v>48.800000000000004</v>
      </c>
      <c r="L698" s="14">
        <f t="shared" ca="1" si="142"/>
        <v>0</v>
      </c>
      <c r="M698" s="15">
        <f t="shared" ca="1" si="143"/>
        <v>48.800000000000004</v>
      </c>
      <c r="N698" s="16">
        <f ca="1">SUM($M$9:M698)/A698</f>
        <v>336.24550724637652</v>
      </c>
      <c r="O698" s="6"/>
    </row>
    <row r="699" spans="1:15" x14ac:dyDescent="0.25">
      <c r="A699" s="8">
        <v>691</v>
      </c>
      <c r="B699" s="9">
        <f t="shared" ca="1" si="135"/>
        <v>2044</v>
      </c>
      <c r="C699" s="10">
        <f t="shared" ca="1" si="136"/>
        <v>1800</v>
      </c>
      <c r="D699" s="11">
        <f t="shared" ca="1" si="144"/>
        <v>0.77260702441639229</v>
      </c>
      <c r="E699" s="9">
        <f t="shared" ca="1" si="145"/>
        <v>437</v>
      </c>
      <c r="F699" s="9">
        <f t="shared" ca="1" si="137"/>
        <v>1607</v>
      </c>
      <c r="G699" s="12" t="str">
        <f t="shared" ca="1" si="138"/>
        <v>No</v>
      </c>
      <c r="H699" s="12">
        <f t="shared" ca="1" si="146"/>
        <v>0</v>
      </c>
      <c r="I699" s="10">
        <f t="shared" ca="1" si="139"/>
        <v>0</v>
      </c>
      <c r="J699" s="13">
        <f t="shared" ca="1" si="140"/>
        <v>0</v>
      </c>
      <c r="K699" s="14">
        <f t="shared" ca="1" si="141"/>
        <v>321.40000000000003</v>
      </c>
      <c r="L699" s="14">
        <f t="shared" ca="1" si="142"/>
        <v>0</v>
      </c>
      <c r="M699" s="15">
        <f t="shared" ca="1" si="143"/>
        <v>321.40000000000003</v>
      </c>
      <c r="N699" s="16">
        <f ca="1">SUM($M$9:M699)/A699</f>
        <v>336.22402315484771</v>
      </c>
      <c r="O699" s="6"/>
    </row>
    <row r="700" spans="1:15" x14ac:dyDescent="0.25">
      <c r="A700" s="8">
        <v>692</v>
      </c>
      <c r="B700" s="9">
        <f t="shared" ca="1" si="135"/>
        <v>1607</v>
      </c>
      <c r="C700" s="10">
        <f t="shared" ca="1" si="136"/>
        <v>0</v>
      </c>
      <c r="D700" s="11">
        <f t="shared" ca="1" si="144"/>
        <v>0.87403374819124646</v>
      </c>
      <c r="E700" s="9">
        <f t="shared" ca="1" si="145"/>
        <v>457</v>
      </c>
      <c r="F700" s="9">
        <f t="shared" ca="1" si="137"/>
        <v>1150</v>
      </c>
      <c r="G700" s="12" t="str">
        <f t="shared" ca="1" si="138"/>
        <v>No</v>
      </c>
      <c r="H700" s="12">
        <f t="shared" ca="1" si="146"/>
        <v>0</v>
      </c>
      <c r="I700" s="10">
        <f t="shared" ca="1" si="139"/>
        <v>0</v>
      </c>
      <c r="J700" s="13">
        <f t="shared" ca="1" si="140"/>
        <v>0</v>
      </c>
      <c r="K700" s="14">
        <f t="shared" ca="1" si="141"/>
        <v>230</v>
      </c>
      <c r="L700" s="14">
        <f t="shared" ca="1" si="142"/>
        <v>0</v>
      </c>
      <c r="M700" s="15">
        <f t="shared" ca="1" si="143"/>
        <v>230</v>
      </c>
      <c r="N700" s="16">
        <f ca="1">SUM($M$9:M700)/A700</f>
        <v>336.07052023121355</v>
      </c>
      <c r="O700" s="6"/>
    </row>
    <row r="701" spans="1:15" x14ac:dyDescent="0.25">
      <c r="A701" s="8">
        <v>693</v>
      </c>
      <c r="B701" s="9">
        <f t="shared" ref="B701:B764" ca="1" si="147">IF(I700=1,F700+Quantity,F700)</f>
        <v>1150</v>
      </c>
      <c r="C701" s="10">
        <f t="shared" ref="C701:C764" ca="1" si="148">IF(I700=1,Quantity,0)</f>
        <v>0</v>
      </c>
      <c r="D701" s="11">
        <f t="shared" ca="1" si="144"/>
        <v>0.60681648088049278</v>
      </c>
      <c r="E701" s="9">
        <f t="shared" ca="1" si="145"/>
        <v>413</v>
      </c>
      <c r="F701" s="9">
        <f t="shared" ref="F701:F764" ca="1" si="149">IF(B701+C701-E701&lt;0,0,B701-E701)</f>
        <v>737</v>
      </c>
      <c r="G701" s="12" t="str">
        <f t="shared" ref="G701:G764" ca="1" si="150">IF(B701&lt;Point,IF(I700=0,"Yes","No"),"No")</f>
        <v>Yes</v>
      </c>
      <c r="H701" s="12">
        <f t="shared" ca="1" si="146"/>
        <v>0.81492186164382852</v>
      </c>
      <c r="I701" s="10">
        <f t="shared" ref="I701:I764" ca="1" si="151">IF(I700&gt;0,I700-1,(IF(G701="Yes",(VLOOKUP(H701,LTD,3)),0)))</f>
        <v>2</v>
      </c>
      <c r="J701" s="13">
        <f t="shared" ref="J701:J764" ca="1" si="152">IF(G701="Yes",Order_Cost,0)</f>
        <v>300</v>
      </c>
      <c r="K701" s="14">
        <f t="shared" ref="K701:K764" ca="1" si="153">F701*Holding_Cost</f>
        <v>147.4</v>
      </c>
      <c r="L701" s="14">
        <f t="shared" ref="L701:L764" ca="1" si="154">IF(B701+C701&lt;E701,Shortage_Cost*(E701-B701-C701),0)</f>
        <v>0</v>
      </c>
      <c r="M701" s="15">
        <f t="shared" ref="M701:M764" ca="1" si="155">SUM(J701:L701)</f>
        <v>447.4</v>
      </c>
      <c r="N701" s="16">
        <f ca="1">SUM($M$9:M701)/A701</f>
        <v>336.23116883116853</v>
      </c>
      <c r="O701" s="6"/>
    </row>
    <row r="702" spans="1:15" x14ac:dyDescent="0.25">
      <c r="A702" s="8">
        <v>694</v>
      </c>
      <c r="B702" s="9">
        <f t="shared" ca="1" si="147"/>
        <v>737</v>
      </c>
      <c r="C702" s="10">
        <f t="shared" ca="1" si="148"/>
        <v>0</v>
      </c>
      <c r="D702" s="11">
        <f t="shared" ca="1" si="144"/>
        <v>0.42748213691696046</v>
      </c>
      <c r="E702" s="9">
        <f t="shared" ca="1" si="145"/>
        <v>390</v>
      </c>
      <c r="F702" s="9">
        <f t="shared" ca="1" si="149"/>
        <v>347</v>
      </c>
      <c r="G702" s="12" t="str">
        <f t="shared" ca="1" si="150"/>
        <v>No</v>
      </c>
      <c r="H702" s="12">
        <f t="shared" ca="1" si="146"/>
        <v>0</v>
      </c>
      <c r="I702" s="10">
        <f t="shared" ca="1" si="151"/>
        <v>1</v>
      </c>
      <c r="J702" s="13">
        <f t="shared" ca="1" si="152"/>
        <v>0</v>
      </c>
      <c r="K702" s="14">
        <f t="shared" ca="1" si="153"/>
        <v>69.400000000000006</v>
      </c>
      <c r="L702" s="14">
        <f t="shared" ca="1" si="154"/>
        <v>0</v>
      </c>
      <c r="M702" s="15">
        <f t="shared" ca="1" si="155"/>
        <v>69.400000000000006</v>
      </c>
      <c r="N702" s="16">
        <f ca="1">SUM($M$9:M702)/A702</f>
        <v>335.84668587896221</v>
      </c>
      <c r="O702" s="6"/>
    </row>
    <row r="703" spans="1:15" x14ac:dyDescent="0.25">
      <c r="A703" s="8">
        <v>695</v>
      </c>
      <c r="B703" s="9">
        <f t="shared" ca="1" si="147"/>
        <v>2147</v>
      </c>
      <c r="C703" s="10">
        <f t="shared" ca="1" si="148"/>
        <v>1800</v>
      </c>
      <c r="D703" s="11">
        <f t="shared" ca="1" si="144"/>
        <v>0.39327260040880763</v>
      </c>
      <c r="E703" s="9">
        <f t="shared" ca="1" si="145"/>
        <v>386</v>
      </c>
      <c r="F703" s="9">
        <f t="shared" ca="1" si="149"/>
        <v>1761</v>
      </c>
      <c r="G703" s="12" t="str">
        <f t="shared" ca="1" si="150"/>
        <v>No</v>
      </c>
      <c r="H703" s="12">
        <f t="shared" ca="1" si="146"/>
        <v>0</v>
      </c>
      <c r="I703" s="10">
        <f t="shared" ca="1" si="151"/>
        <v>0</v>
      </c>
      <c r="J703" s="13">
        <f t="shared" ca="1" si="152"/>
        <v>0</v>
      </c>
      <c r="K703" s="14">
        <f t="shared" ca="1" si="153"/>
        <v>352.20000000000005</v>
      </c>
      <c r="L703" s="14">
        <f t="shared" ca="1" si="154"/>
        <v>0</v>
      </c>
      <c r="M703" s="15">
        <f t="shared" ca="1" si="155"/>
        <v>352.20000000000005</v>
      </c>
      <c r="N703" s="16">
        <f ca="1">SUM($M$9:M703)/A703</f>
        <v>335.8702158273378</v>
      </c>
      <c r="O703" s="6"/>
    </row>
    <row r="704" spans="1:15" x14ac:dyDescent="0.25">
      <c r="A704" s="8">
        <v>696</v>
      </c>
      <c r="B704" s="9">
        <f t="shared" ca="1" si="147"/>
        <v>1761</v>
      </c>
      <c r="C704" s="10">
        <f t="shared" ca="1" si="148"/>
        <v>0</v>
      </c>
      <c r="D704" s="11">
        <f t="shared" ca="1" si="144"/>
        <v>0.55235534094667582</v>
      </c>
      <c r="E704" s="9">
        <f t="shared" ca="1" si="145"/>
        <v>406</v>
      </c>
      <c r="F704" s="9">
        <f t="shared" ca="1" si="149"/>
        <v>1355</v>
      </c>
      <c r="G704" s="12" t="str">
        <f t="shared" ca="1" si="150"/>
        <v>No</v>
      </c>
      <c r="H704" s="12">
        <f t="shared" ca="1" si="146"/>
        <v>0</v>
      </c>
      <c r="I704" s="10">
        <f t="shared" ca="1" si="151"/>
        <v>0</v>
      </c>
      <c r="J704" s="13">
        <f t="shared" ca="1" si="152"/>
        <v>0</v>
      </c>
      <c r="K704" s="14">
        <f t="shared" ca="1" si="153"/>
        <v>271</v>
      </c>
      <c r="L704" s="14">
        <f t="shared" ca="1" si="154"/>
        <v>0</v>
      </c>
      <c r="M704" s="15">
        <f t="shared" ca="1" si="155"/>
        <v>271</v>
      </c>
      <c r="N704" s="16">
        <f ca="1">SUM($M$9:M704)/A704</f>
        <v>335.77701149425258</v>
      </c>
      <c r="O704" s="6"/>
    </row>
    <row r="705" spans="1:15" x14ac:dyDescent="0.25">
      <c r="A705" s="8">
        <v>697</v>
      </c>
      <c r="B705" s="9">
        <f t="shared" ca="1" si="147"/>
        <v>1355</v>
      </c>
      <c r="C705" s="10">
        <f t="shared" ca="1" si="148"/>
        <v>0</v>
      </c>
      <c r="D705" s="11">
        <f t="shared" ca="1" si="144"/>
        <v>0.34009467482764799</v>
      </c>
      <c r="E705" s="9">
        <f t="shared" ca="1" si="145"/>
        <v>379</v>
      </c>
      <c r="F705" s="9">
        <f t="shared" ca="1" si="149"/>
        <v>976</v>
      </c>
      <c r="G705" s="12" t="str">
        <f t="shared" ca="1" si="150"/>
        <v>Yes</v>
      </c>
      <c r="H705" s="12">
        <f t="shared" ca="1" si="146"/>
        <v>0.8970567040202625</v>
      </c>
      <c r="I705" s="10">
        <f t="shared" ca="1" si="151"/>
        <v>2</v>
      </c>
      <c r="J705" s="13">
        <f t="shared" ca="1" si="152"/>
        <v>300</v>
      </c>
      <c r="K705" s="14">
        <f t="shared" ca="1" si="153"/>
        <v>195.20000000000002</v>
      </c>
      <c r="L705" s="14">
        <f t="shared" ca="1" si="154"/>
        <v>0</v>
      </c>
      <c r="M705" s="15">
        <f t="shared" ca="1" si="155"/>
        <v>495.20000000000005</v>
      </c>
      <c r="N705" s="16">
        <f ca="1">SUM($M$9:M705)/A705</f>
        <v>336.00573888091793</v>
      </c>
      <c r="O705" s="6"/>
    </row>
    <row r="706" spans="1:15" x14ac:dyDescent="0.25">
      <c r="A706" s="8">
        <v>698</v>
      </c>
      <c r="B706" s="9">
        <f t="shared" ca="1" si="147"/>
        <v>976</v>
      </c>
      <c r="C706" s="10">
        <f t="shared" ca="1" si="148"/>
        <v>0</v>
      </c>
      <c r="D706" s="11">
        <f t="shared" ca="1" si="144"/>
        <v>0.7829065104495162</v>
      </c>
      <c r="E706" s="9">
        <f t="shared" ca="1" si="145"/>
        <v>439</v>
      </c>
      <c r="F706" s="9">
        <f t="shared" ca="1" si="149"/>
        <v>537</v>
      </c>
      <c r="G706" s="12" t="str">
        <f t="shared" ca="1" si="150"/>
        <v>No</v>
      </c>
      <c r="H706" s="12">
        <f t="shared" ca="1" si="146"/>
        <v>0</v>
      </c>
      <c r="I706" s="10">
        <f t="shared" ca="1" si="151"/>
        <v>1</v>
      </c>
      <c r="J706" s="13">
        <f t="shared" ca="1" si="152"/>
        <v>0</v>
      </c>
      <c r="K706" s="14">
        <f t="shared" ca="1" si="153"/>
        <v>107.4</v>
      </c>
      <c r="L706" s="14">
        <f t="shared" ca="1" si="154"/>
        <v>0</v>
      </c>
      <c r="M706" s="15">
        <f t="shared" ca="1" si="155"/>
        <v>107.4</v>
      </c>
      <c r="N706" s="16">
        <f ca="1">SUM($M$9:M706)/A706</f>
        <v>335.67822349570173</v>
      </c>
      <c r="O706" s="6"/>
    </row>
    <row r="707" spans="1:15" x14ac:dyDescent="0.25">
      <c r="A707" s="8">
        <v>699</v>
      </c>
      <c r="B707" s="9">
        <f t="shared" ca="1" si="147"/>
        <v>2337</v>
      </c>
      <c r="C707" s="10">
        <f t="shared" ca="1" si="148"/>
        <v>1800</v>
      </c>
      <c r="D707" s="11">
        <f t="shared" ca="1" si="144"/>
        <v>0.24889090300135486</v>
      </c>
      <c r="E707" s="9">
        <f t="shared" ca="1" si="145"/>
        <v>366</v>
      </c>
      <c r="F707" s="9">
        <f t="shared" ca="1" si="149"/>
        <v>1971</v>
      </c>
      <c r="G707" s="12" t="str">
        <f t="shared" ca="1" si="150"/>
        <v>No</v>
      </c>
      <c r="H707" s="12">
        <f t="shared" ca="1" si="146"/>
        <v>0</v>
      </c>
      <c r="I707" s="10">
        <f t="shared" ca="1" si="151"/>
        <v>0</v>
      </c>
      <c r="J707" s="13">
        <f t="shared" ca="1" si="152"/>
        <v>0</v>
      </c>
      <c r="K707" s="14">
        <f t="shared" ca="1" si="153"/>
        <v>394.20000000000005</v>
      </c>
      <c r="L707" s="14">
        <f t="shared" ca="1" si="154"/>
        <v>0</v>
      </c>
      <c r="M707" s="15">
        <f t="shared" ca="1" si="155"/>
        <v>394.20000000000005</v>
      </c>
      <c r="N707" s="16">
        <f ca="1">SUM($M$9:M707)/A707</f>
        <v>335.76194563662347</v>
      </c>
      <c r="O707" s="6"/>
    </row>
    <row r="708" spans="1:15" x14ac:dyDescent="0.25">
      <c r="A708" s="8">
        <v>700</v>
      </c>
      <c r="B708" s="9">
        <f t="shared" ca="1" si="147"/>
        <v>1971</v>
      </c>
      <c r="C708" s="10">
        <f t="shared" ca="1" si="148"/>
        <v>0</v>
      </c>
      <c r="D708" s="11">
        <f t="shared" ca="1" si="144"/>
        <v>0.52567988758005602</v>
      </c>
      <c r="E708" s="9">
        <f t="shared" ca="1" si="145"/>
        <v>403</v>
      </c>
      <c r="F708" s="9">
        <f t="shared" ca="1" si="149"/>
        <v>1568</v>
      </c>
      <c r="G708" s="12" t="str">
        <f t="shared" ca="1" si="150"/>
        <v>No</v>
      </c>
      <c r="H708" s="12">
        <f t="shared" ca="1" si="146"/>
        <v>0</v>
      </c>
      <c r="I708" s="10">
        <f t="shared" ca="1" si="151"/>
        <v>0</v>
      </c>
      <c r="J708" s="13">
        <f t="shared" ca="1" si="152"/>
        <v>0</v>
      </c>
      <c r="K708" s="14">
        <f t="shared" ca="1" si="153"/>
        <v>313.60000000000002</v>
      </c>
      <c r="L708" s="14">
        <f t="shared" ca="1" si="154"/>
        <v>0</v>
      </c>
      <c r="M708" s="15">
        <f t="shared" ca="1" si="155"/>
        <v>313.60000000000002</v>
      </c>
      <c r="N708" s="16">
        <f ca="1">SUM($M$9:M708)/A708</f>
        <v>335.73028571428546</v>
      </c>
      <c r="O708" s="6"/>
    </row>
    <row r="709" spans="1:15" x14ac:dyDescent="0.25">
      <c r="A709" s="8">
        <v>701</v>
      </c>
      <c r="B709" s="9">
        <f t="shared" ca="1" si="147"/>
        <v>1568</v>
      </c>
      <c r="C709" s="10">
        <f t="shared" ca="1" si="148"/>
        <v>0</v>
      </c>
      <c r="D709" s="11">
        <f t="shared" ca="1" si="144"/>
        <v>0.75606839527252068</v>
      </c>
      <c r="E709" s="9">
        <f t="shared" ca="1" si="145"/>
        <v>434</v>
      </c>
      <c r="F709" s="9">
        <f t="shared" ca="1" si="149"/>
        <v>1134</v>
      </c>
      <c r="G709" s="12" t="str">
        <f t="shared" ca="1" si="150"/>
        <v>No</v>
      </c>
      <c r="H709" s="12">
        <f t="shared" ca="1" si="146"/>
        <v>0</v>
      </c>
      <c r="I709" s="10">
        <f t="shared" ca="1" si="151"/>
        <v>0</v>
      </c>
      <c r="J709" s="13">
        <f t="shared" ca="1" si="152"/>
        <v>0</v>
      </c>
      <c r="K709" s="14">
        <f t="shared" ca="1" si="153"/>
        <v>226.8</v>
      </c>
      <c r="L709" s="14">
        <f t="shared" ca="1" si="154"/>
        <v>0</v>
      </c>
      <c r="M709" s="15">
        <f t="shared" ca="1" si="155"/>
        <v>226.8</v>
      </c>
      <c r="N709" s="16">
        <f ca="1">SUM($M$9:M709)/A709</f>
        <v>335.57489300998543</v>
      </c>
      <c r="O709" s="6"/>
    </row>
    <row r="710" spans="1:15" x14ac:dyDescent="0.25">
      <c r="A710" s="8">
        <v>702</v>
      </c>
      <c r="B710" s="9">
        <f t="shared" ca="1" si="147"/>
        <v>1134</v>
      </c>
      <c r="C710" s="10">
        <f t="shared" ca="1" si="148"/>
        <v>0</v>
      </c>
      <c r="D710" s="11">
        <f t="shared" ca="1" si="144"/>
        <v>0.6037453615632673</v>
      </c>
      <c r="E710" s="9">
        <f t="shared" ca="1" si="145"/>
        <v>413</v>
      </c>
      <c r="F710" s="9">
        <f t="shared" ca="1" si="149"/>
        <v>721</v>
      </c>
      <c r="G710" s="12" t="str">
        <f t="shared" ca="1" si="150"/>
        <v>Yes</v>
      </c>
      <c r="H710" s="12">
        <f t="shared" ca="1" si="146"/>
        <v>0.20092647484085702</v>
      </c>
      <c r="I710" s="10">
        <f t="shared" ca="1" si="151"/>
        <v>1</v>
      </c>
      <c r="J710" s="13">
        <f t="shared" ca="1" si="152"/>
        <v>300</v>
      </c>
      <c r="K710" s="14">
        <f t="shared" ca="1" si="153"/>
        <v>144.20000000000002</v>
      </c>
      <c r="L710" s="14">
        <f t="shared" ca="1" si="154"/>
        <v>0</v>
      </c>
      <c r="M710" s="15">
        <f t="shared" ca="1" si="155"/>
        <v>444.20000000000005</v>
      </c>
      <c r="N710" s="16">
        <f ca="1">SUM($M$9:M710)/A710</f>
        <v>335.72962962962936</v>
      </c>
      <c r="O710" s="6"/>
    </row>
    <row r="711" spans="1:15" x14ac:dyDescent="0.25">
      <c r="A711" s="8">
        <v>703</v>
      </c>
      <c r="B711" s="9">
        <f t="shared" ca="1" si="147"/>
        <v>2521</v>
      </c>
      <c r="C711" s="10">
        <f t="shared" ca="1" si="148"/>
        <v>1800</v>
      </c>
      <c r="D711" s="11">
        <f t="shared" ca="1" si="144"/>
        <v>0.46645033916810985</v>
      </c>
      <c r="E711" s="9">
        <f t="shared" ca="1" si="145"/>
        <v>395</v>
      </c>
      <c r="F711" s="9">
        <f t="shared" ca="1" si="149"/>
        <v>2126</v>
      </c>
      <c r="G711" s="12" t="str">
        <f t="shared" ca="1" si="150"/>
        <v>No</v>
      </c>
      <c r="H711" s="12">
        <f t="shared" ca="1" si="146"/>
        <v>0</v>
      </c>
      <c r="I711" s="10">
        <f t="shared" ca="1" si="151"/>
        <v>0</v>
      </c>
      <c r="J711" s="13">
        <f t="shared" ca="1" si="152"/>
        <v>0</v>
      </c>
      <c r="K711" s="14">
        <f t="shared" ca="1" si="153"/>
        <v>425.20000000000005</v>
      </c>
      <c r="L711" s="14">
        <f t="shared" ca="1" si="154"/>
        <v>0</v>
      </c>
      <c r="M711" s="15">
        <f t="shared" ca="1" si="155"/>
        <v>425.20000000000005</v>
      </c>
      <c r="N711" s="16">
        <f ca="1">SUM($M$9:M711)/A711</f>
        <v>335.85689900426718</v>
      </c>
      <c r="O711" s="6"/>
    </row>
    <row r="712" spans="1:15" x14ac:dyDescent="0.25">
      <c r="A712" s="8">
        <v>704</v>
      </c>
      <c r="B712" s="9">
        <f t="shared" ca="1" si="147"/>
        <v>2126</v>
      </c>
      <c r="C712" s="10">
        <f t="shared" ca="1" si="148"/>
        <v>0</v>
      </c>
      <c r="D712" s="11">
        <f t="shared" ca="1" si="144"/>
        <v>0.75727771553016676</v>
      </c>
      <c r="E712" s="9">
        <f t="shared" ca="1" si="145"/>
        <v>434</v>
      </c>
      <c r="F712" s="9">
        <f t="shared" ca="1" si="149"/>
        <v>1692</v>
      </c>
      <c r="G712" s="12" t="str">
        <f t="shared" ca="1" si="150"/>
        <v>No</v>
      </c>
      <c r="H712" s="12">
        <f t="shared" ca="1" si="146"/>
        <v>0</v>
      </c>
      <c r="I712" s="10">
        <f t="shared" ca="1" si="151"/>
        <v>0</v>
      </c>
      <c r="J712" s="13">
        <f t="shared" ca="1" si="152"/>
        <v>0</v>
      </c>
      <c r="K712" s="14">
        <f t="shared" ca="1" si="153"/>
        <v>338.40000000000003</v>
      </c>
      <c r="L712" s="14">
        <f t="shared" ca="1" si="154"/>
        <v>0</v>
      </c>
      <c r="M712" s="15">
        <f t="shared" ca="1" si="155"/>
        <v>338.40000000000003</v>
      </c>
      <c r="N712" s="16">
        <f ca="1">SUM($M$9:M712)/A712</f>
        <v>335.86051136363608</v>
      </c>
      <c r="O712" s="6"/>
    </row>
    <row r="713" spans="1:15" x14ac:dyDescent="0.25">
      <c r="A713" s="8">
        <v>705</v>
      </c>
      <c r="B713" s="9">
        <f t="shared" ca="1" si="147"/>
        <v>1692</v>
      </c>
      <c r="C713" s="10">
        <f t="shared" ca="1" si="148"/>
        <v>0</v>
      </c>
      <c r="D713" s="11">
        <f t="shared" ca="1" si="144"/>
        <v>0.2933081061144055</v>
      </c>
      <c r="E713" s="9">
        <f t="shared" ca="1" si="145"/>
        <v>372</v>
      </c>
      <c r="F713" s="9">
        <f t="shared" ca="1" si="149"/>
        <v>1320</v>
      </c>
      <c r="G713" s="12" t="str">
        <f t="shared" ca="1" si="150"/>
        <v>No</v>
      </c>
      <c r="H713" s="12">
        <f t="shared" ca="1" si="146"/>
        <v>0</v>
      </c>
      <c r="I713" s="10">
        <f t="shared" ca="1" si="151"/>
        <v>0</v>
      </c>
      <c r="J713" s="13">
        <f t="shared" ca="1" si="152"/>
        <v>0</v>
      </c>
      <c r="K713" s="14">
        <f t="shared" ca="1" si="153"/>
        <v>264</v>
      </c>
      <c r="L713" s="14">
        <f t="shared" ca="1" si="154"/>
        <v>0</v>
      </c>
      <c r="M713" s="15">
        <f t="shared" ca="1" si="155"/>
        <v>264</v>
      </c>
      <c r="N713" s="16">
        <f ca="1">SUM($M$9:M713)/A713</f>
        <v>335.7585815602834</v>
      </c>
      <c r="O713" s="6"/>
    </row>
    <row r="714" spans="1:15" x14ac:dyDescent="0.25">
      <c r="A714" s="8">
        <v>706</v>
      </c>
      <c r="B714" s="9">
        <f t="shared" ca="1" si="147"/>
        <v>1320</v>
      </c>
      <c r="C714" s="10">
        <f t="shared" ca="1" si="148"/>
        <v>0</v>
      </c>
      <c r="D714" s="11">
        <f t="shared" ref="D714:D777" ca="1" si="156">RAND()</f>
        <v>0.88417886369490351</v>
      </c>
      <c r="E714" s="9">
        <f t="shared" ref="E714:E777" ca="1" si="157">INT(NORMINV(D714,D_Mean,D_StdDev))</f>
        <v>459</v>
      </c>
      <c r="F714" s="9">
        <f t="shared" ca="1" si="149"/>
        <v>861</v>
      </c>
      <c r="G714" s="12" t="str">
        <f t="shared" ca="1" si="150"/>
        <v>Yes</v>
      </c>
      <c r="H714" s="12">
        <f t="shared" ref="H714:H777" ca="1" si="158">IF(G714="Yes",RAND(),0)</f>
        <v>4.2936219794368347E-2</v>
      </c>
      <c r="I714" s="10">
        <f t="shared" ca="1" si="151"/>
        <v>1</v>
      </c>
      <c r="J714" s="13">
        <f t="shared" ca="1" si="152"/>
        <v>300</v>
      </c>
      <c r="K714" s="14">
        <f t="shared" ca="1" si="153"/>
        <v>172.20000000000002</v>
      </c>
      <c r="L714" s="14">
        <f t="shared" ca="1" si="154"/>
        <v>0</v>
      </c>
      <c r="M714" s="15">
        <f t="shared" ca="1" si="155"/>
        <v>472.20000000000005</v>
      </c>
      <c r="N714" s="16">
        <f ca="1">SUM($M$9:M714)/A714</f>
        <v>335.95184135977314</v>
      </c>
      <c r="O714" s="6"/>
    </row>
    <row r="715" spans="1:15" x14ac:dyDescent="0.25">
      <c r="A715" s="8">
        <v>707</v>
      </c>
      <c r="B715" s="9">
        <f t="shared" ca="1" si="147"/>
        <v>2661</v>
      </c>
      <c r="C715" s="10">
        <f t="shared" ca="1" si="148"/>
        <v>1800</v>
      </c>
      <c r="D715" s="11">
        <f t="shared" ca="1" si="156"/>
        <v>0.80645675167021891</v>
      </c>
      <c r="E715" s="9">
        <f t="shared" ca="1" si="157"/>
        <v>443</v>
      </c>
      <c r="F715" s="9">
        <f t="shared" ca="1" si="149"/>
        <v>2218</v>
      </c>
      <c r="G715" s="12" t="str">
        <f t="shared" ca="1" si="150"/>
        <v>No</v>
      </c>
      <c r="H715" s="12">
        <f t="shared" ca="1" si="158"/>
        <v>0</v>
      </c>
      <c r="I715" s="10">
        <f t="shared" ca="1" si="151"/>
        <v>0</v>
      </c>
      <c r="J715" s="13">
        <f t="shared" ca="1" si="152"/>
        <v>0</v>
      </c>
      <c r="K715" s="14">
        <f t="shared" ca="1" si="153"/>
        <v>443.6</v>
      </c>
      <c r="L715" s="14">
        <f t="shared" ca="1" si="154"/>
        <v>0</v>
      </c>
      <c r="M715" s="15">
        <f t="shared" ca="1" si="155"/>
        <v>443.6</v>
      </c>
      <c r="N715" s="16">
        <f ca="1">SUM($M$9:M715)/A715</f>
        <v>336.10410183875507</v>
      </c>
      <c r="O715" s="6"/>
    </row>
    <row r="716" spans="1:15" x14ac:dyDescent="0.25">
      <c r="A716" s="8">
        <v>708</v>
      </c>
      <c r="B716" s="9">
        <f t="shared" ca="1" si="147"/>
        <v>2218</v>
      </c>
      <c r="C716" s="10">
        <f t="shared" ca="1" si="148"/>
        <v>0</v>
      </c>
      <c r="D716" s="11">
        <f t="shared" ca="1" si="156"/>
        <v>0.33223821856474567</v>
      </c>
      <c r="E716" s="9">
        <f t="shared" ca="1" si="157"/>
        <v>378</v>
      </c>
      <c r="F716" s="9">
        <f t="shared" ca="1" si="149"/>
        <v>1840</v>
      </c>
      <c r="G716" s="12" t="str">
        <f t="shared" ca="1" si="150"/>
        <v>No</v>
      </c>
      <c r="H716" s="12">
        <f t="shared" ca="1" si="158"/>
        <v>0</v>
      </c>
      <c r="I716" s="10">
        <f t="shared" ca="1" si="151"/>
        <v>0</v>
      </c>
      <c r="J716" s="13">
        <f t="shared" ca="1" si="152"/>
        <v>0</v>
      </c>
      <c r="K716" s="14">
        <f t="shared" ca="1" si="153"/>
        <v>368</v>
      </c>
      <c r="L716" s="14">
        <f t="shared" ca="1" si="154"/>
        <v>0</v>
      </c>
      <c r="M716" s="15">
        <f t="shared" ca="1" si="155"/>
        <v>368</v>
      </c>
      <c r="N716" s="16">
        <f ca="1">SUM($M$9:M716)/A716</f>
        <v>336.14915254237263</v>
      </c>
      <c r="O716" s="6"/>
    </row>
    <row r="717" spans="1:15" x14ac:dyDescent="0.25">
      <c r="A717" s="8">
        <v>709</v>
      </c>
      <c r="B717" s="9">
        <f t="shared" ca="1" si="147"/>
        <v>1840</v>
      </c>
      <c r="C717" s="10">
        <f t="shared" ca="1" si="148"/>
        <v>0</v>
      </c>
      <c r="D717" s="11">
        <f t="shared" ca="1" si="156"/>
        <v>0.9547649671412215</v>
      </c>
      <c r="E717" s="9">
        <f t="shared" ca="1" si="157"/>
        <v>484</v>
      </c>
      <c r="F717" s="9">
        <f t="shared" ca="1" si="149"/>
        <v>1356</v>
      </c>
      <c r="G717" s="12" t="str">
        <f t="shared" ca="1" si="150"/>
        <v>No</v>
      </c>
      <c r="H717" s="12">
        <f t="shared" ca="1" si="158"/>
        <v>0</v>
      </c>
      <c r="I717" s="10">
        <f t="shared" ca="1" si="151"/>
        <v>0</v>
      </c>
      <c r="J717" s="13">
        <f t="shared" ca="1" si="152"/>
        <v>0</v>
      </c>
      <c r="K717" s="14">
        <f t="shared" ca="1" si="153"/>
        <v>271.2</v>
      </c>
      <c r="L717" s="14">
        <f t="shared" ca="1" si="154"/>
        <v>0</v>
      </c>
      <c r="M717" s="15">
        <f t="shared" ca="1" si="155"/>
        <v>271.2</v>
      </c>
      <c r="N717" s="16">
        <f ca="1">SUM($M$9:M717)/A717</f>
        <v>336.05754583920992</v>
      </c>
      <c r="O717" s="6"/>
    </row>
    <row r="718" spans="1:15" x14ac:dyDescent="0.25">
      <c r="A718" s="8">
        <v>710</v>
      </c>
      <c r="B718" s="9">
        <f t="shared" ca="1" si="147"/>
        <v>1356</v>
      </c>
      <c r="C718" s="10">
        <f t="shared" ca="1" si="148"/>
        <v>0</v>
      </c>
      <c r="D718" s="11">
        <f t="shared" ca="1" si="156"/>
        <v>0.32766378878701263</v>
      </c>
      <c r="E718" s="9">
        <f t="shared" ca="1" si="157"/>
        <v>377</v>
      </c>
      <c r="F718" s="9">
        <f t="shared" ca="1" si="149"/>
        <v>979</v>
      </c>
      <c r="G718" s="12" t="str">
        <f t="shared" ca="1" si="150"/>
        <v>Yes</v>
      </c>
      <c r="H718" s="12">
        <f t="shared" ca="1" si="158"/>
        <v>0.5435984591596752</v>
      </c>
      <c r="I718" s="10">
        <f t="shared" ca="1" si="151"/>
        <v>1</v>
      </c>
      <c r="J718" s="13">
        <f t="shared" ca="1" si="152"/>
        <v>300</v>
      </c>
      <c r="K718" s="14">
        <f t="shared" ca="1" si="153"/>
        <v>195.8</v>
      </c>
      <c r="L718" s="14">
        <f t="shared" ca="1" si="154"/>
        <v>0</v>
      </c>
      <c r="M718" s="15">
        <f t="shared" ca="1" si="155"/>
        <v>495.8</v>
      </c>
      <c r="N718" s="16">
        <f ca="1">SUM($M$9:M718)/A718</f>
        <v>336.28253521126737</v>
      </c>
      <c r="O718" s="6"/>
    </row>
    <row r="719" spans="1:15" x14ac:dyDescent="0.25">
      <c r="A719" s="8">
        <v>711</v>
      </c>
      <c r="B719" s="9">
        <f t="shared" ca="1" si="147"/>
        <v>2779</v>
      </c>
      <c r="C719" s="10">
        <f t="shared" ca="1" si="148"/>
        <v>1800</v>
      </c>
      <c r="D719" s="11">
        <f t="shared" ca="1" si="156"/>
        <v>0.59681260019696569</v>
      </c>
      <c r="E719" s="9">
        <f t="shared" ca="1" si="157"/>
        <v>412</v>
      </c>
      <c r="F719" s="9">
        <f t="shared" ca="1" si="149"/>
        <v>2367</v>
      </c>
      <c r="G719" s="12" t="str">
        <f t="shared" ca="1" si="150"/>
        <v>No</v>
      </c>
      <c r="H719" s="12">
        <f t="shared" ca="1" si="158"/>
        <v>0</v>
      </c>
      <c r="I719" s="10">
        <f t="shared" ca="1" si="151"/>
        <v>0</v>
      </c>
      <c r="J719" s="13">
        <f t="shared" ca="1" si="152"/>
        <v>0</v>
      </c>
      <c r="K719" s="14">
        <f t="shared" ca="1" si="153"/>
        <v>473.40000000000003</v>
      </c>
      <c r="L719" s="14">
        <f t="shared" ca="1" si="154"/>
        <v>0</v>
      </c>
      <c r="M719" s="15">
        <f t="shared" ca="1" si="155"/>
        <v>473.40000000000003</v>
      </c>
      <c r="N719" s="16">
        <f ca="1">SUM($M$9:M719)/A719</f>
        <v>336.47538677918402</v>
      </c>
      <c r="O719" s="6"/>
    </row>
    <row r="720" spans="1:15" x14ac:dyDescent="0.25">
      <c r="A720" s="8">
        <v>712</v>
      </c>
      <c r="B720" s="9">
        <f t="shared" ca="1" si="147"/>
        <v>2367</v>
      </c>
      <c r="C720" s="10">
        <f t="shared" ca="1" si="148"/>
        <v>0</v>
      </c>
      <c r="D720" s="11">
        <f t="shared" ca="1" si="156"/>
        <v>0.5664871266338608</v>
      </c>
      <c r="E720" s="9">
        <f t="shared" ca="1" si="157"/>
        <v>408</v>
      </c>
      <c r="F720" s="9">
        <f t="shared" ca="1" si="149"/>
        <v>1959</v>
      </c>
      <c r="G720" s="12" t="str">
        <f t="shared" ca="1" si="150"/>
        <v>No</v>
      </c>
      <c r="H720" s="12">
        <f t="shared" ca="1" si="158"/>
        <v>0</v>
      </c>
      <c r="I720" s="10">
        <f t="shared" ca="1" si="151"/>
        <v>0</v>
      </c>
      <c r="J720" s="13">
        <f t="shared" ca="1" si="152"/>
        <v>0</v>
      </c>
      <c r="K720" s="14">
        <f t="shared" ca="1" si="153"/>
        <v>391.8</v>
      </c>
      <c r="L720" s="14">
        <f t="shared" ca="1" si="154"/>
        <v>0</v>
      </c>
      <c r="M720" s="15">
        <f t="shared" ca="1" si="155"/>
        <v>391.8</v>
      </c>
      <c r="N720" s="16">
        <f ca="1">SUM($M$9:M720)/A720</f>
        <v>336.55308988764017</v>
      </c>
      <c r="O720" s="6"/>
    </row>
    <row r="721" spans="1:15" x14ac:dyDescent="0.25">
      <c r="A721" s="8">
        <v>713</v>
      </c>
      <c r="B721" s="9">
        <f t="shared" ca="1" si="147"/>
        <v>1959</v>
      </c>
      <c r="C721" s="10">
        <f t="shared" ca="1" si="148"/>
        <v>0</v>
      </c>
      <c r="D721" s="11">
        <f t="shared" ca="1" si="156"/>
        <v>0.74601953461287052</v>
      </c>
      <c r="E721" s="9">
        <f t="shared" ca="1" si="157"/>
        <v>433</v>
      </c>
      <c r="F721" s="9">
        <f t="shared" ca="1" si="149"/>
        <v>1526</v>
      </c>
      <c r="G721" s="12" t="str">
        <f t="shared" ca="1" si="150"/>
        <v>No</v>
      </c>
      <c r="H721" s="12">
        <f t="shared" ca="1" si="158"/>
        <v>0</v>
      </c>
      <c r="I721" s="10">
        <f t="shared" ca="1" si="151"/>
        <v>0</v>
      </c>
      <c r="J721" s="13">
        <f t="shared" ca="1" si="152"/>
        <v>0</v>
      </c>
      <c r="K721" s="14">
        <f t="shared" ca="1" si="153"/>
        <v>305.2</v>
      </c>
      <c r="L721" s="14">
        <f t="shared" ca="1" si="154"/>
        <v>0</v>
      </c>
      <c r="M721" s="15">
        <f t="shared" ca="1" si="155"/>
        <v>305.2</v>
      </c>
      <c r="N721" s="16">
        <f ca="1">SUM($M$9:M721)/A721</f>
        <v>336.50911640953694</v>
      </c>
      <c r="O721" s="6"/>
    </row>
    <row r="722" spans="1:15" x14ac:dyDescent="0.25">
      <c r="A722" s="8">
        <v>714</v>
      </c>
      <c r="B722" s="9">
        <f t="shared" ca="1" si="147"/>
        <v>1526</v>
      </c>
      <c r="C722" s="10">
        <f t="shared" ca="1" si="148"/>
        <v>0</v>
      </c>
      <c r="D722" s="11">
        <f t="shared" ca="1" si="156"/>
        <v>0.9642818220169298</v>
      </c>
      <c r="E722" s="9">
        <f t="shared" ca="1" si="157"/>
        <v>490</v>
      </c>
      <c r="F722" s="9">
        <f t="shared" ca="1" si="149"/>
        <v>1036</v>
      </c>
      <c r="G722" s="12" t="str">
        <f t="shared" ca="1" si="150"/>
        <v>No</v>
      </c>
      <c r="H722" s="12">
        <f t="shared" ca="1" si="158"/>
        <v>0</v>
      </c>
      <c r="I722" s="10">
        <f t="shared" ca="1" si="151"/>
        <v>0</v>
      </c>
      <c r="J722" s="13">
        <f t="shared" ca="1" si="152"/>
        <v>0</v>
      </c>
      <c r="K722" s="14">
        <f t="shared" ca="1" si="153"/>
        <v>207.20000000000002</v>
      </c>
      <c r="L722" s="14">
        <f t="shared" ca="1" si="154"/>
        <v>0</v>
      </c>
      <c r="M722" s="15">
        <f t="shared" ca="1" si="155"/>
        <v>207.20000000000002</v>
      </c>
      <c r="N722" s="16">
        <f ca="1">SUM($M$9:M722)/A722</f>
        <v>336.32801120448158</v>
      </c>
      <c r="O722" s="6"/>
    </row>
    <row r="723" spans="1:15" x14ac:dyDescent="0.25">
      <c r="A723" s="8">
        <v>715</v>
      </c>
      <c r="B723" s="9">
        <f t="shared" ca="1" si="147"/>
        <v>1036</v>
      </c>
      <c r="C723" s="10">
        <f t="shared" ca="1" si="148"/>
        <v>0</v>
      </c>
      <c r="D723" s="11">
        <f t="shared" ca="1" si="156"/>
        <v>0.11203452090020005</v>
      </c>
      <c r="E723" s="9">
        <f t="shared" ca="1" si="157"/>
        <v>339</v>
      </c>
      <c r="F723" s="9">
        <f t="shared" ca="1" si="149"/>
        <v>697</v>
      </c>
      <c r="G723" s="12" t="str">
        <f t="shared" ca="1" si="150"/>
        <v>Yes</v>
      </c>
      <c r="H723" s="12">
        <f t="shared" ca="1" si="158"/>
        <v>0.37391262623439125</v>
      </c>
      <c r="I723" s="10">
        <f t="shared" ca="1" si="151"/>
        <v>1</v>
      </c>
      <c r="J723" s="13">
        <f t="shared" ca="1" si="152"/>
        <v>300</v>
      </c>
      <c r="K723" s="14">
        <f t="shared" ca="1" si="153"/>
        <v>139.4</v>
      </c>
      <c r="L723" s="14">
        <f t="shared" ca="1" si="154"/>
        <v>0</v>
      </c>
      <c r="M723" s="15">
        <f t="shared" ca="1" si="155"/>
        <v>439.4</v>
      </c>
      <c r="N723" s="16">
        <f ca="1">SUM($M$9:M723)/A723</f>
        <v>336.4721678321676</v>
      </c>
      <c r="O723" s="6"/>
    </row>
    <row r="724" spans="1:15" x14ac:dyDescent="0.25">
      <c r="A724" s="8">
        <v>716</v>
      </c>
      <c r="B724" s="9">
        <f t="shared" ca="1" si="147"/>
        <v>2497</v>
      </c>
      <c r="C724" s="10">
        <f t="shared" ca="1" si="148"/>
        <v>1800</v>
      </c>
      <c r="D724" s="11">
        <f t="shared" ca="1" si="156"/>
        <v>0.34293933788213427</v>
      </c>
      <c r="E724" s="9">
        <f t="shared" ca="1" si="157"/>
        <v>379</v>
      </c>
      <c r="F724" s="9">
        <f t="shared" ca="1" si="149"/>
        <v>2118</v>
      </c>
      <c r="G724" s="12" t="str">
        <f t="shared" ca="1" si="150"/>
        <v>No</v>
      </c>
      <c r="H724" s="12">
        <f t="shared" ca="1" si="158"/>
        <v>0</v>
      </c>
      <c r="I724" s="10">
        <f t="shared" ca="1" si="151"/>
        <v>0</v>
      </c>
      <c r="J724" s="13">
        <f t="shared" ca="1" si="152"/>
        <v>0</v>
      </c>
      <c r="K724" s="14">
        <f t="shared" ca="1" si="153"/>
        <v>423.6</v>
      </c>
      <c r="L724" s="14">
        <f t="shared" ca="1" si="154"/>
        <v>0</v>
      </c>
      <c r="M724" s="15">
        <f t="shared" ca="1" si="155"/>
        <v>423.6</v>
      </c>
      <c r="N724" s="16">
        <f ca="1">SUM($M$9:M724)/A724</f>
        <v>336.59385474860312</v>
      </c>
      <c r="O724" s="6"/>
    </row>
    <row r="725" spans="1:15" x14ac:dyDescent="0.25">
      <c r="A725" s="8">
        <v>717</v>
      </c>
      <c r="B725" s="9">
        <f t="shared" ca="1" si="147"/>
        <v>2118</v>
      </c>
      <c r="C725" s="10">
        <f t="shared" ca="1" si="148"/>
        <v>0</v>
      </c>
      <c r="D725" s="11">
        <f t="shared" ca="1" si="156"/>
        <v>0.13383159260322441</v>
      </c>
      <c r="E725" s="9">
        <f t="shared" ca="1" si="157"/>
        <v>344</v>
      </c>
      <c r="F725" s="9">
        <f t="shared" ca="1" si="149"/>
        <v>1774</v>
      </c>
      <c r="G725" s="12" t="str">
        <f t="shared" ca="1" si="150"/>
        <v>No</v>
      </c>
      <c r="H725" s="12">
        <f t="shared" ca="1" si="158"/>
        <v>0</v>
      </c>
      <c r="I725" s="10">
        <f t="shared" ca="1" si="151"/>
        <v>0</v>
      </c>
      <c r="J725" s="13">
        <f t="shared" ca="1" si="152"/>
        <v>0</v>
      </c>
      <c r="K725" s="14">
        <f t="shared" ca="1" si="153"/>
        <v>354.8</v>
      </c>
      <c r="L725" s="14">
        <f t="shared" ca="1" si="154"/>
        <v>0</v>
      </c>
      <c r="M725" s="15">
        <f t="shared" ca="1" si="155"/>
        <v>354.8</v>
      </c>
      <c r="N725" s="16">
        <f ca="1">SUM($M$9:M725)/A725</f>
        <v>336.61924686192447</v>
      </c>
      <c r="O725" s="6"/>
    </row>
    <row r="726" spans="1:15" x14ac:dyDescent="0.25">
      <c r="A726" s="8">
        <v>718</v>
      </c>
      <c r="B726" s="9">
        <f t="shared" ca="1" si="147"/>
        <v>1774</v>
      </c>
      <c r="C726" s="10">
        <f t="shared" ca="1" si="148"/>
        <v>0</v>
      </c>
      <c r="D726" s="11">
        <f t="shared" ca="1" si="156"/>
        <v>0.43060947381831893</v>
      </c>
      <c r="E726" s="9">
        <f t="shared" ca="1" si="157"/>
        <v>391</v>
      </c>
      <c r="F726" s="9">
        <f t="shared" ca="1" si="149"/>
        <v>1383</v>
      </c>
      <c r="G726" s="12" t="str">
        <f t="shared" ca="1" si="150"/>
        <v>No</v>
      </c>
      <c r="H726" s="12">
        <f t="shared" ca="1" si="158"/>
        <v>0</v>
      </c>
      <c r="I726" s="10">
        <f t="shared" ca="1" si="151"/>
        <v>0</v>
      </c>
      <c r="J726" s="13">
        <f t="shared" ca="1" si="152"/>
        <v>0</v>
      </c>
      <c r="K726" s="14">
        <f t="shared" ca="1" si="153"/>
        <v>276.60000000000002</v>
      </c>
      <c r="L726" s="14">
        <f t="shared" ca="1" si="154"/>
        <v>0</v>
      </c>
      <c r="M726" s="15">
        <f t="shared" ca="1" si="155"/>
        <v>276.60000000000002</v>
      </c>
      <c r="N726" s="16">
        <f ca="1">SUM($M$9:M726)/A726</f>
        <v>336.53565459610002</v>
      </c>
      <c r="O726" s="6"/>
    </row>
    <row r="727" spans="1:15" x14ac:dyDescent="0.25">
      <c r="A727" s="8">
        <v>719</v>
      </c>
      <c r="B727" s="9">
        <f t="shared" ca="1" si="147"/>
        <v>1383</v>
      </c>
      <c r="C727" s="10">
        <f t="shared" ca="1" si="148"/>
        <v>0</v>
      </c>
      <c r="D727" s="11">
        <f t="shared" ca="1" si="156"/>
        <v>0.18564875441238049</v>
      </c>
      <c r="E727" s="9">
        <f t="shared" ca="1" si="157"/>
        <v>355</v>
      </c>
      <c r="F727" s="9">
        <f t="shared" ca="1" si="149"/>
        <v>1028</v>
      </c>
      <c r="G727" s="12" t="str">
        <f t="shared" ca="1" si="150"/>
        <v>Yes</v>
      </c>
      <c r="H727" s="12">
        <f t="shared" ca="1" si="158"/>
        <v>1.3986027040081894E-2</v>
      </c>
      <c r="I727" s="10">
        <f t="shared" ca="1" si="151"/>
        <v>1</v>
      </c>
      <c r="J727" s="13">
        <f t="shared" ca="1" si="152"/>
        <v>300</v>
      </c>
      <c r="K727" s="14">
        <f t="shared" ca="1" si="153"/>
        <v>205.60000000000002</v>
      </c>
      <c r="L727" s="14">
        <f t="shared" ca="1" si="154"/>
        <v>0</v>
      </c>
      <c r="M727" s="15">
        <f t="shared" ca="1" si="155"/>
        <v>505.6</v>
      </c>
      <c r="N727" s="16">
        <f ca="1">SUM($M$9:M727)/A727</f>
        <v>336.77079276773276</v>
      </c>
      <c r="O727" s="6"/>
    </row>
    <row r="728" spans="1:15" x14ac:dyDescent="0.25">
      <c r="A728" s="8">
        <v>720</v>
      </c>
      <c r="B728" s="9">
        <f t="shared" ca="1" si="147"/>
        <v>2828</v>
      </c>
      <c r="C728" s="10">
        <f t="shared" ca="1" si="148"/>
        <v>1800</v>
      </c>
      <c r="D728" s="11">
        <f t="shared" ca="1" si="156"/>
        <v>0.13253181738029651</v>
      </c>
      <c r="E728" s="9">
        <f t="shared" ca="1" si="157"/>
        <v>344</v>
      </c>
      <c r="F728" s="9">
        <f t="shared" ca="1" si="149"/>
        <v>2484</v>
      </c>
      <c r="G728" s="12" t="str">
        <f t="shared" ca="1" si="150"/>
        <v>No</v>
      </c>
      <c r="H728" s="12">
        <f t="shared" ca="1" si="158"/>
        <v>0</v>
      </c>
      <c r="I728" s="10">
        <f t="shared" ca="1" si="151"/>
        <v>0</v>
      </c>
      <c r="J728" s="13">
        <f t="shared" ca="1" si="152"/>
        <v>0</v>
      </c>
      <c r="K728" s="14">
        <f t="shared" ca="1" si="153"/>
        <v>496.8</v>
      </c>
      <c r="L728" s="14">
        <f t="shared" ca="1" si="154"/>
        <v>0</v>
      </c>
      <c r="M728" s="15">
        <f t="shared" ca="1" si="155"/>
        <v>496.8</v>
      </c>
      <c r="N728" s="16">
        <f ca="1">SUM($M$9:M728)/A728</f>
        <v>336.99305555555532</v>
      </c>
      <c r="O728" s="6"/>
    </row>
    <row r="729" spans="1:15" x14ac:dyDescent="0.25">
      <c r="A729" s="8">
        <v>721</v>
      </c>
      <c r="B729" s="9">
        <f t="shared" ca="1" si="147"/>
        <v>2484</v>
      </c>
      <c r="C729" s="10">
        <f t="shared" ca="1" si="148"/>
        <v>0</v>
      </c>
      <c r="D729" s="11">
        <f t="shared" ca="1" si="156"/>
        <v>0.77333313883668475</v>
      </c>
      <c r="E729" s="9">
        <f t="shared" ca="1" si="157"/>
        <v>437</v>
      </c>
      <c r="F729" s="9">
        <f t="shared" ca="1" si="149"/>
        <v>2047</v>
      </c>
      <c r="G729" s="12" t="str">
        <f t="shared" ca="1" si="150"/>
        <v>No</v>
      </c>
      <c r="H729" s="12">
        <f t="shared" ca="1" si="158"/>
        <v>0</v>
      </c>
      <c r="I729" s="10">
        <f t="shared" ca="1" si="151"/>
        <v>0</v>
      </c>
      <c r="J729" s="13">
        <f t="shared" ca="1" si="152"/>
        <v>0</v>
      </c>
      <c r="K729" s="14">
        <f t="shared" ca="1" si="153"/>
        <v>409.40000000000003</v>
      </c>
      <c r="L729" s="14">
        <f t="shared" ca="1" si="154"/>
        <v>0</v>
      </c>
      <c r="M729" s="15">
        <f t="shared" ca="1" si="155"/>
        <v>409.40000000000003</v>
      </c>
      <c r="N729" s="16">
        <f ca="1">SUM($M$9:M729)/A729</f>
        <v>337.09348127600532</v>
      </c>
      <c r="O729" s="6"/>
    </row>
    <row r="730" spans="1:15" x14ac:dyDescent="0.25">
      <c r="A730" s="8">
        <v>722</v>
      </c>
      <c r="B730" s="9">
        <f t="shared" ca="1" si="147"/>
        <v>2047</v>
      </c>
      <c r="C730" s="10">
        <f t="shared" ca="1" si="148"/>
        <v>0</v>
      </c>
      <c r="D730" s="11">
        <f t="shared" ca="1" si="156"/>
        <v>0.4901943743267605</v>
      </c>
      <c r="E730" s="9">
        <f t="shared" ca="1" si="157"/>
        <v>398</v>
      </c>
      <c r="F730" s="9">
        <f t="shared" ca="1" si="149"/>
        <v>1649</v>
      </c>
      <c r="G730" s="12" t="str">
        <f t="shared" ca="1" si="150"/>
        <v>No</v>
      </c>
      <c r="H730" s="12">
        <f t="shared" ca="1" si="158"/>
        <v>0</v>
      </c>
      <c r="I730" s="10">
        <f t="shared" ca="1" si="151"/>
        <v>0</v>
      </c>
      <c r="J730" s="13">
        <f t="shared" ca="1" si="152"/>
        <v>0</v>
      </c>
      <c r="K730" s="14">
        <f t="shared" ca="1" si="153"/>
        <v>329.8</v>
      </c>
      <c r="L730" s="14">
        <f t="shared" ca="1" si="154"/>
        <v>0</v>
      </c>
      <c r="M730" s="15">
        <f t="shared" ca="1" si="155"/>
        <v>329.8</v>
      </c>
      <c r="N730" s="16">
        <f ca="1">SUM($M$9:M730)/A730</f>
        <v>337.0833795013848</v>
      </c>
      <c r="O730" s="6"/>
    </row>
    <row r="731" spans="1:15" x14ac:dyDescent="0.25">
      <c r="A731" s="8">
        <v>723</v>
      </c>
      <c r="B731" s="9">
        <f t="shared" ca="1" si="147"/>
        <v>1649</v>
      </c>
      <c r="C731" s="10">
        <f t="shared" ca="1" si="148"/>
        <v>0</v>
      </c>
      <c r="D731" s="11">
        <f t="shared" ca="1" si="156"/>
        <v>0.33862264134778952</v>
      </c>
      <c r="E731" s="9">
        <f t="shared" ca="1" si="157"/>
        <v>379</v>
      </c>
      <c r="F731" s="9">
        <f t="shared" ca="1" si="149"/>
        <v>1270</v>
      </c>
      <c r="G731" s="12" t="str">
        <f t="shared" ca="1" si="150"/>
        <v>No</v>
      </c>
      <c r="H731" s="12">
        <f t="shared" ca="1" si="158"/>
        <v>0</v>
      </c>
      <c r="I731" s="10">
        <f t="shared" ca="1" si="151"/>
        <v>0</v>
      </c>
      <c r="J731" s="13">
        <f t="shared" ca="1" si="152"/>
        <v>0</v>
      </c>
      <c r="K731" s="14">
        <f t="shared" ca="1" si="153"/>
        <v>254</v>
      </c>
      <c r="L731" s="14">
        <f t="shared" ca="1" si="154"/>
        <v>0</v>
      </c>
      <c r="M731" s="15">
        <f t="shared" ca="1" si="155"/>
        <v>254</v>
      </c>
      <c r="N731" s="16">
        <f ca="1">SUM($M$9:M731)/A731</f>
        <v>336.96846473029018</v>
      </c>
      <c r="O731" s="6"/>
    </row>
    <row r="732" spans="1:15" x14ac:dyDescent="0.25">
      <c r="A732" s="8">
        <v>724</v>
      </c>
      <c r="B732" s="9">
        <f t="shared" ca="1" si="147"/>
        <v>1270</v>
      </c>
      <c r="C732" s="10">
        <f t="shared" ca="1" si="148"/>
        <v>0</v>
      </c>
      <c r="D732" s="11">
        <f t="shared" ca="1" si="156"/>
        <v>7.69028749970877E-2</v>
      </c>
      <c r="E732" s="9">
        <f t="shared" ca="1" si="157"/>
        <v>328</v>
      </c>
      <c r="F732" s="9">
        <f t="shared" ca="1" si="149"/>
        <v>942</v>
      </c>
      <c r="G732" s="12" t="str">
        <f t="shared" ca="1" si="150"/>
        <v>Yes</v>
      </c>
      <c r="H732" s="12">
        <f t="shared" ca="1" si="158"/>
        <v>0.48486188959085874</v>
      </c>
      <c r="I732" s="10">
        <f t="shared" ca="1" si="151"/>
        <v>1</v>
      </c>
      <c r="J732" s="13">
        <f t="shared" ca="1" si="152"/>
        <v>300</v>
      </c>
      <c r="K732" s="14">
        <f t="shared" ca="1" si="153"/>
        <v>188.4</v>
      </c>
      <c r="L732" s="14">
        <f t="shared" ca="1" si="154"/>
        <v>0</v>
      </c>
      <c r="M732" s="15">
        <f t="shared" ca="1" si="155"/>
        <v>488.4</v>
      </c>
      <c r="N732" s="16">
        <f ca="1">SUM($M$9:M732)/A732</f>
        <v>337.177624309392</v>
      </c>
      <c r="O732" s="6"/>
    </row>
    <row r="733" spans="1:15" x14ac:dyDescent="0.25">
      <c r="A733" s="8">
        <v>725</v>
      </c>
      <c r="B733" s="9">
        <f t="shared" ca="1" si="147"/>
        <v>2742</v>
      </c>
      <c r="C733" s="10">
        <f t="shared" ca="1" si="148"/>
        <v>1800</v>
      </c>
      <c r="D733" s="11">
        <f t="shared" ca="1" si="156"/>
        <v>0.29851623205987932</v>
      </c>
      <c r="E733" s="9">
        <f t="shared" ca="1" si="157"/>
        <v>373</v>
      </c>
      <c r="F733" s="9">
        <f t="shared" ca="1" si="149"/>
        <v>2369</v>
      </c>
      <c r="G733" s="12" t="str">
        <f t="shared" ca="1" si="150"/>
        <v>No</v>
      </c>
      <c r="H733" s="12">
        <f t="shared" ca="1" si="158"/>
        <v>0</v>
      </c>
      <c r="I733" s="10">
        <f t="shared" ca="1" si="151"/>
        <v>0</v>
      </c>
      <c r="J733" s="13">
        <f t="shared" ca="1" si="152"/>
        <v>0</v>
      </c>
      <c r="K733" s="14">
        <f t="shared" ca="1" si="153"/>
        <v>473.8</v>
      </c>
      <c r="L733" s="14">
        <f t="shared" ca="1" si="154"/>
        <v>0</v>
      </c>
      <c r="M733" s="15">
        <f t="shared" ca="1" si="155"/>
        <v>473.8</v>
      </c>
      <c r="N733" s="16">
        <f ca="1">SUM($M$9:M733)/A733</f>
        <v>337.36606896551694</v>
      </c>
      <c r="O733" s="6"/>
    </row>
    <row r="734" spans="1:15" x14ac:dyDescent="0.25">
      <c r="A734" s="8">
        <v>726</v>
      </c>
      <c r="B734" s="9">
        <f t="shared" ca="1" si="147"/>
        <v>2369</v>
      </c>
      <c r="C734" s="10">
        <f t="shared" ca="1" si="148"/>
        <v>0</v>
      </c>
      <c r="D734" s="11">
        <f t="shared" ca="1" si="156"/>
        <v>0.43620936169813318</v>
      </c>
      <c r="E734" s="9">
        <f t="shared" ca="1" si="157"/>
        <v>391</v>
      </c>
      <c r="F734" s="9">
        <f t="shared" ca="1" si="149"/>
        <v>1978</v>
      </c>
      <c r="G734" s="12" t="str">
        <f t="shared" ca="1" si="150"/>
        <v>No</v>
      </c>
      <c r="H734" s="12">
        <f t="shared" ca="1" si="158"/>
        <v>0</v>
      </c>
      <c r="I734" s="10">
        <f t="shared" ca="1" si="151"/>
        <v>0</v>
      </c>
      <c r="J734" s="13">
        <f t="shared" ca="1" si="152"/>
        <v>0</v>
      </c>
      <c r="K734" s="14">
        <f t="shared" ca="1" si="153"/>
        <v>395.6</v>
      </c>
      <c r="L734" s="14">
        <f t="shared" ca="1" si="154"/>
        <v>0</v>
      </c>
      <c r="M734" s="15">
        <f t="shared" ca="1" si="155"/>
        <v>395.6</v>
      </c>
      <c r="N734" s="16">
        <f ca="1">SUM($M$9:M734)/A734</f>
        <v>337.44628099173525</v>
      </c>
      <c r="O734" s="6"/>
    </row>
    <row r="735" spans="1:15" x14ac:dyDescent="0.25">
      <c r="A735" s="8">
        <v>727</v>
      </c>
      <c r="B735" s="9">
        <f t="shared" ca="1" si="147"/>
        <v>1978</v>
      </c>
      <c r="C735" s="10">
        <f t="shared" ca="1" si="148"/>
        <v>0</v>
      </c>
      <c r="D735" s="11">
        <f t="shared" ca="1" si="156"/>
        <v>0.45389576520048802</v>
      </c>
      <c r="E735" s="9">
        <f t="shared" ca="1" si="157"/>
        <v>394</v>
      </c>
      <c r="F735" s="9">
        <f t="shared" ca="1" si="149"/>
        <v>1584</v>
      </c>
      <c r="G735" s="12" t="str">
        <f t="shared" ca="1" si="150"/>
        <v>No</v>
      </c>
      <c r="H735" s="12">
        <f t="shared" ca="1" si="158"/>
        <v>0</v>
      </c>
      <c r="I735" s="10">
        <f t="shared" ca="1" si="151"/>
        <v>0</v>
      </c>
      <c r="J735" s="13">
        <f t="shared" ca="1" si="152"/>
        <v>0</v>
      </c>
      <c r="K735" s="14">
        <f t="shared" ca="1" si="153"/>
        <v>316.8</v>
      </c>
      <c r="L735" s="14">
        <f t="shared" ca="1" si="154"/>
        <v>0</v>
      </c>
      <c r="M735" s="15">
        <f t="shared" ca="1" si="155"/>
        <v>316.8</v>
      </c>
      <c r="N735" s="16">
        <f ca="1">SUM($M$9:M735)/A735</f>
        <v>337.41788170563933</v>
      </c>
      <c r="O735" s="6"/>
    </row>
    <row r="736" spans="1:15" x14ac:dyDescent="0.25">
      <c r="A736" s="8">
        <v>728</v>
      </c>
      <c r="B736" s="9">
        <f t="shared" ca="1" si="147"/>
        <v>1584</v>
      </c>
      <c r="C736" s="10">
        <f t="shared" ca="1" si="148"/>
        <v>0</v>
      </c>
      <c r="D736" s="11">
        <f t="shared" ca="1" si="156"/>
        <v>0.71575212126551591</v>
      </c>
      <c r="E736" s="9">
        <f t="shared" ca="1" si="157"/>
        <v>428</v>
      </c>
      <c r="F736" s="9">
        <f t="shared" ca="1" si="149"/>
        <v>1156</v>
      </c>
      <c r="G736" s="12" t="str">
        <f t="shared" ca="1" si="150"/>
        <v>No</v>
      </c>
      <c r="H736" s="12">
        <f t="shared" ca="1" si="158"/>
        <v>0</v>
      </c>
      <c r="I736" s="10">
        <f t="shared" ca="1" si="151"/>
        <v>0</v>
      </c>
      <c r="J736" s="13">
        <f t="shared" ca="1" si="152"/>
        <v>0</v>
      </c>
      <c r="K736" s="14">
        <f t="shared" ca="1" si="153"/>
        <v>231.20000000000002</v>
      </c>
      <c r="L736" s="14">
        <f t="shared" ca="1" si="154"/>
        <v>0</v>
      </c>
      <c r="M736" s="15">
        <f t="shared" ca="1" si="155"/>
        <v>231.20000000000002</v>
      </c>
      <c r="N736" s="16">
        <f ca="1">SUM($M$9:M736)/A736</f>
        <v>337.27197802197776</v>
      </c>
      <c r="O736" s="6"/>
    </row>
    <row r="737" spans="1:15" x14ac:dyDescent="0.25">
      <c r="A737" s="8">
        <v>729</v>
      </c>
      <c r="B737" s="9">
        <f t="shared" ca="1" si="147"/>
        <v>1156</v>
      </c>
      <c r="C737" s="10">
        <f t="shared" ca="1" si="148"/>
        <v>0</v>
      </c>
      <c r="D737" s="11">
        <f t="shared" ca="1" si="156"/>
        <v>0.54232107371052929</v>
      </c>
      <c r="E737" s="9">
        <f t="shared" ca="1" si="157"/>
        <v>405</v>
      </c>
      <c r="F737" s="9">
        <f t="shared" ca="1" si="149"/>
        <v>751</v>
      </c>
      <c r="G737" s="12" t="str">
        <f t="shared" ca="1" si="150"/>
        <v>Yes</v>
      </c>
      <c r="H737" s="12">
        <f t="shared" ca="1" si="158"/>
        <v>0.48238435014659331</v>
      </c>
      <c r="I737" s="10">
        <f t="shared" ca="1" si="151"/>
        <v>1</v>
      </c>
      <c r="J737" s="13">
        <f t="shared" ca="1" si="152"/>
        <v>300</v>
      </c>
      <c r="K737" s="14">
        <f t="shared" ca="1" si="153"/>
        <v>150.20000000000002</v>
      </c>
      <c r="L737" s="14">
        <f t="shared" ca="1" si="154"/>
        <v>0</v>
      </c>
      <c r="M737" s="15">
        <f t="shared" ca="1" si="155"/>
        <v>450.20000000000005</v>
      </c>
      <c r="N737" s="16">
        <f ca="1">SUM($M$9:M737)/A737</f>
        <v>337.42688614540441</v>
      </c>
      <c r="O737" s="6"/>
    </row>
    <row r="738" spans="1:15" x14ac:dyDescent="0.25">
      <c r="A738" s="8">
        <v>730</v>
      </c>
      <c r="B738" s="9">
        <f t="shared" ca="1" si="147"/>
        <v>2551</v>
      </c>
      <c r="C738" s="10">
        <f t="shared" ca="1" si="148"/>
        <v>1800</v>
      </c>
      <c r="D738" s="11">
        <f t="shared" ca="1" si="156"/>
        <v>2.6686086122681307E-2</v>
      </c>
      <c r="E738" s="9">
        <f t="shared" ca="1" si="157"/>
        <v>303</v>
      </c>
      <c r="F738" s="9">
        <f t="shared" ca="1" si="149"/>
        <v>2248</v>
      </c>
      <c r="G738" s="12" t="str">
        <f t="shared" ca="1" si="150"/>
        <v>No</v>
      </c>
      <c r="H738" s="12">
        <f t="shared" ca="1" si="158"/>
        <v>0</v>
      </c>
      <c r="I738" s="10">
        <f t="shared" ca="1" si="151"/>
        <v>0</v>
      </c>
      <c r="J738" s="13">
        <f t="shared" ca="1" si="152"/>
        <v>0</v>
      </c>
      <c r="K738" s="14">
        <f t="shared" ca="1" si="153"/>
        <v>449.6</v>
      </c>
      <c r="L738" s="14">
        <f t="shared" ca="1" si="154"/>
        <v>0</v>
      </c>
      <c r="M738" s="15">
        <f t="shared" ca="1" si="155"/>
        <v>449.6</v>
      </c>
      <c r="N738" s="16">
        <f ca="1">SUM($M$9:M738)/A738</f>
        <v>337.58054794520524</v>
      </c>
      <c r="O738" s="6"/>
    </row>
    <row r="739" spans="1:15" x14ac:dyDescent="0.25">
      <c r="A739" s="8">
        <v>731</v>
      </c>
      <c r="B739" s="9">
        <f t="shared" ca="1" si="147"/>
        <v>2248</v>
      </c>
      <c r="C739" s="10">
        <f t="shared" ca="1" si="148"/>
        <v>0</v>
      </c>
      <c r="D739" s="11">
        <f t="shared" ca="1" si="156"/>
        <v>8.0442214649320332E-2</v>
      </c>
      <c r="E739" s="9">
        <f t="shared" ca="1" si="157"/>
        <v>329</v>
      </c>
      <c r="F739" s="9">
        <f t="shared" ca="1" si="149"/>
        <v>1919</v>
      </c>
      <c r="G739" s="12" t="str">
        <f t="shared" ca="1" si="150"/>
        <v>No</v>
      </c>
      <c r="H739" s="12">
        <f t="shared" ca="1" si="158"/>
        <v>0</v>
      </c>
      <c r="I739" s="10">
        <f t="shared" ca="1" si="151"/>
        <v>0</v>
      </c>
      <c r="J739" s="13">
        <f t="shared" ca="1" si="152"/>
        <v>0</v>
      </c>
      <c r="K739" s="14">
        <f t="shared" ca="1" si="153"/>
        <v>383.8</v>
      </c>
      <c r="L739" s="14">
        <f t="shared" ca="1" si="154"/>
        <v>0</v>
      </c>
      <c r="M739" s="15">
        <f t="shared" ca="1" si="155"/>
        <v>383.8</v>
      </c>
      <c r="N739" s="16">
        <f ca="1">SUM($M$9:M739)/A739</f>
        <v>337.64377564979452</v>
      </c>
      <c r="O739" s="6"/>
    </row>
    <row r="740" spans="1:15" x14ac:dyDescent="0.25">
      <c r="A740" s="8">
        <v>732</v>
      </c>
      <c r="B740" s="9">
        <f t="shared" ca="1" si="147"/>
        <v>1919</v>
      </c>
      <c r="C740" s="10">
        <f t="shared" ca="1" si="148"/>
        <v>0</v>
      </c>
      <c r="D740" s="11">
        <f t="shared" ca="1" si="156"/>
        <v>0.39448034819736988</v>
      </c>
      <c r="E740" s="9">
        <f t="shared" ca="1" si="157"/>
        <v>386</v>
      </c>
      <c r="F740" s="9">
        <f t="shared" ca="1" si="149"/>
        <v>1533</v>
      </c>
      <c r="G740" s="12" t="str">
        <f t="shared" ca="1" si="150"/>
        <v>No</v>
      </c>
      <c r="H740" s="12">
        <f t="shared" ca="1" si="158"/>
        <v>0</v>
      </c>
      <c r="I740" s="10">
        <f t="shared" ca="1" si="151"/>
        <v>0</v>
      </c>
      <c r="J740" s="13">
        <f t="shared" ca="1" si="152"/>
        <v>0</v>
      </c>
      <c r="K740" s="14">
        <f t="shared" ca="1" si="153"/>
        <v>306.60000000000002</v>
      </c>
      <c r="L740" s="14">
        <f t="shared" ca="1" si="154"/>
        <v>0</v>
      </c>
      <c r="M740" s="15">
        <f t="shared" ca="1" si="155"/>
        <v>306.60000000000002</v>
      </c>
      <c r="N740" s="16">
        <f ca="1">SUM($M$9:M740)/A740</f>
        <v>337.6013661202183</v>
      </c>
      <c r="O740" s="6"/>
    </row>
    <row r="741" spans="1:15" x14ac:dyDescent="0.25">
      <c r="A741" s="8">
        <v>733</v>
      </c>
      <c r="B741" s="9">
        <f t="shared" ca="1" si="147"/>
        <v>1533</v>
      </c>
      <c r="C741" s="10">
        <f t="shared" ca="1" si="148"/>
        <v>0</v>
      </c>
      <c r="D741" s="11">
        <f t="shared" ca="1" si="156"/>
        <v>0.36543938024088385</v>
      </c>
      <c r="E741" s="9">
        <f t="shared" ca="1" si="157"/>
        <v>382</v>
      </c>
      <c r="F741" s="9">
        <f t="shared" ca="1" si="149"/>
        <v>1151</v>
      </c>
      <c r="G741" s="12" t="str">
        <f t="shared" ca="1" si="150"/>
        <v>No</v>
      </c>
      <c r="H741" s="12">
        <f t="shared" ca="1" si="158"/>
        <v>0</v>
      </c>
      <c r="I741" s="10">
        <f t="shared" ca="1" si="151"/>
        <v>0</v>
      </c>
      <c r="J741" s="13">
        <f t="shared" ca="1" si="152"/>
        <v>0</v>
      </c>
      <c r="K741" s="14">
        <f t="shared" ca="1" si="153"/>
        <v>230.20000000000002</v>
      </c>
      <c r="L741" s="14">
        <f t="shared" ca="1" si="154"/>
        <v>0</v>
      </c>
      <c r="M741" s="15">
        <f t="shared" ca="1" si="155"/>
        <v>230.20000000000002</v>
      </c>
      <c r="N741" s="16">
        <f ca="1">SUM($M$9:M741)/A741</f>
        <v>337.45484311050456</v>
      </c>
      <c r="O741" s="6"/>
    </row>
    <row r="742" spans="1:15" x14ac:dyDescent="0.25">
      <c r="A742" s="8">
        <v>734</v>
      </c>
      <c r="B742" s="9">
        <f t="shared" ca="1" si="147"/>
        <v>1151</v>
      </c>
      <c r="C742" s="10">
        <f t="shared" ca="1" si="148"/>
        <v>0</v>
      </c>
      <c r="D742" s="11">
        <f t="shared" ca="1" si="156"/>
        <v>0.29349638927975652</v>
      </c>
      <c r="E742" s="9">
        <f t="shared" ca="1" si="157"/>
        <v>372</v>
      </c>
      <c r="F742" s="9">
        <f t="shared" ca="1" si="149"/>
        <v>779</v>
      </c>
      <c r="G742" s="12" t="str">
        <f t="shared" ca="1" si="150"/>
        <v>Yes</v>
      </c>
      <c r="H742" s="12">
        <f t="shared" ca="1" si="158"/>
        <v>0.81888902679408682</v>
      </c>
      <c r="I742" s="10">
        <f t="shared" ca="1" si="151"/>
        <v>2</v>
      </c>
      <c r="J742" s="13">
        <f t="shared" ca="1" si="152"/>
        <v>300</v>
      </c>
      <c r="K742" s="14">
        <f t="shared" ca="1" si="153"/>
        <v>155.80000000000001</v>
      </c>
      <c r="L742" s="14">
        <f t="shared" ca="1" si="154"/>
        <v>0</v>
      </c>
      <c r="M742" s="15">
        <f t="shared" ca="1" si="155"/>
        <v>455.8</v>
      </c>
      <c r="N742" s="16">
        <f ca="1">SUM($M$9:M742)/A742</f>
        <v>337.61607629427766</v>
      </c>
      <c r="O742" s="6"/>
    </row>
    <row r="743" spans="1:15" x14ac:dyDescent="0.25">
      <c r="A743" s="8">
        <v>735</v>
      </c>
      <c r="B743" s="9">
        <f t="shared" ca="1" si="147"/>
        <v>779</v>
      </c>
      <c r="C743" s="10">
        <f t="shared" ca="1" si="148"/>
        <v>0</v>
      </c>
      <c r="D743" s="11">
        <f t="shared" ca="1" si="156"/>
        <v>0.93191415220943385</v>
      </c>
      <c r="E743" s="9">
        <f t="shared" ca="1" si="157"/>
        <v>474</v>
      </c>
      <c r="F743" s="9">
        <f t="shared" ca="1" si="149"/>
        <v>305</v>
      </c>
      <c r="G743" s="12" t="str">
        <f t="shared" ca="1" si="150"/>
        <v>No</v>
      </c>
      <c r="H743" s="12">
        <f t="shared" ca="1" si="158"/>
        <v>0</v>
      </c>
      <c r="I743" s="10">
        <f t="shared" ca="1" si="151"/>
        <v>1</v>
      </c>
      <c r="J743" s="13">
        <f t="shared" ca="1" si="152"/>
        <v>0</v>
      </c>
      <c r="K743" s="14">
        <f t="shared" ca="1" si="153"/>
        <v>61</v>
      </c>
      <c r="L743" s="14">
        <f t="shared" ca="1" si="154"/>
        <v>0</v>
      </c>
      <c r="M743" s="15">
        <f t="shared" ca="1" si="155"/>
        <v>61</v>
      </c>
      <c r="N743" s="16">
        <f ca="1">SUM($M$9:M743)/A743</f>
        <v>337.23972789115618</v>
      </c>
      <c r="O743" s="6"/>
    </row>
    <row r="744" spans="1:15" x14ac:dyDescent="0.25">
      <c r="A744" s="8">
        <v>736</v>
      </c>
      <c r="B744" s="9">
        <f t="shared" ca="1" si="147"/>
        <v>2105</v>
      </c>
      <c r="C744" s="10">
        <f t="shared" ca="1" si="148"/>
        <v>1800</v>
      </c>
      <c r="D744" s="11">
        <f t="shared" ca="1" si="156"/>
        <v>0.37937150770541495</v>
      </c>
      <c r="E744" s="9">
        <f t="shared" ca="1" si="157"/>
        <v>384</v>
      </c>
      <c r="F744" s="9">
        <f t="shared" ca="1" si="149"/>
        <v>1721</v>
      </c>
      <c r="G744" s="12" t="str">
        <f t="shared" ca="1" si="150"/>
        <v>No</v>
      </c>
      <c r="H744" s="12">
        <f t="shared" ca="1" si="158"/>
        <v>0</v>
      </c>
      <c r="I744" s="10">
        <f t="shared" ca="1" si="151"/>
        <v>0</v>
      </c>
      <c r="J744" s="13">
        <f t="shared" ca="1" si="152"/>
        <v>0</v>
      </c>
      <c r="K744" s="14">
        <f t="shared" ca="1" si="153"/>
        <v>344.20000000000005</v>
      </c>
      <c r="L744" s="14">
        <f t="shared" ca="1" si="154"/>
        <v>0</v>
      </c>
      <c r="M744" s="15">
        <f t="shared" ca="1" si="155"/>
        <v>344.20000000000005</v>
      </c>
      <c r="N744" s="16">
        <f ca="1">SUM($M$9:M744)/A744</f>
        <v>337.24918478260844</v>
      </c>
      <c r="O744" s="6"/>
    </row>
    <row r="745" spans="1:15" x14ac:dyDescent="0.25">
      <c r="A745" s="8">
        <v>737</v>
      </c>
      <c r="B745" s="9">
        <f t="shared" ca="1" si="147"/>
        <v>1721</v>
      </c>
      <c r="C745" s="10">
        <f t="shared" ca="1" si="148"/>
        <v>0</v>
      </c>
      <c r="D745" s="11">
        <f t="shared" ca="1" si="156"/>
        <v>0.91987089803980093</v>
      </c>
      <c r="E745" s="9">
        <f t="shared" ca="1" si="157"/>
        <v>470</v>
      </c>
      <c r="F745" s="9">
        <f t="shared" ca="1" si="149"/>
        <v>1251</v>
      </c>
      <c r="G745" s="12" t="str">
        <f t="shared" ca="1" si="150"/>
        <v>No</v>
      </c>
      <c r="H745" s="12">
        <f t="shared" ca="1" si="158"/>
        <v>0</v>
      </c>
      <c r="I745" s="10">
        <f t="shared" ca="1" si="151"/>
        <v>0</v>
      </c>
      <c r="J745" s="13">
        <f t="shared" ca="1" si="152"/>
        <v>0</v>
      </c>
      <c r="K745" s="14">
        <f t="shared" ca="1" si="153"/>
        <v>250.20000000000002</v>
      </c>
      <c r="L745" s="14">
        <f t="shared" ca="1" si="154"/>
        <v>0</v>
      </c>
      <c r="M745" s="15">
        <f t="shared" ca="1" si="155"/>
        <v>250.20000000000002</v>
      </c>
      <c r="N745" s="16">
        <f ca="1">SUM($M$9:M745)/A745</f>
        <v>337.13107191316124</v>
      </c>
      <c r="O745" s="6"/>
    </row>
    <row r="746" spans="1:15" x14ac:dyDescent="0.25">
      <c r="A746" s="8">
        <v>738</v>
      </c>
      <c r="B746" s="9">
        <f t="shared" ca="1" si="147"/>
        <v>1251</v>
      </c>
      <c r="C746" s="10">
        <f t="shared" ca="1" si="148"/>
        <v>0</v>
      </c>
      <c r="D746" s="11">
        <f t="shared" ca="1" si="156"/>
        <v>0.38441772254002426</v>
      </c>
      <c r="E746" s="9">
        <f t="shared" ca="1" si="157"/>
        <v>385</v>
      </c>
      <c r="F746" s="9">
        <f t="shared" ca="1" si="149"/>
        <v>866</v>
      </c>
      <c r="G746" s="12" t="str">
        <f t="shared" ca="1" si="150"/>
        <v>Yes</v>
      </c>
      <c r="H746" s="12">
        <f t="shared" ca="1" si="158"/>
        <v>0.33900714224991868</v>
      </c>
      <c r="I746" s="10">
        <f t="shared" ca="1" si="151"/>
        <v>1</v>
      </c>
      <c r="J746" s="13">
        <f t="shared" ca="1" si="152"/>
        <v>300</v>
      </c>
      <c r="K746" s="14">
        <f t="shared" ca="1" si="153"/>
        <v>173.20000000000002</v>
      </c>
      <c r="L746" s="14">
        <f t="shared" ca="1" si="154"/>
        <v>0</v>
      </c>
      <c r="M746" s="15">
        <f t="shared" ca="1" si="155"/>
        <v>473.20000000000005</v>
      </c>
      <c r="N746" s="16">
        <f ca="1">SUM($M$9:M746)/A746</f>
        <v>337.31544715447131</v>
      </c>
      <c r="O746" s="6"/>
    </row>
    <row r="747" spans="1:15" x14ac:dyDescent="0.25">
      <c r="A747" s="8">
        <v>739</v>
      </c>
      <c r="B747" s="9">
        <f t="shared" ca="1" si="147"/>
        <v>2666</v>
      </c>
      <c r="C747" s="10">
        <f t="shared" ca="1" si="148"/>
        <v>1800</v>
      </c>
      <c r="D747" s="11">
        <f t="shared" ca="1" si="156"/>
        <v>0.33760866250077215</v>
      </c>
      <c r="E747" s="9">
        <f t="shared" ca="1" si="157"/>
        <v>379</v>
      </c>
      <c r="F747" s="9">
        <f t="shared" ca="1" si="149"/>
        <v>2287</v>
      </c>
      <c r="G747" s="12" t="str">
        <f t="shared" ca="1" si="150"/>
        <v>No</v>
      </c>
      <c r="H747" s="12">
        <f t="shared" ca="1" si="158"/>
        <v>0</v>
      </c>
      <c r="I747" s="10">
        <f t="shared" ca="1" si="151"/>
        <v>0</v>
      </c>
      <c r="J747" s="13">
        <f t="shared" ca="1" si="152"/>
        <v>0</v>
      </c>
      <c r="K747" s="14">
        <f t="shared" ca="1" si="153"/>
        <v>457.40000000000003</v>
      </c>
      <c r="L747" s="14">
        <f t="shared" ca="1" si="154"/>
        <v>0</v>
      </c>
      <c r="M747" s="15">
        <f t="shared" ca="1" si="155"/>
        <v>457.40000000000003</v>
      </c>
      <c r="N747" s="16">
        <f ca="1">SUM($M$9:M747)/A747</f>
        <v>337.47794316644092</v>
      </c>
      <c r="O747" s="6"/>
    </row>
    <row r="748" spans="1:15" x14ac:dyDescent="0.25">
      <c r="A748" s="8">
        <v>740</v>
      </c>
      <c r="B748" s="9">
        <f t="shared" ca="1" si="147"/>
        <v>2287</v>
      </c>
      <c r="C748" s="10">
        <f t="shared" ca="1" si="148"/>
        <v>0</v>
      </c>
      <c r="D748" s="11">
        <f t="shared" ca="1" si="156"/>
        <v>0.23686694497905836</v>
      </c>
      <c r="E748" s="9">
        <f t="shared" ca="1" si="157"/>
        <v>364</v>
      </c>
      <c r="F748" s="9">
        <f t="shared" ca="1" si="149"/>
        <v>1923</v>
      </c>
      <c r="G748" s="12" t="str">
        <f t="shared" ca="1" si="150"/>
        <v>No</v>
      </c>
      <c r="H748" s="12">
        <f t="shared" ca="1" si="158"/>
        <v>0</v>
      </c>
      <c r="I748" s="10">
        <f t="shared" ca="1" si="151"/>
        <v>0</v>
      </c>
      <c r="J748" s="13">
        <f t="shared" ca="1" si="152"/>
        <v>0</v>
      </c>
      <c r="K748" s="14">
        <f t="shared" ca="1" si="153"/>
        <v>384.6</v>
      </c>
      <c r="L748" s="14">
        <f t="shared" ca="1" si="154"/>
        <v>0</v>
      </c>
      <c r="M748" s="15">
        <f t="shared" ca="1" si="155"/>
        <v>384.6</v>
      </c>
      <c r="N748" s="16">
        <f ca="1">SUM($M$9:M748)/A748</f>
        <v>337.5416216216214</v>
      </c>
      <c r="O748" s="6"/>
    </row>
    <row r="749" spans="1:15" x14ac:dyDescent="0.25">
      <c r="A749" s="8">
        <v>741</v>
      </c>
      <c r="B749" s="9">
        <f t="shared" ca="1" si="147"/>
        <v>1923</v>
      </c>
      <c r="C749" s="10">
        <f t="shared" ca="1" si="148"/>
        <v>0</v>
      </c>
      <c r="D749" s="11">
        <f t="shared" ca="1" si="156"/>
        <v>0.84682935172533169</v>
      </c>
      <c r="E749" s="9">
        <f t="shared" ca="1" si="157"/>
        <v>451</v>
      </c>
      <c r="F749" s="9">
        <f t="shared" ca="1" si="149"/>
        <v>1472</v>
      </c>
      <c r="G749" s="12" t="str">
        <f t="shared" ca="1" si="150"/>
        <v>No</v>
      </c>
      <c r="H749" s="12">
        <f t="shared" ca="1" si="158"/>
        <v>0</v>
      </c>
      <c r="I749" s="10">
        <f t="shared" ca="1" si="151"/>
        <v>0</v>
      </c>
      <c r="J749" s="13">
        <f t="shared" ca="1" si="152"/>
        <v>0</v>
      </c>
      <c r="K749" s="14">
        <f t="shared" ca="1" si="153"/>
        <v>294.40000000000003</v>
      </c>
      <c r="L749" s="14">
        <f t="shared" ca="1" si="154"/>
        <v>0</v>
      </c>
      <c r="M749" s="15">
        <f t="shared" ca="1" si="155"/>
        <v>294.40000000000003</v>
      </c>
      <c r="N749" s="16">
        <f ca="1">SUM($M$9:M749)/A749</f>
        <v>337.48340080971639</v>
      </c>
      <c r="O749" s="6"/>
    </row>
    <row r="750" spans="1:15" x14ac:dyDescent="0.25">
      <c r="A750" s="8">
        <v>742</v>
      </c>
      <c r="B750" s="9">
        <f t="shared" ca="1" si="147"/>
        <v>1472</v>
      </c>
      <c r="C750" s="10">
        <f t="shared" ca="1" si="148"/>
        <v>0</v>
      </c>
      <c r="D750" s="11">
        <f t="shared" ca="1" si="156"/>
        <v>0.90631780009348251</v>
      </c>
      <c r="E750" s="9">
        <f t="shared" ca="1" si="157"/>
        <v>465</v>
      </c>
      <c r="F750" s="9">
        <f t="shared" ca="1" si="149"/>
        <v>1007</v>
      </c>
      <c r="G750" s="12" t="str">
        <f t="shared" ca="1" si="150"/>
        <v>No</v>
      </c>
      <c r="H750" s="12">
        <f t="shared" ca="1" si="158"/>
        <v>0</v>
      </c>
      <c r="I750" s="10">
        <f t="shared" ca="1" si="151"/>
        <v>0</v>
      </c>
      <c r="J750" s="13">
        <f t="shared" ca="1" si="152"/>
        <v>0</v>
      </c>
      <c r="K750" s="14">
        <f t="shared" ca="1" si="153"/>
        <v>201.4</v>
      </c>
      <c r="L750" s="14">
        <f t="shared" ca="1" si="154"/>
        <v>0</v>
      </c>
      <c r="M750" s="15">
        <f t="shared" ca="1" si="155"/>
        <v>201.4</v>
      </c>
      <c r="N750" s="16">
        <f ca="1">SUM($M$9:M750)/A750</f>
        <v>337.29999999999978</v>
      </c>
      <c r="O750" s="6"/>
    </row>
    <row r="751" spans="1:15" x14ac:dyDescent="0.25">
      <c r="A751" s="8">
        <v>743</v>
      </c>
      <c r="B751" s="9">
        <f t="shared" ca="1" si="147"/>
        <v>1007</v>
      </c>
      <c r="C751" s="10">
        <f t="shared" ca="1" si="148"/>
        <v>0</v>
      </c>
      <c r="D751" s="11">
        <f t="shared" ca="1" si="156"/>
        <v>0.73180166709834216</v>
      </c>
      <c r="E751" s="9">
        <f t="shared" ca="1" si="157"/>
        <v>430</v>
      </c>
      <c r="F751" s="9">
        <f t="shared" ca="1" si="149"/>
        <v>577</v>
      </c>
      <c r="G751" s="12" t="str">
        <f t="shared" ca="1" si="150"/>
        <v>Yes</v>
      </c>
      <c r="H751" s="12">
        <f t="shared" ca="1" si="158"/>
        <v>0.6271784346604008</v>
      </c>
      <c r="I751" s="10">
        <f t="shared" ca="1" si="151"/>
        <v>1</v>
      </c>
      <c r="J751" s="13">
        <f t="shared" ca="1" si="152"/>
        <v>300</v>
      </c>
      <c r="K751" s="14">
        <f t="shared" ca="1" si="153"/>
        <v>115.4</v>
      </c>
      <c r="L751" s="14">
        <f t="shared" ca="1" si="154"/>
        <v>0</v>
      </c>
      <c r="M751" s="15">
        <f t="shared" ca="1" si="155"/>
        <v>415.4</v>
      </c>
      <c r="N751" s="16">
        <f ca="1">SUM($M$9:M751)/A751</f>
        <v>337.4051144010765</v>
      </c>
      <c r="O751" s="6"/>
    </row>
    <row r="752" spans="1:15" x14ac:dyDescent="0.25">
      <c r="A752" s="8">
        <v>744</v>
      </c>
      <c r="B752" s="9">
        <f t="shared" ca="1" si="147"/>
        <v>2377</v>
      </c>
      <c r="C752" s="10">
        <f t="shared" ca="1" si="148"/>
        <v>1800</v>
      </c>
      <c r="D752" s="11">
        <f t="shared" ca="1" si="156"/>
        <v>0.86024916807535212</v>
      </c>
      <c r="E752" s="9">
        <f t="shared" ca="1" si="157"/>
        <v>454</v>
      </c>
      <c r="F752" s="9">
        <f t="shared" ca="1" si="149"/>
        <v>1923</v>
      </c>
      <c r="G752" s="12" t="str">
        <f t="shared" ca="1" si="150"/>
        <v>No</v>
      </c>
      <c r="H752" s="12">
        <f t="shared" ca="1" si="158"/>
        <v>0</v>
      </c>
      <c r="I752" s="10">
        <f t="shared" ca="1" si="151"/>
        <v>0</v>
      </c>
      <c r="J752" s="13">
        <f t="shared" ca="1" si="152"/>
        <v>0</v>
      </c>
      <c r="K752" s="14">
        <f t="shared" ca="1" si="153"/>
        <v>384.6</v>
      </c>
      <c r="L752" s="14">
        <f t="shared" ca="1" si="154"/>
        <v>0</v>
      </c>
      <c r="M752" s="15">
        <f t="shared" ca="1" si="155"/>
        <v>384.6</v>
      </c>
      <c r="N752" s="16">
        <f ca="1">SUM($M$9:M752)/A752</f>
        <v>337.46854838709658</v>
      </c>
      <c r="O752" s="6"/>
    </row>
    <row r="753" spans="1:15" x14ac:dyDescent="0.25">
      <c r="A753" s="8">
        <v>745</v>
      </c>
      <c r="B753" s="9">
        <f t="shared" ca="1" si="147"/>
        <v>1923</v>
      </c>
      <c r="C753" s="10">
        <f t="shared" ca="1" si="148"/>
        <v>0</v>
      </c>
      <c r="D753" s="11">
        <f t="shared" ca="1" si="156"/>
        <v>0.44005023814335853</v>
      </c>
      <c r="E753" s="9">
        <f t="shared" ca="1" si="157"/>
        <v>392</v>
      </c>
      <c r="F753" s="9">
        <f t="shared" ca="1" si="149"/>
        <v>1531</v>
      </c>
      <c r="G753" s="12" t="str">
        <f t="shared" ca="1" si="150"/>
        <v>No</v>
      </c>
      <c r="H753" s="12">
        <f t="shared" ca="1" si="158"/>
        <v>0</v>
      </c>
      <c r="I753" s="10">
        <f t="shared" ca="1" si="151"/>
        <v>0</v>
      </c>
      <c r="J753" s="13">
        <f t="shared" ca="1" si="152"/>
        <v>0</v>
      </c>
      <c r="K753" s="14">
        <f t="shared" ca="1" si="153"/>
        <v>306.2</v>
      </c>
      <c r="L753" s="14">
        <f t="shared" ca="1" si="154"/>
        <v>0</v>
      </c>
      <c r="M753" s="15">
        <f t="shared" ca="1" si="155"/>
        <v>306.2</v>
      </c>
      <c r="N753" s="16">
        <f ca="1">SUM($M$9:M753)/A753</f>
        <v>337.42657718120785</v>
      </c>
      <c r="O753" s="6"/>
    </row>
    <row r="754" spans="1:15" x14ac:dyDescent="0.25">
      <c r="A754" s="8">
        <v>746</v>
      </c>
      <c r="B754" s="9">
        <f t="shared" ca="1" si="147"/>
        <v>1531</v>
      </c>
      <c r="C754" s="10">
        <f t="shared" ca="1" si="148"/>
        <v>0</v>
      </c>
      <c r="D754" s="11">
        <f t="shared" ca="1" si="156"/>
        <v>0.18899432902838875</v>
      </c>
      <c r="E754" s="9">
        <f t="shared" ca="1" si="157"/>
        <v>355</v>
      </c>
      <c r="F754" s="9">
        <f t="shared" ca="1" si="149"/>
        <v>1176</v>
      </c>
      <c r="G754" s="12" t="str">
        <f t="shared" ca="1" si="150"/>
        <v>No</v>
      </c>
      <c r="H754" s="12">
        <f t="shared" ca="1" si="158"/>
        <v>0</v>
      </c>
      <c r="I754" s="10">
        <f t="shared" ca="1" si="151"/>
        <v>0</v>
      </c>
      <c r="J754" s="13">
        <f t="shared" ca="1" si="152"/>
        <v>0</v>
      </c>
      <c r="K754" s="14">
        <f t="shared" ca="1" si="153"/>
        <v>235.20000000000002</v>
      </c>
      <c r="L754" s="14">
        <f t="shared" ca="1" si="154"/>
        <v>0</v>
      </c>
      <c r="M754" s="15">
        <f t="shared" ca="1" si="155"/>
        <v>235.20000000000002</v>
      </c>
      <c r="N754" s="16">
        <f ca="1">SUM($M$9:M754)/A754</f>
        <v>337.28954423592472</v>
      </c>
      <c r="O754" s="6"/>
    </row>
    <row r="755" spans="1:15" x14ac:dyDescent="0.25">
      <c r="A755" s="8">
        <v>747</v>
      </c>
      <c r="B755" s="9">
        <f t="shared" ca="1" si="147"/>
        <v>1176</v>
      </c>
      <c r="C755" s="10">
        <f t="shared" ca="1" si="148"/>
        <v>0</v>
      </c>
      <c r="D755" s="11">
        <f t="shared" ca="1" si="156"/>
        <v>0.34770160795948912</v>
      </c>
      <c r="E755" s="9">
        <f t="shared" ca="1" si="157"/>
        <v>380</v>
      </c>
      <c r="F755" s="9">
        <f t="shared" ca="1" si="149"/>
        <v>796</v>
      </c>
      <c r="G755" s="12" t="str">
        <f t="shared" ca="1" si="150"/>
        <v>Yes</v>
      </c>
      <c r="H755" s="12">
        <f t="shared" ca="1" si="158"/>
        <v>0.22713786838379568</v>
      </c>
      <c r="I755" s="10">
        <f t="shared" ca="1" si="151"/>
        <v>1</v>
      </c>
      <c r="J755" s="13">
        <f t="shared" ca="1" si="152"/>
        <v>300</v>
      </c>
      <c r="K755" s="14">
        <f t="shared" ca="1" si="153"/>
        <v>159.20000000000002</v>
      </c>
      <c r="L755" s="14">
        <f t="shared" ca="1" si="154"/>
        <v>0</v>
      </c>
      <c r="M755" s="15">
        <f t="shared" ca="1" si="155"/>
        <v>459.20000000000005</v>
      </c>
      <c r="N755" s="16">
        <f ca="1">SUM($M$9:M755)/A755</f>
        <v>337.45274431057544</v>
      </c>
      <c r="O755" s="6"/>
    </row>
    <row r="756" spans="1:15" x14ac:dyDescent="0.25">
      <c r="A756" s="8">
        <v>748</v>
      </c>
      <c r="B756" s="9">
        <f t="shared" ca="1" si="147"/>
        <v>2596</v>
      </c>
      <c r="C756" s="10">
        <f t="shared" ca="1" si="148"/>
        <v>1800</v>
      </c>
      <c r="D756" s="11">
        <f t="shared" ca="1" si="156"/>
        <v>0.41562718216804251</v>
      </c>
      <c r="E756" s="9">
        <f t="shared" ca="1" si="157"/>
        <v>389</v>
      </c>
      <c r="F756" s="9">
        <f t="shared" ca="1" si="149"/>
        <v>2207</v>
      </c>
      <c r="G756" s="12" t="str">
        <f t="shared" ca="1" si="150"/>
        <v>No</v>
      </c>
      <c r="H756" s="12">
        <f t="shared" ca="1" si="158"/>
        <v>0</v>
      </c>
      <c r="I756" s="10">
        <f t="shared" ca="1" si="151"/>
        <v>0</v>
      </c>
      <c r="J756" s="13">
        <f t="shared" ca="1" si="152"/>
        <v>0</v>
      </c>
      <c r="K756" s="14">
        <f t="shared" ca="1" si="153"/>
        <v>441.40000000000003</v>
      </c>
      <c r="L756" s="14">
        <f t="shared" ca="1" si="154"/>
        <v>0</v>
      </c>
      <c r="M756" s="15">
        <f t="shared" ca="1" si="155"/>
        <v>441.40000000000003</v>
      </c>
      <c r="N756" s="16">
        <f ca="1">SUM($M$9:M756)/A756</f>
        <v>337.59171122994633</v>
      </c>
      <c r="O756" s="6"/>
    </row>
    <row r="757" spans="1:15" x14ac:dyDescent="0.25">
      <c r="A757" s="8">
        <v>749</v>
      </c>
      <c r="B757" s="9">
        <f t="shared" ca="1" si="147"/>
        <v>2207</v>
      </c>
      <c r="C757" s="10">
        <f t="shared" ca="1" si="148"/>
        <v>0</v>
      </c>
      <c r="D757" s="11">
        <f t="shared" ca="1" si="156"/>
        <v>0.36217278131374009</v>
      </c>
      <c r="E757" s="9">
        <f t="shared" ca="1" si="157"/>
        <v>382</v>
      </c>
      <c r="F757" s="9">
        <f t="shared" ca="1" si="149"/>
        <v>1825</v>
      </c>
      <c r="G757" s="12" t="str">
        <f t="shared" ca="1" si="150"/>
        <v>No</v>
      </c>
      <c r="H757" s="12">
        <f t="shared" ca="1" si="158"/>
        <v>0</v>
      </c>
      <c r="I757" s="10">
        <f t="shared" ca="1" si="151"/>
        <v>0</v>
      </c>
      <c r="J757" s="13">
        <f t="shared" ca="1" si="152"/>
        <v>0</v>
      </c>
      <c r="K757" s="14">
        <f t="shared" ca="1" si="153"/>
        <v>365</v>
      </c>
      <c r="L757" s="14">
        <f t="shared" ca="1" si="154"/>
        <v>0</v>
      </c>
      <c r="M757" s="15">
        <f t="shared" ca="1" si="155"/>
        <v>365</v>
      </c>
      <c r="N757" s="16">
        <f ca="1">SUM($M$9:M757)/A757</f>
        <v>337.6283044058743</v>
      </c>
      <c r="O757" s="6"/>
    </row>
    <row r="758" spans="1:15" x14ac:dyDescent="0.25">
      <c r="A758" s="8">
        <v>750</v>
      </c>
      <c r="B758" s="9">
        <f t="shared" ca="1" si="147"/>
        <v>1825</v>
      </c>
      <c r="C758" s="10">
        <f t="shared" ca="1" si="148"/>
        <v>0</v>
      </c>
      <c r="D758" s="11">
        <f t="shared" ca="1" si="156"/>
        <v>0.35605676189085811</v>
      </c>
      <c r="E758" s="9">
        <f t="shared" ca="1" si="157"/>
        <v>381</v>
      </c>
      <c r="F758" s="9">
        <f t="shared" ca="1" si="149"/>
        <v>1444</v>
      </c>
      <c r="G758" s="12" t="str">
        <f t="shared" ca="1" si="150"/>
        <v>No</v>
      </c>
      <c r="H758" s="12">
        <f t="shared" ca="1" si="158"/>
        <v>0</v>
      </c>
      <c r="I758" s="10">
        <f t="shared" ca="1" si="151"/>
        <v>0</v>
      </c>
      <c r="J758" s="13">
        <f t="shared" ca="1" si="152"/>
        <v>0</v>
      </c>
      <c r="K758" s="14">
        <f t="shared" ca="1" si="153"/>
        <v>288.8</v>
      </c>
      <c r="L758" s="14">
        <f t="shared" ca="1" si="154"/>
        <v>0</v>
      </c>
      <c r="M758" s="15">
        <f t="shared" ca="1" si="155"/>
        <v>288.8</v>
      </c>
      <c r="N758" s="16">
        <f ca="1">SUM($M$9:M758)/A758</f>
        <v>337.56319999999982</v>
      </c>
      <c r="O758" s="6"/>
    </row>
    <row r="759" spans="1:15" x14ac:dyDescent="0.25">
      <c r="A759" s="8">
        <v>751</v>
      </c>
      <c r="B759" s="9">
        <f t="shared" ca="1" si="147"/>
        <v>1444</v>
      </c>
      <c r="C759" s="10">
        <f t="shared" ca="1" si="148"/>
        <v>0</v>
      </c>
      <c r="D759" s="11">
        <f t="shared" ca="1" si="156"/>
        <v>0.36853052439073308</v>
      </c>
      <c r="E759" s="9">
        <f t="shared" ca="1" si="157"/>
        <v>383</v>
      </c>
      <c r="F759" s="9">
        <f t="shared" ca="1" si="149"/>
        <v>1061</v>
      </c>
      <c r="G759" s="12" t="str">
        <f t="shared" ca="1" si="150"/>
        <v>No</v>
      </c>
      <c r="H759" s="12">
        <f t="shared" ca="1" si="158"/>
        <v>0</v>
      </c>
      <c r="I759" s="10">
        <f t="shared" ca="1" si="151"/>
        <v>0</v>
      </c>
      <c r="J759" s="13">
        <f t="shared" ca="1" si="152"/>
        <v>0</v>
      </c>
      <c r="K759" s="14">
        <f t="shared" ca="1" si="153"/>
        <v>212.20000000000002</v>
      </c>
      <c r="L759" s="14">
        <f t="shared" ca="1" si="154"/>
        <v>0</v>
      </c>
      <c r="M759" s="15">
        <f t="shared" ca="1" si="155"/>
        <v>212.20000000000002</v>
      </c>
      <c r="N759" s="16">
        <f ca="1">SUM($M$9:M759)/A759</f>
        <v>337.39627163781608</v>
      </c>
      <c r="O759" s="6"/>
    </row>
    <row r="760" spans="1:15" x14ac:dyDescent="0.25">
      <c r="A760" s="8">
        <v>752</v>
      </c>
      <c r="B760" s="9">
        <f t="shared" ca="1" si="147"/>
        <v>1061</v>
      </c>
      <c r="C760" s="10">
        <f t="shared" ca="1" si="148"/>
        <v>0</v>
      </c>
      <c r="D760" s="11">
        <f t="shared" ca="1" si="156"/>
        <v>0.79615707104342526</v>
      </c>
      <c r="E760" s="9">
        <f t="shared" ca="1" si="157"/>
        <v>441</v>
      </c>
      <c r="F760" s="9">
        <f t="shared" ca="1" si="149"/>
        <v>620</v>
      </c>
      <c r="G760" s="12" t="str">
        <f t="shared" ca="1" si="150"/>
        <v>Yes</v>
      </c>
      <c r="H760" s="12">
        <f t="shared" ca="1" si="158"/>
        <v>0.13448299432844313</v>
      </c>
      <c r="I760" s="10">
        <f t="shared" ca="1" si="151"/>
        <v>1</v>
      </c>
      <c r="J760" s="13">
        <f t="shared" ca="1" si="152"/>
        <v>300</v>
      </c>
      <c r="K760" s="14">
        <f t="shared" ca="1" si="153"/>
        <v>124</v>
      </c>
      <c r="L760" s="14">
        <f t="shared" ca="1" si="154"/>
        <v>0</v>
      </c>
      <c r="M760" s="15">
        <f t="shared" ca="1" si="155"/>
        <v>424</v>
      </c>
      <c r="N760" s="16">
        <f ca="1">SUM($M$9:M760)/A760</f>
        <v>337.51143617021256</v>
      </c>
      <c r="O760" s="6"/>
    </row>
    <row r="761" spans="1:15" x14ac:dyDescent="0.25">
      <c r="A761" s="8">
        <v>753</v>
      </c>
      <c r="B761" s="9">
        <f t="shared" ca="1" si="147"/>
        <v>2420</v>
      </c>
      <c r="C761" s="10">
        <f t="shared" ca="1" si="148"/>
        <v>1800</v>
      </c>
      <c r="D761" s="11">
        <f t="shared" ca="1" si="156"/>
        <v>0.37150043432130375</v>
      </c>
      <c r="E761" s="9">
        <f t="shared" ca="1" si="157"/>
        <v>383</v>
      </c>
      <c r="F761" s="9">
        <f t="shared" ca="1" si="149"/>
        <v>2037</v>
      </c>
      <c r="G761" s="12" t="str">
        <f t="shared" ca="1" si="150"/>
        <v>No</v>
      </c>
      <c r="H761" s="12">
        <f t="shared" ca="1" si="158"/>
        <v>0</v>
      </c>
      <c r="I761" s="10">
        <f t="shared" ca="1" si="151"/>
        <v>0</v>
      </c>
      <c r="J761" s="13">
        <f t="shared" ca="1" si="152"/>
        <v>0</v>
      </c>
      <c r="K761" s="14">
        <f t="shared" ca="1" si="153"/>
        <v>407.40000000000003</v>
      </c>
      <c r="L761" s="14">
        <f t="shared" ca="1" si="154"/>
        <v>0</v>
      </c>
      <c r="M761" s="15">
        <f t="shared" ca="1" si="155"/>
        <v>407.40000000000003</v>
      </c>
      <c r="N761" s="16">
        <f ca="1">SUM($M$9:M761)/A761</f>
        <v>337.60424966799451</v>
      </c>
      <c r="O761" s="6"/>
    </row>
    <row r="762" spans="1:15" x14ac:dyDescent="0.25">
      <c r="A762" s="8">
        <v>754</v>
      </c>
      <c r="B762" s="9">
        <f t="shared" ca="1" si="147"/>
        <v>2037</v>
      </c>
      <c r="C762" s="10">
        <f t="shared" ca="1" si="148"/>
        <v>0</v>
      </c>
      <c r="D762" s="11">
        <f t="shared" ca="1" si="156"/>
        <v>1.9462124955038296E-2</v>
      </c>
      <c r="E762" s="9">
        <f t="shared" ca="1" si="157"/>
        <v>296</v>
      </c>
      <c r="F762" s="9">
        <f t="shared" ca="1" si="149"/>
        <v>1741</v>
      </c>
      <c r="G762" s="12" t="str">
        <f t="shared" ca="1" si="150"/>
        <v>No</v>
      </c>
      <c r="H762" s="12">
        <f t="shared" ca="1" si="158"/>
        <v>0</v>
      </c>
      <c r="I762" s="10">
        <f t="shared" ca="1" si="151"/>
        <v>0</v>
      </c>
      <c r="J762" s="13">
        <f t="shared" ca="1" si="152"/>
        <v>0</v>
      </c>
      <c r="K762" s="14">
        <f t="shared" ca="1" si="153"/>
        <v>348.20000000000005</v>
      </c>
      <c r="L762" s="14">
        <f t="shared" ca="1" si="154"/>
        <v>0</v>
      </c>
      <c r="M762" s="15">
        <f t="shared" ca="1" si="155"/>
        <v>348.20000000000005</v>
      </c>
      <c r="N762" s="16">
        <f ca="1">SUM($M$9:M762)/A762</f>
        <v>337.6183023872677</v>
      </c>
      <c r="O762" s="6"/>
    </row>
    <row r="763" spans="1:15" x14ac:dyDescent="0.25">
      <c r="A763" s="8">
        <v>755</v>
      </c>
      <c r="B763" s="9">
        <f t="shared" ca="1" si="147"/>
        <v>1741</v>
      </c>
      <c r="C763" s="10">
        <f t="shared" ca="1" si="148"/>
        <v>0</v>
      </c>
      <c r="D763" s="11">
        <f t="shared" ca="1" si="156"/>
        <v>0.70639635262986988</v>
      </c>
      <c r="E763" s="9">
        <f t="shared" ca="1" si="157"/>
        <v>427</v>
      </c>
      <c r="F763" s="9">
        <f t="shared" ca="1" si="149"/>
        <v>1314</v>
      </c>
      <c r="G763" s="12" t="str">
        <f t="shared" ca="1" si="150"/>
        <v>No</v>
      </c>
      <c r="H763" s="12">
        <f t="shared" ca="1" si="158"/>
        <v>0</v>
      </c>
      <c r="I763" s="10">
        <f t="shared" ca="1" si="151"/>
        <v>0</v>
      </c>
      <c r="J763" s="13">
        <f t="shared" ca="1" si="152"/>
        <v>0</v>
      </c>
      <c r="K763" s="14">
        <f t="shared" ca="1" si="153"/>
        <v>262.8</v>
      </c>
      <c r="L763" s="14">
        <f t="shared" ca="1" si="154"/>
        <v>0</v>
      </c>
      <c r="M763" s="15">
        <f t="shared" ca="1" si="155"/>
        <v>262.8</v>
      </c>
      <c r="N763" s="16">
        <f ca="1">SUM($M$9:M763)/A763</f>
        <v>337.51920529801305</v>
      </c>
      <c r="O763" s="6"/>
    </row>
    <row r="764" spans="1:15" x14ac:dyDescent="0.25">
      <c r="A764" s="8">
        <v>756</v>
      </c>
      <c r="B764" s="9">
        <f t="shared" ca="1" si="147"/>
        <v>1314</v>
      </c>
      <c r="C764" s="10">
        <f t="shared" ca="1" si="148"/>
        <v>0</v>
      </c>
      <c r="D764" s="11">
        <f t="shared" ca="1" si="156"/>
        <v>0.73030271454127682</v>
      </c>
      <c r="E764" s="9">
        <f t="shared" ca="1" si="157"/>
        <v>430</v>
      </c>
      <c r="F764" s="9">
        <f t="shared" ca="1" si="149"/>
        <v>884</v>
      </c>
      <c r="G764" s="12" t="str">
        <f t="shared" ca="1" si="150"/>
        <v>Yes</v>
      </c>
      <c r="H764" s="12">
        <f t="shared" ca="1" si="158"/>
        <v>0.62242193582163707</v>
      </c>
      <c r="I764" s="10">
        <f t="shared" ca="1" si="151"/>
        <v>1</v>
      </c>
      <c r="J764" s="13">
        <f t="shared" ca="1" si="152"/>
        <v>300</v>
      </c>
      <c r="K764" s="14">
        <f t="shared" ca="1" si="153"/>
        <v>176.8</v>
      </c>
      <c r="L764" s="14">
        <f t="shared" ca="1" si="154"/>
        <v>0</v>
      </c>
      <c r="M764" s="15">
        <f t="shared" ca="1" si="155"/>
        <v>476.8</v>
      </c>
      <c r="N764" s="16">
        <f ca="1">SUM($M$9:M764)/A764</f>
        <v>337.70343915343892</v>
      </c>
      <c r="O764" s="6"/>
    </row>
    <row r="765" spans="1:15" x14ac:dyDescent="0.25">
      <c r="A765" s="8">
        <v>757</v>
      </c>
      <c r="B765" s="9">
        <f t="shared" ref="B765:B828" ca="1" si="159">IF(I764=1,F764+Quantity,F764)</f>
        <v>2684</v>
      </c>
      <c r="C765" s="10">
        <f t="shared" ref="C765:C828" ca="1" si="160">IF(I764=1,Quantity,0)</f>
        <v>1800</v>
      </c>
      <c r="D765" s="11">
        <f t="shared" ca="1" si="156"/>
        <v>0.56806160321595844</v>
      </c>
      <c r="E765" s="9">
        <f t="shared" ca="1" si="157"/>
        <v>408</v>
      </c>
      <c r="F765" s="9">
        <f t="shared" ref="F765:F828" ca="1" si="161">IF(B765+C765-E765&lt;0,0,B765-E765)</f>
        <v>2276</v>
      </c>
      <c r="G765" s="12" t="str">
        <f t="shared" ref="G765:G828" ca="1" si="162">IF(B765&lt;Point,IF(I764=0,"Yes","No"),"No")</f>
        <v>No</v>
      </c>
      <c r="H765" s="12">
        <f t="shared" ca="1" si="158"/>
        <v>0</v>
      </c>
      <c r="I765" s="10">
        <f t="shared" ref="I765:I828" ca="1" si="163">IF(I764&gt;0,I764-1,(IF(G765="Yes",(VLOOKUP(H765,LTD,3)),0)))</f>
        <v>0</v>
      </c>
      <c r="J765" s="13">
        <f t="shared" ref="J765:J828" ca="1" si="164">IF(G765="Yes",Order_Cost,0)</f>
        <v>0</v>
      </c>
      <c r="K765" s="14">
        <f t="shared" ref="K765:K828" ca="1" si="165">F765*Holding_Cost</f>
        <v>455.20000000000005</v>
      </c>
      <c r="L765" s="14">
        <f t="shared" ref="L765:L828" ca="1" si="166">IF(B765+C765&lt;E765,Shortage_Cost*(E765-B765-C765),0)</f>
        <v>0</v>
      </c>
      <c r="M765" s="15">
        <f t="shared" ref="M765:M828" ca="1" si="167">SUM(J765:L765)</f>
        <v>455.20000000000005</v>
      </c>
      <c r="N765" s="16">
        <f ca="1">SUM($M$9:M765)/A765</f>
        <v>337.85865257595754</v>
      </c>
      <c r="O765" s="6"/>
    </row>
    <row r="766" spans="1:15" x14ac:dyDescent="0.25">
      <c r="A766" s="8">
        <v>758</v>
      </c>
      <c r="B766" s="9">
        <f t="shared" ca="1" si="159"/>
        <v>2276</v>
      </c>
      <c r="C766" s="10">
        <f t="shared" ca="1" si="160"/>
        <v>0</v>
      </c>
      <c r="D766" s="11">
        <f t="shared" ca="1" si="156"/>
        <v>0.76404877609005672</v>
      </c>
      <c r="E766" s="9">
        <f t="shared" ca="1" si="157"/>
        <v>435</v>
      </c>
      <c r="F766" s="9">
        <f t="shared" ca="1" si="161"/>
        <v>1841</v>
      </c>
      <c r="G766" s="12" t="str">
        <f t="shared" ca="1" si="162"/>
        <v>No</v>
      </c>
      <c r="H766" s="12">
        <f t="shared" ca="1" si="158"/>
        <v>0</v>
      </c>
      <c r="I766" s="10">
        <f t="shared" ca="1" si="163"/>
        <v>0</v>
      </c>
      <c r="J766" s="13">
        <f t="shared" ca="1" si="164"/>
        <v>0</v>
      </c>
      <c r="K766" s="14">
        <f t="shared" ca="1" si="165"/>
        <v>368.20000000000005</v>
      </c>
      <c r="L766" s="14">
        <f t="shared" ca="1" si="166"/>
        <v>0</v>
      </c>
      <c r="M766" s="15">
        <f t="shared" ca="1" si="167"/>
        <v>368.20000000000005</v>
      </c>
      <c r="N766" s="16">
        <f ca="1">SUM($M$9:M766)/A766</f>
        <v>337.89868073878608</v>
      </c>
      <c r="O766" s="6"/>
    </row>
    <row r="767" spans="1:15" x14ac:dyDescent="0.25">
      <c r="A767" s="8">
        <v>759</v>
      </c>
      <c r="B767" s="9">
        <f t="shared" ca="1" si="159"/>
        <v>1841</v>
      </c>
      <c r="C767" s="10">
        <f t="shared" ca="1" si="160"/>
        <v>0</v>
      </c>
      <c r="D767" s="11">
        <f t="shared" ca="1" si="156"/>
        <v>0.6830719761927373</v>
      </c>
      <c r="E767" s="9">
        <f t="shared" ca="1" si="157"/>
        <v>423</v>
      </c>
      <c r="F767" s="9">
        <f t="shared" ca="1" si="161"/>
        <v>1418</v>
      </c>
      <c r="G767" s="12" t="str">
        <f t="shared" ca="1" si="162"/>
        <v>No</v>
      </c>
      <c r="H767" s="12">
        <f t="shared" ca="1" si="158"/>
        <v>0</v>
      </c>
      <c r="I767" s="10">
        <f t="shared" ca="1" si="163"/>
        <v>0</v>
      </c>
      <c r="J767" s="13">
        <f t="shared" ca="1" si="164"/>
        <v>0</v>
      </c>
      <c r="K767" s="14">
        <f t="shared" ca="1" si="165"/>
        <v>283.60000000000002</v>
      </c>
      <c r="L767" s="14">
        <f t="shared" ca="1" si="166"/>
        <v>0</v>
      </c>
      <c r="M767" s="15">
        <f t="shared" ca="1" si="167"/>
        <v>283.60000000000002</v>
      </c>
      <c r="N767" s="16">
        <f ca="1">SUM($M$9:M767)/A767</f>
        <v>337.82714097496688</v>
      </c>
      <c r="O767" s="6"/>
    </row>
    <row r="768" spans="1:15" x14ac:dyDescent="0.25">
      <c r="A768" s="8">
        <v>760</v>
      </c>
      <c r="B768" s="9">
        <f t="shared" ca="1" si="159"/>
        <v>1418</v>
      </c>
      <c r="C768" s="10">
        <f t="shared" ca="1" si="160"/>
        <v>0</v>
      </c>
      <c r="D768" s="11">
        <f t="shared" ca="1" si="156"/>
        <v>0.41641010255844468</v>
      </c>
      <c r="E768" s="9">
        <f t="shared" ca="1" si="157"/>
        <v>389</v>
      </c>
      <c r="F768" s="9">
        <f t="shared" ca="1" si="161"/>
        <v>1029</v>
      </c>
      <c r="G768" s="12" t="str">
        <f t="shared" ca="1" si="162"/>
        <v>No</v>
      </c>
      <c r="H768" s="12">
        <f t="shared" ca="1" si="158"/>
        <v>0</v>
      </c>
      <c r="I768" s="10">
        <f t="shared" ca="1" si="163"/>
        <v>0</v>
      </c>
      <c r="J768" s="13">
        <f t="shared" ca="1" si="164"/>
        <v>0</v>
      </c>
      <c r="K768" s="14">
        <f t="shared" ca="1" si="165"/>
        <v>205.8</v>
      </c>
      <c r="L768" s="14">
        <f t="shared" ca="1" si="166"/>
        <v>0</v>
      </c>
      <c r="M768" s="15">
        <f t="shared" ca="1" si="167"/>
        <v>205.8</v>
      </c>
      <c r="N768" s="16">
        <f ca="1">SUM($M$9:M768)/A768</f>
        <v>337.65342105263142</v>
      </c>
      <c r="O768" s="6"/>
    </row>
    <row r="769" spans="1:15" x14ac:dyDescent="0.25">
      <c r="A769" s="8">
        <v>761</v>
      </c>
      <c r="B769" s="9">
        <f t="shared" ca="1" si="159"/>
        <v>1029</v>
      </c>
      <c r="C769" s="10">
        <f t="shared" ca="1" si="160"/>
        <v>0</v>
      </c>
      <c r="D769" s="11">
        <f t="shared" ca="1" si="156"/>
        <v>0.33990488782890482</v>
      </c>
      <c r="E769" s="9">
        <f t="shared" ca="1" si="157"/>
        <v>379</v>
      </c>
      <c r="F769" s="9">
        <f t="shared" ca="1" si="161"/>
        <v>650</v>
      </c>
      <c r="G769" s="12" t="str">
        <f t="shared" ca="1" si="162"/>
        <v>Yes</v>
      </c>
      <c r="H769" s="12">
        <f t="shared" ca="1" si="158"/>
        <v>0.93414580600002561</v>
      </c>
      <c r="I769" s="10">
        <f t="shared" ca="1" si="163"/>
        <v>3</v>
      </c>
      <c r="J769" s="13">
        <f t="shared" ca="1" si="164"/>
        <v>300</v>
      </c>
      <c r="K769" s="14">
        <f t="shared" ca="1" si="165"/>
        <v>130</v>
      </c>
      <c r="L769" s="14">
        <f t="shared" ca="1" si="166"/>
        <v>0</v>
      </c>
      <c r="M769" s="15">
        <f t="shared" ca="1" si="167"/>
        <v>430</v>
      </c>
      <c r="N769" s="16">
        <f ca="1">SUM($M$9:M769)/A769</f>
        <v>337.77477003942164</v>
      </c>
      <c r="O769" s="6"/>
    </row>
    <row r="770" spans="1:15" x14ac:dyDescent="0.25">
      <c r="A770" s="8">
        <v>762</v>
      </c>
      <c r="B770" s="9">
        <f t="shared" ca="1" si="159"/>
        <v>650</v>
      </c>
      <c r="C770" s="10">
        <f t="shared" ca="1" si="160"/>
        <v>0</v>
      </c>
      <c r="D770" s="11">
        <f t="shared" ca="1" si="156"/>
        <v>0.50909160970913914</v>
      </c>
      <c r="E770" s="9">
        <f t="shared" ca="1" si="157"/>
        <v>401</v>
      </c>
      <c r="F770" s="9">
        <f t="shared" ca="1" si="161"/>
        <v>249</v>
      </c>
      <c r="G770" s="12" t="str">
        <f t="shared" ca="1" si="162"/>
        <v>No</v>
      </c>
      <c r="H770" s="12">
        <f t="shared" ca="1" si="158"/>
        <v>0</v>
      </c>
      <c r="I770" s="10">
        <f t="shared" ca="1" si="163"/>
        <v>2</v>
      </c>
      <c r="J770" s="13">
        <f t="shared" ca="1" si="164"/>
        <v>0</v>
      </c>
      <c r="K770" s="14">
        <f t="shared" ca="1" si="165"/>
        <v>49.800000000000004</v>
      </c>
      <c r="L770" s="14">
        <f t="shared" ca="1" si="166"/>
        <v>0</v>
      </c>
      <c r="M770" s="15">
        <f t="shared" ca="1" si="167"/>
        <v>49.800000000000004</v>
      </c>
      <c r="N770" s="16">
        <f ca="1">SUM($M$9:M770)/A770</f>
        <v>337.39685039370056</v>
      </c>
      <c r="O770" s="6"/>
    </row>
    <row r="771" spans="1:15" x14ac:dyDescent="0.25">
      <c r="A771" s="8">
        <v>763</v>
      </c>
      <c r="B771" s="9">
        <f t="shared" ca="1" si="159"/>
        <v>249</v>
      </c>
      <c r="C771" s="10">
        <f t="shared" ca="1" si="160"/>
        <v>0</v>
      </c>
      <c r="D771" s="11">
        <f t="shared" ca="1" si="156"/>
        <v>0.51722453725138107</v>
      </c>
      <c r="E771" s="9">
        <f t="shared" ca="1" si="157"/>
        <v>402</v>
      </c>
      <c r="F771" s="9">
        <f t="shared" ca="1" si="161"/>
        <v>0</v>
      </c>
      <c r="G771" s="12" t="str">
        <f t="shared" ca="1" si="162"/>
        <v>No</v>
      </c>
      <c r="H771" s="12">
        <f t="shared" ca="1" si="158"/>
        <v>0</v>
      </c>
      <c r="I771" s="10">
        <f t="shared" ca="1" si="163"/>
        <v>1</v>
      </c>
      <c r="J771" s="13">
        <f t="shared" ca="1" si="164"/>
        <v>0</v>
      </c>
      <c r="K771" s="14">
        <f t="shared" ca="1" si="165"/>
        <v>0</v>
      </c>
      <c r="L771" s="14">
        <f t="shared" ca="1" si="166"/>
        <v>306</v>
      </c>
      <c r="M771" s="15">
        <f t="shared" ca="1" si="167"/>
        <v>306</v>
      </c>
      <c r="N771" s="16">
        <f ca="1">SUM($M$9:M771)/A771</f>
        <v>337.35570117955422</v>
      </c>
      <c r="O771" s="6"/>
    </row>
    <row r="772" spans="1:15" x14ac:dyDescent="0.25">
      <c r="A772" s="8">
        <v>764</v>
      </c>
      <c r="B772" s="9">
        <f t="shared" ca="1" si="159"/>
        <v>1800</v>
      </c>
      <c r="C772" s="10">
        <f t="shared" ca="1" si="160"/>
        <v>1800</v>
      </c>
      <c r="D772" s="11">
        <f t="shared" ca="1" si="156"/>
        <v>5.7822096064332307E-2</v>
      </c>
      <c r="E772" s="9">
        <f t="shared" ca="1" si="157"/>
        <v>321</v>
      </c>
      <c r="F772" s="9">
        <f t="shared" ca="1" si="161"/>
        <v>1479</v>
      </c>
      <c r="G772" s="12" t="str">
        <f t="shared" ca="1" si="162"/>
        <v>No</v>
      </c>
      <c r="H772" s="12">
        <f t="shared" ca="1" si="158"/>
        <v>0</v>
      </c>
      <c r="I772" s="10">
        <f t="shared" ca="1" si="163"/>
        <v>0</v>
      </c>
      <c r="J772" s="13">
        <f t="shared" ca="1" si="164"/>
        <v>0</v>
      </c>
      <c r="K772" s="14">
        <f t="shared" ca="1" si="165"/>
        <v>295.8</v>
      </c>
      <c r="L772" s="14">
        <f t="shared" ca="1" si="166"/>
        <v>0</v>
      </c>
      <c r="M772" s="15">
        <f t="shared" ca="1" si="167"/>
        <v>295.8</v>
      </c>
      <c r="N772" s="16">
        <f ca="1">SUM($M$9:M772)/A772</f>
        <v>337.30130890052334</v>
      </c>
      <c r="O772" s="6"/>
    </row>
    <row r="773" spans="1:15" x14ac:dyDescent="0.25">
      <c r="A773" s="8">
        <v>765</v>
      </c>
      <c r="B773" s="9">
        <f t="shared" ca="1" si="159"/>
        <v>1479</v>
      </c>
      <c r="C773" s="10">
        <f t="shared" ca="1" si="160"/>
        <v>0</v>
      </c>
      <c r="D773" s="11">
        <f t="shared" ca="1" si="156"/>
        <v>0.35280645458587234</v>
      </c>
      <c r="E773" s="9">
        <f t="shared" ca="1" si="157"/>
        <v>381</v>
      </c>
      <c r="F773" s="9">
        <f t="shared" ca="1" si="161"/>
        <v>1098</v>
      </c>
      <c r="G773" s="12" t="str">
        <f t="shared" ca="1" si="162"/>
        <v>No</v>
      </c>
      <c r="H773" s="12">
        <f t="shared" ca="1" si="158"/>
        <v>0</v>
      </c>
      <c r="I773" s="10">
        <f t="shared" ca="1" si="163"/>
        <v>0</v>
      </c>
      <c r="J773" s="13">
        <f t="shared" ca="1" si="164"/>
        <v>0</v>
      </c>
      <c r="K773" s="14">
        <f t="shared" ca="1" si="165"/>
        <v>219.60000000000002</v>
      </c>
      <c r="L773" s="14">
        <f t="shared" ca="1" si="166"/>
        <v>0</v>
      </c>
      <c r="M773" s="15">
        <f t="shared" ca="1" si="167"/>
        <v>219.60000000000002</v>
      </c>
      <c r="N773" s="16">
        <f ca="1">SUM($M$9:M773)/A773</f>
        <v>337.14745098039197</v>
      </c>
      <c r="O773" s="6"/>
    </row>
    <row r="774" spans="1:15" x14ac:dyDescent="0.25">
      <c r="A774" s="8">
        <v>766</v>
      </c>
      <c r="B774" s="9">
        <f t="shared" ca="1" si="159"/>
        <v>1098</v>
      </c>
      <c r="C774" s="10">
        <f t="shared" ca="1" si="160"/>
        <v>0</v>
      </c>
      <c r="D774" s="11">
        <f t="shared" ca="1" si="156"/>
        <v>0.73034686694118189</v>
      </c>
      <c r="E774" s="9">
        <f t="shared" ca="1" si="157"/>
        <v>430</v>
      </c>
      <c r="F774" s="9">
        <f t="shared" ca="1" si="161"/>
        <v>668</v>
      </c>
      <c r="G774" s="12" t="str">
        <f t="shared" ca="1" si="162"/>
        <v>Yes</v>
      </c>
      <c r="H774" s="12">
        <f t="shared" ca="1" si="158"/>
        <v>0.28031237509333806</v>
      </c>
      <c r="I774" s="10">
        <f t="shared" ca="1" si="163"/>
        <v>1</v>
      </c>
      <c r="J774" s="13">
        <f t="shared" ca="1" si="164"/>
        <v>300</v>
      </c>
      <c r="K774" s="14">
        <f t="shared" ca="1" si="165"/>
        <v>133.6</v>
      </c>
      <c r="L774" s="14">
        <f t="shared" ca="1" si="166"/>
        <v>0</v>
      </c>
      <c r="M774" s="15">
        <f t="shared" ca="1" si="167"/>
        <v>433.6</v>
      </c>
      <c r="N774" s="16">
        <f ca="1">SUM($M$9:M774)/A774</f>
        <v>337.2733681462139</v>
      </c>
      <c r="O774" s="6"/>
    </row>
    <row r="775" spans="1:15" x14ac:dyDescent="0.25">
      <c r="A775" s="8">
        <v>767</v>
      </c>
      <c r="B775" s="9">
        <f t="shared" ca="1" si="159"/>
        <v>2468</v>
      </c>
      <c r="C775" s="10">
        <f t="shared" ca="1" si="160"/>
        <v>1800</v>
      </c>
      <c r="D775" s="11">
        <f t="shared" ca="1" si="156"/>
        <v>0.8067806244364597</v>
      </c>
      <c r="E775" s="9">
        <f t="shared" ca="1" si="157"/>
        <v>443</v>
      </c>
      <c r="F775" s="9">
        <f t="shared" ca="1" si="161"/>
        <v>2025</v>
      </c>
      <c r="G775" s="12" t="str">
        <f t="shared" ca="1" si="162"/>
        <v>No</v>
      </c>
      <c r="H775" s="12">
        <f t="shared" ca="1" si="158"/>
        <v>0</v>
      </c>
      <c r="I775" s="10">
        <f t="shared" ca="1" si="163"/>
        <v>0</v>
      </c>
      <c r="J775" s="13">
        <f t="shared" ca="1" si="164"/>
        <v>0</v>
      </c>
      <c r="K775" s="14">
        <f t="shared" ca="1" si="165"/>
        <v>405</v>
      </c>
      <c r="L775" s="14">
        <f t="shared" ca="1" si="166"/>
        <v>0</v>
      </c>
      <c r="M775" s="15">
        <f t="shared" ca="1" si="167"/>
        <v>405</v>
      </c>
      <c r="N775" s="16">
        <f ca="1">SUM($M$9:M775)/A775</f>
        <v>337.36166883963472</v>
      </c>
      <c r="O775" s="6"/>
    </row>
    <row r="776" spans="1:15" x14ac:dyDescent="0.25">
      <c r="A776" s="8">
        <v>768</v>
      </c>
      <c r="B776" s="9">
        <f t="shared" ca="1" si="159"/>
        <v>2025</v>
      </c>
      <c r="C776" s="10">
        <f t="shared" ca="1" si="160"/>
        <v>0</v>
      </c>
      <c r="D776" s="11">
        <f t="shared" ca="1" si="156"/>
        <v>0.84027858133887101</v>
      </c>
      <c r="E776" s="9">
        <f t="shared" ca="1" si="157"/>
        <v>449</v>
      </c>
      <c r="F776" s="9">
        <f t="shared" ca="1" si="161"/>
        <v>1576</v>
      </c>
      <c r="G776" s="12" t="str">
        <f t="shared" ca="1" si="162"/>
        <v>No</v>
      </c>
      <c r="H776" s="12">
        <f t="shared" ca="1" si="158"/>
        <v>0</v>
      </c>
      <c r="I776" s="10">
        <f t="shared" ca="1" si="163"/>
        <v>0</v>
      </c>
      <c r="J776" s="13">
        <f t="shared" ca="1" si="164"/>
        <v>0</v>
      </c>
      <c r="K776" s="14">
        <f t="shared" ca="1" si="165"/>
        <v>315.20000000000005</v>
      </c>
      <c r="L776" s="14">
        <f t="shared" ca="1" si="166"/>
        <v>0</v>
      </c>
      <c r="M776" s="15">
        <f t="shared" ca="1" si="167"/>
        <v>315.20000000000005</v>
      </c>
      <c r="N776" s="16">
        <f ca="1">SUM($M$9:M776)/A776</f>
        <v>337.33281249999982</v>
      </c>
      <c r="O776" s="6"/>
    </row>
    <row r="777" spans="1:15" x14ac:dyDescent="0.25">
      <c r="A777" s="8">
        <v>769</v>
      </c>
      <c r="B777" s="9">
        <f t="shared" ca="1" si="159"/>
        <v>1576</v>
      </c>
      <c r="C777" s="10">
        <f t="shared" ca="1" si="160"/>
        <v>0</v>
      </c>
      <c r="D777" s="11">
        <f t="shared" ca="1" si="156"/>
        <v>0.85045564400345208</v>
      </c>
      <c r="E777" s="9">
        <f t="shared" ca="1" si="157"/>
        <v>451</v>
      </c>
      <c r="F777" s="9">
        <f t="shared" ca="1" si="161"/>
        <v>1125</v>
      </c>
      <c r="G777" s="12" t="str">
        <f t="shared" ca="1" si="162"/>
        <v>No</v>
      </c>
      <c r="H777" s="12">
        <f t="shared" ca="1" si="158"/>
        <v>0</v>
      </c>
      <c r="I777" s="10">
        <f t="shared" ca="1" si="163"/>
        <v>0</v>
      </c>
      <c r="J777" s="13">
        <f t="shared" ca="1" si="164"/>
        <v>0</v>
      </c>
      <c r="K777" s="14">
        <f t="shared" ca="1" si="165"/>
        <v>225</v>
      </c>
      <c r="L777" s="14">
        <f t="shared" ca="1" si="166"/>
        <v>0</v>
      </c>
      <c r="M777" s="15">
        <f t="shared" ca="1" si="167"/>
        <v>225</v>
      </c>
      <c r="N777" s="16">
        <f ca="1">SUM($M$9:M777)/A777</f>
        <v>337.18673602080605</v>
      </c>
      <c r="O777" s="6"/>
    </row>
    <row r="778" spans="1:15" x14ac:dyDescent="0.25">
      <c r="A778" s="8">
        <v>770</v>
      </c>
      <c r="B778" s="9">
        <f t="shared" ca="1" si="159"/>
        <v>1125</v>
      </c>
      <c r="C778" s="10">
        <f t="shared" ca="1" si="160"/>
        <v>0</v>
      </c>
      <c r="D778" s="11">
        <f t="shared" ref="D778:D841" ca="1" si="168">RAND()</f>
        <v>0.30061698304209006</v>
      </c>
      <c r="E778" s="9">
        <f t="shared" ref="E778:E841" ca="1" si="169">INT(NORMINV(D778,D_Mean,D_StdDev))</f>
        <v>373</v>
      </c>
      <c r="F778" s="9">
        <f t="shared" ca="1" si="161"/>
        <v>752</v>
      </c>
      <c r="G778" s="12" t="str">
        <f t="shared" ca="1" si="162"/>
        <v>Yes</v>
      </c>
      <c r="H778" s="12">
        <f t="shared" ref="H778:H841" ca="1" si="170">IF(G778="Yes",RAND(),0)</f>
        <v>0.62426539399838554</v>
      </c>
      <c r="I778" s="10">
        <f t="shared" ca="1" si="163"/>
        <v>1</v>
      </c>
      <c r="J778" s="13">
        <f t="shared" ca="1" si="164"/>
        <v>300</v>
      </c>
      <c r="K778" s="14">
        <f t="shared" ca="1" si="165"/>
        <v>150.4</v>
      </c>
      <c r="L778" s="14">
        <f t="shared" ca="1" si="166"/>
        <v>0</v>
      </c>
      <c r="M778" s="15">
        <f t="shared" ca="1" si="167"/>
        <v>450.4</v>
      </c>
      <c r="N778" s="16">
        <f ca="1">SUM($M$9:M778)/A778</f>
        <v>337.33376623376603</v>
      </c>
      <c r="O778" s="6"/>
    </row>
    <row r="779" spans="1:15" x14ac:dyDescent="0.25">
      <c r="A779" s="8">
        <v>771</v>
      </c>
      <c r="B779" s="9">
        <f t="shared" ca="1" si="159"/>
        <v>2552</v>
      </c>
      <c r="C779" s="10">
        <f t="shared" ca="1" si="160"/>
        <v>1800</v>
      </c>
      <c r="D779" s="11">
        <f t="shared" ca="1" si="168"/>
        <v>0.81183561118909386</v>
      </c>
      <c r="E779" s="9">
        <f t="shared" ca="1" si="169"/>
        <v>444</v>
      </c>
      <c r="F779" s="9">
        <f t="shared" ca="1" si="161"/>
        <v>2108</v>
      </c>
      <c r="G779" s="12" t="str">
        <f t="shared" ca="1" si="162"/>
        <v>No</v>
      </c>
      <c r="H779" s="12">
        <f t="shared" ca="1" si="170"/>
        <v>0</v>
      </c>
      <c r="I779" s="10">
        <f t="shared" ca="1" si="163"/>
        <v>0</v>
      </c>
      <c r="J779" s="13">
        <f t="shared" ca="1" si="164"/>
        <v>0</v>
      </c>
      <c r="K779" s="14">
        <f t="shared" ca="1" si="165"/>
        <v>421.6</v>
      </c>
      <c r="L779" s="14">
        <f t="shared" ca="1" si="166"/>
        <v>0</v>
      </c>
      <c r="M779" s="15">
        <f t="shared" ca="1" si="167"/>
        <v>421.6</v>
      </c>
      <c r="N779" s="16">
        <f ca="1">SUM($M$9:M779)/A779</f>
        <v>337.44306095979232</v>
      </c>
      <c r="O779" s="6"/>
    </row>
    <row r="780" spans="1:15" x14ac:dyDescent="0.25">
      <c r="A780" s="8">
        <v>772</v>
      </c>
      <c r="B780" s="9">
        <f t="shared" ca="1" si="159"/>
        <v>2108</v>
      </c>
      <c r="C780" s="10">
        <f t="shared" ca="1" si="160"/>
        <v>0</v>
      </c>
      <c r="D780" s="11">
        <f t="shared" ca="1" si="168"/>
        <v>0.64844404333782812</v>
      </c>
      <c r="E780" s="9">
        <f t="shared" ca="1" si="169"/>
        <v>419</v>
      </c>
      <c r="F780" s="9">
        <f t="shared" ca="1" si="161"/>
        <v>1689</v>
      </c>
      <c r="G780" s="12" t="str">
        <f t="shared" ca="1" si="162"/>
        <v>No</v>
      </c>
      <c r="H780" s="12">
        <f t="shared" ca="1" si="170"/>
        <v>0</v>
      </c>
      <c r="I780" s="10">
        <f t="shared" ca="1" si="163"/>
        <v>0</v>
      </c>
      <c r="J780" s="13">
        <f t="shared" ca="1" si="164"/>
        <v>0</v>
      </c>
      <c r="K780" s="14">
        <f t="shared" ca="1" si="165"/>
        <v>337.8</v>
      </c>
      <c r="L780" s="14">
        <f t="shared" ca="1" si="166"/>
        <v>0</v>
      </c>
      <c r="M780" s="15">
        <f t="shared" ca="1" si="167"/>
        <v>337.8</v>
      </c>
      <c r="N780" s="16">
        <f ca="1">SUM($M$9:M780)/A780</f>
        <v>337.443523316062</v>
      </c>
      <c r="O780" s="6"/>
    </row>
    <row r="781" spans="1:15" x14ac:dyDescent="0.25">
      <c r="A781" s="8">
        <v>773</v>
      </c>
      <c r="B781" s="9">
        <f t="shared" ca="1" si="159"/>
        <v>1689</v>
      </c>
      <c r="C781" s="10">
        <f t="shared" ca="1" si="160"/>
        <v>0</v>
      </c>
      <c r="D781" s="11">
        <f t="shared" ca="1" si="168"/>
        <v>0.19481264695808698</v>
      </c>
      <c r="E781" s="9">
        <f t="shared" ca="1" si="169"/>
        <v>356</v>
      </c>
      <c r="F781" s="9">
        <f t="shared" ca="1" si="161"/>
        <v>1333</v>
      </c>
      <c r="G781" s="12" t="str">
        <f t="shared" ca="1" si="162"/>
        <v>No</v>
      </c>
      <c r="H781" s="12">
        <f t="shared" ca="1" si="170"/>
        <v>0</v>
      </c>
      <c r="I781" s="10">
        <f t="shared" ca="1" si="163"/>
        <v>0</v>
      </c>
      <c r="J781" s="13">
        <f t="shared" ca="1" si="164"/>
        <v>0</v>
      </c>
      <c r="K781" s="14">
        <f t="shared" ca="1" si="165"/>
        <v>266.60000000000002</v>
      </c>
      <c r="L781" s="14">
        <f t="shared" ca="1" si="166"/>
        <v>0</v>
      </c>
      <c r="M781" s="15">
        <f t="shared" ca="1" si="167"/>
        <v>266.60000000000002</v>
      </c>
      <c r="N781" s="16">
        <f ca="1">SUM($M$9:M781)/A781</f>
        <v>337.35187580853795</v>
      </c>
      <c r="O781" s="6"/>
    </row>
    <row r="782" spans="1:15" x14ac:dyDescent="0.25">
      <c r="A782" s="8">
        <v>774</v>
      </c>
      <c r="B782" s="9">
        <f t="shared" ca="1" si="159"/>
        <v>1333</v>
      </c>
      <c r="C782" s="10">
        <f t="shared" ca="1" si="160"/>
        <v>0</v>
      </c>
      <c r="D782" s="11">
        <f t="shared" ca="1" si="168"/>
        <v>0.28239200733986769</v>
      </c>
      <c r="E782" s="9">
        <f t="shared" ca="1" si="169"/>
        <v>371</v>
      </c>
      <c r="F782" s="9">
        <f t="shared" ca="1" si="161"/>
        <v>962</v>
      </c>
      <c r="G782" s="12" t="str">
        <f t="shared" ca="1" si="162"/>
        <v>Yes</v>
      </c>
      <c r="H782" s="12">
        <f t="shared" ca="1" si="170"/>
        <v>0.53402852368565024</v>
      </c>
      <c r="I782" s="10">
        <f t="shared" ca="1" si="163"/>
        <v>1</v>
      </c>
      <c r="J782" s="13">
        <f t="shared" ca="1" si="164"/>
        <v>300</v>
      </c>
      <c r="K782" s="14">
        <f t="shared" ca="1" si="165"/>
        <v>192.4</v>
      </c>
      <c r="L782" s="14">
        <f t="shared" ca="1" si="166"/>
        <v>0</v>
      </c>
      <c r="M782" s="15">
        <f t="shared" ca="1" si="167"/>
        <v>492.4</v>
      </c>
      <c r="N782" s="16">
        <f ca="1">SUM($M$9:M782)/A782</f>
        <v>337.55219638242875</v>
      </c>
      <c r="O782" s="6"/>
    </row>
    <row r="783" spans="1:15" x14ac:dyDescent="0.25">
      <c r="A783" s="8">
        <v>775</v>
      </c>
      <c r="B783" s="9">
        <f t="shared" ca="1" si="159"/>
        <v>2762</v>
      </c>
      <c r="C783" s="10">
        <f t="shared" ca="1" si="160"/>
        <v>1800</v>
      </c>
      <c r="D783" s="11">
        <f t="shared" ca="1" si="168"/>
        <v>0.21735569760794993</v>
      </c>
      <c r="E783" s="9">
        <f t="shared" ca="1" si="169"/>
        <v>360</v>
      </c>
      <c r="F783" s="9">
        <f t="shared" ca="1" si="161"/>
        <v>2402</v>
      </c>
      <c r="G783" s="12" t="str">
        <f t="shared" ca="1" si="162"/>
        <v>No</v>
      </c>
      <c r="H783" s="12">
        <f t="shared" ca="1" si="170"/>
        <v>0</v>
      </c>
      <c r="I783" s="10">
        <f t="shared" ca="1" si="163"/>
        <v>0</v>
      </c>
      <c r="J783" s="13">
        <f t="shared" ca="1" si="164"/>
        <v>0</v>
      </c>
      <c r="K783" s="14">
        <f t="shared" ca="1" si="165"/>
        <v>480.40000000000003</v>
      </c>
      <c r="L783" s="14">
        <f t="shared" ca="1" si="166"/>
        <v>0</v>
      </c>
      <c r="M783" s="15">
        <f t="shared" ca="1" si="167"/>
        <v>480.40000000000003</v>
      </c>
      <c r="N783" s="16">
        <f ca="1">SUM($M$9:M783)/A783</f>
        <v>337.73651612903205</v>
      </c>
      <c r="O783" s="6"/>
    </row>
    <row r="784" spans="1:15" x14ac:dyDescent="0.25">
      <c r="A784" s="8">
        <v>776</v>
      </c>
      <c r="B784" s="9">
        <f t="shared" ca="1" si="159"/>
        <v>2402</v>
      </c>
      <c r="C784" s="10">
        <f t="shared" ca="1" si="160"/>
        <v>0</v>
      </c>
      <c r="D784" s="11">
        <f t="shared" ca="1" si="168"/>
        <v>2.766300348831674E-2</v>
      </c>
      <c r="E784" s="9">
        <f t="shared" ca="1" si="169"/>
        <v>304</v>
      </c>
      <c r="F784" s="9">
        <f t="shared" ca="1" si="161"/>
        <v>2098</v>
      </c>
      <c r="G784" s="12" t="str">
        <f t="shared" ca="1" si="162"/>
        <v>No</v>
      </c>
      <c r="H784" s="12">
        <f t="shared" ca="1" si="170"/>
        <v>0</v>
      </c>
      <c r="I784" s="10">
        <f t="shared" ca="1" si="163"/>
        <v>0</v>
      </c>
      <c r="J784" s="13">
        <f t="shared" ca="1" si="164"/>
        <v>0</v>
      </c>
      <c r="K784" s="14">
        <f t="shared" ca="1" si="165"/>
        <v>419.6</v>
      </c>
      <c r="L784" s="14">
        <f t="shared" ca="1" si="166"/>
        <v>0</v>
      </c>
      <c r="M784" s="15">
        <f t="shared" ca="1" si="167"/>
        <v>419.6</v>
      </c>
      <c r="N784" s="16">
        <f ca="1">SUM($M$9:M784)/A784</f>
        <v>337.84201030927818</v>
      </c>
      <c r="O784" s="6"/>
    </row>
    <row r="785" spans="1:15" x14ac:dyDescent="0.25">
      <c r="A785" s="8">
        <v>777</v>
      </c>
      <c r="B785" s="9">
        <f t="shared" ca="1" si="159"/>
        <v>2098</v>
      </c>
      <c r="C785" s="10">
        <f t="shared" ca="1" si="160"/>
        <v>0</v>
      </c>
      <c r="D785" s="11">
        <f t="shared" ca="1" si="168"/>
        <v>0.71610576259073377</v>
      </c>
      <c r="E785" s="9">
        <f t="shared" ca="1" si="169"/>
        <v>428</v>
      </c>
      <c r="F785" s="9">
        <f t="shared" ca="1" si="161"/>
        <v>1670</v>
      </c>
      <c r="G785" s="12" t="str">
        <f t="shared" ca="1" si="162"/>
        <v>No</v>
      </c>
      <c r="H785" s="12">
        <f t="shared" ca="1" si="170"/>
        <v>0</v>
      </c>
      <c r="I785" s="10">
        <f t="shared" ca="1" si="163"/>
        <v>0</v>
      </c>
      <c r="J785" s="13">
        <f t="shared" ca="1" si="164"/>
        <v>0</v>
      </c>
      <c r="K785" s="14">
        <f t="shared" ca="1" si="165"/>
        <v>334</v>
      </c>
      <c r="L785" s="14">
        <f t="shared" ca="1" si="166"/>
        <v>0</v>
      </c>
      <c r="M785" s="15">
        <f t="shared" ca="1" si="167"/>
        <v>334</v>
      </c>
      <c r="N785" s="16">
        <f ca="1">SUM($M$9:M785)/A785</f>
        <v>337.83706563706545</v>
      </c>
      <c r="O785" s="6"/>
    </row>
    <row r="786" spans="1:15" x14ac:dyDescent="0.25">
      <c r="A786" s="8">
        <v>778</v>
      </c>
      <c r="B786" s="9">
        <f t="shared" ca="1" si="159"/>
        <v>1670</v>
      </c>
      <c r="C786" s="10">
        <f t="shared" ca="1" si="160"/>
        <v>0</v>
      </c>
      <c r="D786" s="11">
        <f t="shared" ca="1" si="168"/>
        <v>0.92219596855880681</v>
      </c>
      <c r="E786" s="9">
        <f t="shared" ca="1" si="169"/>
        <v>470</v>
      </c>
      <c r="F786" s="9">
        <f t="shared" ca="1" si="161"/>
        <v>1200</v>
      </c>
      <c r="G786" s="12" t="str">
        <f t="shared" ca="1" si="162"/>
        <v>No</v>
      </c>
      <c r="H786" s="12">
        <f t="shared" ca="1" si="170"/>
        <v>0</v>
      </c>
      <c r="I786" s="10">
        <f t="shared" ca="1" si="163"/>
        <v>0</v>
      </c>
      <c r="J786" s="13">
        <f t="shared" ca="1" si="164"/>
        <v>0</v>
      </c>
      <c r="K786" s="14">
        <f t="shared" ca="1" si="165"/>
        <v>240</v>
      </c>
      <c r="L786" s="14">
        <f t="shared" ca="1" si="166"/>
        <v>0</v>
      </c>
      <c r="M786" s="15">
        <f t="shared" ca="1" si="167"/>
        <v>240</v>
      </c>
      <c r="N786" s="16">
        <f ca="1">SUM($M$9:M786)/A786</f>
        <v>337.71131105398439</v>
      </c>
      <c r="O786" s="6"/>
    </row>
    <row r="787" spans="1:15" x14ac:dyDescent="0.25">
      <c r="A787" s="8">
        <v>779</v>
      </c>
      <c r="B787" s="9">
        <f t="shared" ca="1" si="159"/>
        <v>1200</v>
      </c>
      <c r="C787" s="10">
        <f t="shared" ca="1" si="160"/>
        <v>0</v>
      </c>
      <c r="D787" s="11">
        <f t="shared" ca="1" si="168"/>
        <v>0.36370673727091207</v>
      </c>
      <c r="E787" s="9">
        <f t="shared" ca="1" si="169"/>
        <v>382</v>
      </c>
      <c r="F787" s="9">
        <f t="shared" ca="1" si="161"/>
        <v>818</v>
      </c>
      <c r="G787" s="12" t="str">
        <f t="shared" ca="1" si="162"/>
        <v>Yes</v>
      </c>
      <c r="H787" s="12">
        <f t="shared" ca="1" si="170"/>
        <v>0.41550328110472123</v>
      </c>
      <c r="I787" s="10">
        <f t="shared" ca="1" si="163"/>
        <v>1</v>
      </c>
      <c r="J787" s="13">
        <f t="shared" ca="1" si="164"/>
        <v>300</v>
      </c>
      <c r="K787" s="14">
        <f t="shared" ca="1" si="165"/>
        <v>163.60000000000002</v>
      </c>
      <c r="L787" s="14">
        <f t="shared" ca="1" si="166"/>
        <v>0</v>
      </c>
      <c r="M787" s="15">
        <f t="shared" ca="1" si="167"/>
        <v>463.6</v>
      </c>
      <c r="N787" s="16">
        <f ca="1">SUM($M$9:M787)/A787</f>
        <v>337.87291399229758</v>
      </c>
      <c r="O787" s="6"/>
    </row>
    <row r="788" spans="1:15" x14ac:dyDescent="0.25">
      <c r="A788" s="8">
        <v>780</v>
      </c>
      <c r="B788" s="9">
        <f t="shared" ca="1" si="159"/>
        <v>2618</v>
      </c>
      <c r="C788" s="10">
        <f t="shared" ca="1" si="160"/>
        <v>1800</v>
      </c>
      <c r="D788" s="11">
        <f t="shared" ca="1" si="168"/>
        <v>0.30355755380926919</v>
      </c>
      <c r="E788" s="9">
        <f t="shared" ca="1" si="169"/>
        <v>374</v>
      </c>
      <c r="F788" s="9">
        <f t="shared" ca="1" si="161"/>
        <v>2244</v>
      </c>
      <c r="G788" s="12" t="str">
        <f t="shared" ca="1" si="162"/>
        <v>No</v>
      </c>
      <c r="H788" s="12">
        <f t="shared" ca="1" si="170"/>
        <v>0</v>
      </c>
      <c r="I788" s="10">
        <f t="shared" ca="1" si="163"/>
        <v>0</v>
      </c>
      <c r="J788" s="13">
        <f t="shared" ca="1" si="164"/>
        <v>0</v>
      </c>
      <c r="K788" s="14">
        <f t="shared" ca="1" si="165"/>
        <v>448.8</v>
      </c>
      <c r="L788" s="14">
        <f t="shared" ca="1" si="166"/>
        <v>0</v>
      </c>
      <c r="M788" s="15">
        <f t="shared" ca="1" si="167"/>
        <v>448.8</v>
      </c>
      <c r="N788" s="16">
        <f ca="1">SUM($M$9:M788)/A788</f>
        <v>338.01512820512795</v>
      </c>
      <c r="O788" s="6"/>
    </row>
    <row r="789" spans="1:15" x14ac:dyDescent="0.25">
      <c r="A789" s="8">
        <v>781</v>
      </c>
      <c r="B789" s="9">
        <f t="shared" ca="1" si="159"/>
        <v>2244</v>
      </c>
      <c r="C789" s="10">
        <f t="shared" ca="1" si="160"/>
        <v>0</v>
      </c>
      <c r="D789" s="11">
        <f t="shared" ca="1" si="168"/>
        <v>4.1649029154040895E-2</v>
      </c>
      <c r="E789" s="9">
        <f t="shared" ca="1" si="169"/>
        <v>313</v>
      </c>
      <c r="F789" s="9">
        <f t="shared" ca="1" si="161"/>
        <v>1931</v>
      </c>
      <c r="G789" s="12" t="str">
        <f t="shared" ca="1" si="162"/>
        <v>No</v>
      </c>
      <c r="H789" s="12">
        <f t="shared" ca="1" si="170"/>
        <v>0</v>
      </c>
      <c r="I789" s="10">
        <f t="shared" ca="1" si="163"/>
        <v>0</v>
      </c>
      <c r="J789" s="13">
        <f t="shared" ca="1" si="164"/>
        <v>0</v>
      </c>
      <c r="K789" s="14">
        <f t="shared" ca="1" si="165"/>
        <v>386.20000000000005</v>
      </c>
      <c r="L789" s="14">
        <f t="shared" ca="1" si="166"/>
        <v>0</v>
      </c>
      <c r="M789" s="15">
        <f t="shared" ca="1" si="167"/>
        <v>386.20000000000005</v>
      </c>
      <c r="N789" s="16">
        <f ca="1">SUM($M$9:M789)/A789</f>
        <v>338.0768245838666</v>
      </c>
      <c r="O789" s="6"/>
    </row>
    <row r="790" spans="1:15" x14ac:dyDescent="0.25">
      <c r="A790" s="8">
        <v>782</v>
      </c>
      <c r="B790" s="9">
        <f t="shared" ca="1" si="159"/>
        <v>1931</v>
      </c>
      <c r="C790" s="10">
        <f t="shared" ca="1" si="160"/>
        <v>0</v>
      </c>
      <c r="D790" s="11">
        <f t="shared" ca="1" si="168"/>
        <v>0.22618205861712459</v>
      </c>
      <c r="E790" s="9">
        <f t="shared" ca="1" si="169"/>
        <v>362</v>
      </c>
      <c r="F790" s="9">
        <f t="shared" ca="1" si="161"/>
        <v>1569</v>
      </c>
      <c r="G790" s="12" t="str">
        <f t="shared" ca="1" si="162"/>
        <v>No</v>
      </c>
      <c r="H790" s="12">
        <f t="shared" ca="1" si="170"/>
        <v>0</v>
      </c>
      <c r="I790" s="10">
        <f t="shared" ca="1" si="163"/>
        <v>0</v>
      </c>
      <c r="J790" s="13">
        <f t="shared" ca="1" si="164"/>
        <v>0</v>
      </c>
      <c r="K790" s="14">
        <f t="shared" ca="1" si="165"/>
        <v>313.8</v>
      </c>
      <c r="L790" s="14">
        <f t="shared" ca="1" si="166"/>
        <v>0</v>
      </c>
      <c r="M790" s="15">
        <f t="shared" ca="1" si="167"/>
        <v>313.8</v>
      </c>
      <c r="N790" s="16">
        <f ca="1">SUM($M$9:M790)/A790</f>
        <v>338.04578005115064</v>
      </c>
      <c r="O790" s="6"/>
    </row>
    <row r="791" spans="1:15" x14ac:dyDescent="0.25">
      <c r="A791" s="8">
        <v>783</v>
      </c>
      <c r="B791" s="9">
        <f t="shared" ca="1" si="159"/>
        <v>1569</v>
      </c>
      <c r="C791" s="10">
        <f t="shared" ca="1" si="160"/>
        <v>0</v>
      </c>
      <c r="D791" s="11">
        <f t="shared" ca="1" si="168"/>
        <v>0.84427026135330807</v>
      </c>
      <c r="E791" s="9">
        <f t="shared" ca="1" si="169"/>
        <v>450</v>
      </c>
      <c r="F791" s="9">
        <f t="shared" ca="1" si="161"/>
        <v>1119</v>
      </c>
      <c r="G791" s="12" t="str">
        <f t="shared" ca="1" si="162"/>
        <v>No</v>
      </c>
      <c r="H791" s="12">
        <f t="shared" ca="1" si="170"/>
        <v>0</v>
      </c>
      <c r="I791" s="10">
        <f t="shared" ca="1" si="163"/>
        <v>0</v>
      </c>
      <c r="J791" s="13">
        <f t="shared" ca="1" si="164"/>
        <v>0</v>
      </c>
      <c r="K791" s="14">
        <f t="shared" ca="1" si="165"/>
        <v>223.8</v>
      </c>
      <c r="L791" s="14">
        <f t="shared" ca="1" si="166"/>
        <v>0</v>
      </c>
      <c r="M791" s="15">
        <f t="shared" ca="1" si="167"/>
        <v>223.8</v>
      </c>
      <c r="N791" s="16">
        <f ca="1">SUM($M$9:M791)/A791</f>
        <v>337.8998722860789</v>
      </c>
      <c r="O791" s="6"/>
    </row>
    <row r="792" spans="1:15" x14ac:dyDescent="0.25">
      <c r="A792" s="8">
        <v>784</v>
      </c>
      <c r="B792" s="9">
        <f t="shared" ca="1" si="159"/>
        <v>1119</v>
      </c>
      <c r="C792" s="10">
        <f t="shared" ca="1" si="160"/>
        <v>0</v>
      </c>
      <c r="D792" s="11">
        <f t="shared" ca="1" si="168"/>
        <v>0.8031111326445235</v>
      </c>
      <c r="E792" s="9">
        <f t="shared" ca="1" si="169"/>
        <v>442</v>
      </c>
      <c r="F792" s="9">
        <f t="shared" ca="1" si="161"/>
        <v>677</v>
      </c>
      <c r="G792" s="12" t="str">
        <f t="shared" ca="1" si="162"/>
        <v>Yes</v>
      </c>
      <c r="H792" s="12">
        <f t="shared" ca="1" si="170"/>
        <v>0.44863291680277939</v>
      </c>
      <c r="I792" s="10">
        <f t="shared" ca="1" si="163"/>
        <v>1</v>
      </c>
      <c r="J792" s="13">
        <f t="shared" ca="1" si="164"/>
        <v>300</v>
      </c>
      <c r="K792" s="14">
        <f t="shared" ca="1" si="165"/>
        <v>135.4</v>
      </c>
      <c r="L792" s="14">
        <f t="shared" ca="1" si="166"/>
        <v>0</v>
      </c>
      <c r="M792" s="15">
        <f t="shared" ca="1" si="167"/>
        <v>435.4</v>
      </c>
      <c r="N792" s="16">
        <f ca="1">SUM($M$9:M792)/A792</f>
        <v>338.0242346938773</v>
      </c>
      <c r="O792" s="6"/>
    </row>
    <row r="793" spans="1:15" x14ac:dyDescent="0.25">
      <c r="A793" s="8">
        <v>785</v>
      </c>
      <c r="B793" s="9">
        <f t="shared" ca="1" si="159"/>
        <v>2477</v>
      </c>
      <c r="C793" s="10">
        <f t="shared" ca="1" si="160"/>
        <v>1800</v>
      </c>
      <c r="D793" s="11">
        <f t="shared" ca="1" si="168"/>
        <v>0.28466976189647641</v>
      </c>
      <c r="E793" s="9">
        <f t="shared" ca="1" si="169"/>
        <v>371</v>
      </c>
      <c r="F793" s="9">
        <f t="shared" ca="1" si="161"/>
        <v>2106</v>
      </c>
      <c r="G793" s="12" t="str">
        <f t="shared" ca="1" si="162"/>
        <v>No</v>
      </c>
      <c r="H793" s="12">
        <f t="shared" ca="1" si="170"/>
        <v>0</v>
      </c>
      <c r="I793" s="10">
        <f t="shared" ca="1" si="163"/>
        <v>0</v>
      </c>
      <c r="J793" s="13">
        <f t="shared" ca="1" si="164"/>
        <v>0</v>
      </c>
      <c r="K793" s="14">
        <f t="shared" ca="1" si="165"/>
        <v>421.20000000000005</v>
      </c>
      <c r="L793" s="14">
        <f t="shared" ca="1" si="166"/>
        <v>0</v>
      </c>
      <c r="M793" s="15">
        <f t="shared" ca="1" si="167"/>
        <v>421.20000000000005</v>
      </c>
      <c r="N793" s="16">
        <f ca="1">SUM($M$9:M793)/A793</f>
        <v>338.13019108280236</v>
      </c>
      <c r="O793" s="6"/>
    </row>
    <row r="794" spans="1:15" x14ac:dyDescent="0.25">
      <c r="A794" s="8">
        <v>786</v>
      </c>
      <c r="B794" s="9">
        <f t="shared" ca="1" si="159"/>
        <v>2106</v>
      </c>
      <c r="C794" s="10">
        <f t="shared" ca="1" si="160"/>
        <v>0</v>
      </c>
      <c r="D794" s="11">
        <f t="shared" ca="1" si="168"/>
        <v>0.94356646620413009</v>
      </c>
      <c r="E794" s="9">
        <f t="shared" ca="1" si="169"/>
        <v>479</v>
      </c>
      <c r="F794" s="9">
        <f t="shared" ca="1" si="161"/>
        <v>1627</v>
      </c>
      <c r="G794" s="12" t="str">
        <f t="shared" ca="1" si="162"/>
        <v>No</v>
      </c>
      <c r="H794" s="12">
        <f t="shared" ca="1" si="170"/>
        <v>0</v>
      </c>
      <c r="I794" s="10">
        <f t="shared" ca="1" si="163"/>
        <v>0</v>
      </c>
      <c r="J794" s="13">
        <f t="shared" ca="1" si="164"/>
        <v>0</v>
      </c>
      <c r="K794" s="14">
        <f t="shared" ca="1" si="165"/>
        <v>325.40000000000003</v>
      </c>
      <c r="L794" s="14">
        <f t="shared" ca="1" si="166"/>
        <v>0</v>
      </c>
      <c r="M794" s="15">
        <f t="shared" ca="1" si="167"/>
        <v>325.40000000000003</v>
      </c>
      <c r="N794" s="16">
        <f ca="1">SUM($M$9:M794)/A794</f>
        <v>338.1139949109413</v>
      </c>
      <c r="O794" s="6"/>
    </row>
    <row r="795" spans="1:15" x14ac:dyDescent="0.25">
      <c r="A795" s="8">
        <v>787</v>
      </c>
      <c r="B795" s="9">
        <f t="shared" ca="1" si="159"/>
        <v>1627</v>
      </c>
      <c r="C795" s="10">
        <f t="shared" ca="1" si="160"/>
        <v>0</v>
      </c>
      <c r="D795" s="11">
        <f t="shared" ca="1" si="168"/>
        <v>0.6646047374796995</v>
      </c>
      <c r="E795" s="9">
        <f t="shared" ca="1" si="169"/>
        <v>421</v>
      </c>
      <c r="F795" s="9">
        <f t="shared" ca="1" si="161"/>
        <v>1206</v>
      </c>
      <c r="G795" s="12" t="str">
        <f t="shared" ca="1" si="162"/>
        <v>No</v>
      </c>
      <c r="H795" s="12">
        <f t="shared" ca="1" si="170"/>
        <v>0</v>
      </c>
      <c r="I795" s="10">
        <f t="shared" ca="1" si="163"/>
        <v>0</v>
      </c>
      <c r="J795" s="13">
        <f t="shared" ca="1" si="164"/>
        <v>0</v>
      </c>
      <c r="K795" s="14">
        <f t="shared" ca="1" si="165"/>
        <v>241.20000000000002</v>
      </c>
      <c r="L795" s="14">
        <f t="shared" ca="1" si="166"/>
        <v>0</v>
      </c>
      <c r="M795" s="15">
        <f t="shared" ca="1" si="167"/>
        <v>241.20000000000002</v>
      </c>
      <c r="N795" s="16">
        <f ca="1">SUM($M$9:M795)/A795</f>
        <v>337.99085133418026</v>
      </c>
      <c r="O795" s="6"/>
    </row>
    <row r="796" spans="1:15" x14ac:dyDescent="0.25">
      <c r="A796" s="8">
        <v>788</v>
      </c>
      <c r="B796" s="9">
        <f t="shared" ca="1" si="159"/>
        <v>1206</v>
      </c>
      <c r="C796" s="10">
        <f t="shared" ca="1" si="160"/>
        <v>0</v>
      </c>
      <c r="D796" s="11">
        <f t="shared" ca="1" si="168"/>
        <v>0.41579628035459948</v>
      </c>
      <c r="E796" s="9">
        <f t="shared" ca="1" si="169"/>
        <v>389</v>
      </c>
      <c r="F796" s="9">
        <f t="shared" ca="1" si="161"/>
        <v>817</v>
      </c>
      <c r="G796" s="12" t="str">
        <f t="shared" ca="1" si="162"/>
        <v>Yes</v>
      </c>
      <c r="H796" s="12">
        <f t="shared" ca="1" si="170"/>
        <v>0.39465888442705521</v>
      </c>
      <c r="I796" s="10">
        <f t="shared" ca="1" si="163"/>
        <v>1</v>
      </c>
      <c r="J796" s="13">
        <f t="shared" ca="1" si="164"/>
        <v>300</v>
      </c>
      <c r="K796" s="14">
        <f t="shared" ca="1" si="165"/>
        <v>163.4</v>
      </c>
      <c r="L796" s="14">
        <f t="shared" ca="1" si="166"/>
        <v>0</v>
      </c>
      <c r="M796" s="15">
        <f t="shared" ca="1" si="167"/>
        <v>463.4</v>
      </c>
      <c r="N796" s="16">
        <f ca="1">SUM($M$9:M796)/A796</f>
        <v>338.14999999999986</v>
      </c>
      <c r="O796" s="6"/>
    </row>
    <row r="797" spans="1:15" x14ac:dyDescent="0.25">
      <c r="A797" s="8">
        <v>789</v>
      </c>
      <c r="B797" s="9">
        <f t="shared" ca="1" si="159"/>
        <v>2617</v>
      </c>
      <c r="C797" s="10">
        <f t="shared" ca="1" si="160"/>
        <v>1800</v>
      </c>
      <c r="D797" s="11">
        <f t="shared" ca="1" si="168"/>
        <v>0.11374427559496758</v>
      </c>
      <c r="E797" s="9">
        <f t="shared" ca="1" si="169"/>
        <v>339</v>
      </c>
      <c r="F797" s="9">
        <f t="shared" ca="1" si="161"/>
        <v>2278</v>
      </c>
      <c r="G797" s="12" t="str">
        <f t="shared" ca="1" si="162"/>
        <v>No</v>
      </c>
      <c r="H797" s="12">
        <f t="shared" ca="1" si="170"/>
        <v>0</v>
      </c>
      <c r="I797" s="10">
        <f t="shared" ca="1" si="163"/>
        <v>0</v>
      </c>
      <c r="J797" s="13">
        <f t="shared" ca="1" si="164"/>
        <v>0</v>
      </c>
      <c r="K797" s="14">
        <f t="shared" ca="1" si="165"/>
        <v>455.6</v>
      </c>
      <c r="L797" s="14">
        <f t="shared" ca="1" si="166"/>
        <v>0</v>
      </c>
      <c r="M797" s="15">
        <f t="shared" ca="1" si="167"/>
        <v>455.6</v>
      </c>
      <c r="N797" s="16">
        <f ca="1">SUM($M$9:M797)/A797</f>
        <v>338.2988593155892</v>
      </c>
      <c r="O797" s="6"/>
    </row>
    <row r="798" spans="1:15" x14ac:dyDescent="0.25">
      <c r="A798" s="8">
        <v>790</v>
      </c>
      <c r="B798" s="9">
        <f t="shared" ca="1" si="159"/>
        <v>2278</v>
      </c>
      <c r="C798" s="10">
        <f t="shared" ca="1" si="160"/>
        <v>0</v>
      </c>
      <c r="D798" s="11">
        <f t="shared" ca="1" si="168"/>
        <v>0.16835666818508632</v>
      </c>
      <c r="E798" s="9">
        <f t="shared" ca="1" si="169"/>
        <v>351</v>
      </c>
      <c r="F798" s="9">
        <f t="shared" ca="1" si="161"/>
        <v>1927</v>
      </c>
      <c r="G798" s="12" t="str">
        <f t="shared" ca="1" si="162"/>
        <v>No</v>
      </c>
      <c r="H798" s="12">
        <f t="shared" ca="1" si="170"/>
        <v>0</v>
      </c>
      <c r="I798" s="10">
        <f t="shared" ca="1" si="163"/>
        <v>0</v>
      </c>
      <c r="J798" s="13">
        <f t="shared" ca="1" si="164"/>
        <v>0</v>
      </c>
      <c r="K798" s="14">
        <f t="shared" ca="1" si="165"/>
        <v>385.40000000000003</v>
      </c>
      <c r="L798" s="14">
        <f t="shared" ca="1" si="166"/>
        <v>0</v>
      </c>
      <c r="M798" s="15">
        <f t="shared" ca="1" si="167"/>
        <v>385.40000000000003</v>
      </c>
      <c r="N798" s="16">
        <f ca="1">SUM($M$9:M798)/A798</f>
        <v>338.3584810126581</v>
      </c>
      <c r="O798" s="6"/>
    </row>
    <row r="799" spans="1:15" x14ac:dyDescent="0.25">
      <c r="A799" s="8">
        <v>791</v>
      </c>
      <c r="B799" s="9">
        <f t="shared" ca="1" si="159"/>
        <v>1927</v>
      </c>
      <c r="C799" s="10">
        <f t="shared" ca="1" si="160"/>
        <v>0</v>
      </c>
      <c r="D799" s="11">
        <f t="shared" ca="1" si="168"/>
        <v>0.73239709804946629</v>
      </c>
      <c r="E799" s="9">
        <f t="shared" ca="1" si="169"/>
        <v>431</v>
      </c>
      <c r="F799" s="9">
        <f t="shared" ca="1" si="161"/>
        <v>1496</v>
      </c>
      <c r="G799" s="12" t="str">
        <f t="shared" ca="1" si="162"/>
        <v>No</v>
      </c>
      <c r="H799" s="12">
        <f t="shared" ca="1" si="170"/>
        <v>0</v>
      </c>
      <c r="I799" s="10">
        <f t="shared" ca="1" si="163"/>
        <v>0</v>
      </c>
      <c r="J799" s="13">
        <f t="shared" ca="1" si="164"/>
        <v>0</v>
      </c>
      <c r="K799" s="14">
        <f t="shared" ca="1" si="165"/>
        <v>299.2</v>
      </c>
      <c r="L799" s="14">
        <f t="shared" ca="1" si="166"/>
        <v>0</v>
      </c>
      <c r="M799" s="15">
        <f t="shared" ca="1" si="167"/>
        <v>299.2</v>
      </c>
      <c r="N799" s="16">
        <f ca="1">SUM($M$9:M799)/A799</f>
        <v>338.3089759797723</v>
      </c>
      <c r="O799" s="6"/>
    </row>
    <row r="800" spans="1:15" x14ac:dyDescent="0.25">
      <c r="A800" s="8">
        <v>792</v>
      </c>
      <c r="B800" s="9">
        <f t="shared" ca="1" si="159"/>
        <v>1496</v>
      </c>
      <c r="C800" s="10">
        <f t="shared" ca="1" si="160"/>
        <v>0</v>
      </c>
      <c r="D800" s="11">
        <f t="shared" ca="1" si="168"/>
        <v>0.70662819263628418</v>
      </c>
      <c r="E800" s="9">
        <f t="shared" ca="1" si="169"/>
        <v>427</v>
      </c>
      <c r="F800" s="9">
        <f t="shared" ca="1" si="161"/>
        <v>1069</v>
      </c>
      <c r="G800" s="12" t="str">
        <f t="shared" ca="1" si="162"/>
        <v>No</v>
      </c>
      <c r="H800" s="12">
        <f t="shared" ca="1" si="170"/>
        <v>0</v>
      </c>
      <c r="I800" s="10">
        <f t="shared" ca="1" si="163"/>
        <v>0</v>
      </c>
      <c r="J800" s="13">
        <f t="shared" ca="1" si="164"/>
        <v>0</v>
      </c>
      <c r="K800" s="14">
        <f t="shared" ca="1" si="165"/>
        <v>213.8</v>
      </c>
      <c r="L800" s="14">
        <f t="shared" ca="1" si="166"/>
        <v>0</v>
      </c>
      <c r="M800" s="15">
        <f t="shared" ca="1" si="167"/>
        <v>213.8</v>
      </c>
      <c r="N800" s="16">
        <f ca="1">SUM($M$9:M800)/A800</f>
        <v>338.15176767676752</v>
      </c>
      <c r="O800" s="6"/>
    </row>
    <row r="801" spans="1:15" x14ac:dyDescent="0.25">
      <c r="A801" s="8">
        <v>793</v>
      </c>
      <c r="B801" s="9">
        <f t="shared" ca="1" si="159"/>
        <v>1069</v>
      </c>
      <c r="C801" s="10">
        <f t="shared" ca="1" si="160"/>
        <v>0</v>
      </c>
      <c r="D801" s="11">
        <f t="shared" ca="1" si="168"/>
        <v>0.68523537245494137</v>
      </c>
      <c r="E801" s="9">
        <f t="shared" ca="1" si="169"/>
        <v>424</v>
      </c>
      <c r="F801" s="9">
        <f t="shared" ca="1" si="161"/>
        <v>645</v>
      </c>
      <c r="G801" s="12" t="str">
        <f t="shared" ca="1" si="162"/>
        <v>Yes</v>
      </c>
      <c r="H801" s="12">
        <f t="shared" ca="1" si="170"/>
        <v>0.10729599178660221</v>
      </c>
      <c r="I801" s="10">
        <f t="shared" ca="1" si="163"/>
        <v>1</v>
      </c>
      <c r="J801" s="13">
        <f t="shared" ca="1" si="164"/>
        <v>300</v>
      </c>
      <c r="K801" s="14">
        <f t="shared" ca="1" si="165"/>
        <v>129</v>
      </c>
      <c r="L801" s="14">
        <f t="shared" ca="1" si="166"/>
        <v>0</v>
      </c>
      <c r="M801" s="15">
        <f t="shared" ca="1" si="167"/>
        <v>429</v>
      </c>
      <c r="N801" s="16">
        <f ca="1">SUM($M$9:M801)/A801</f>
        <v>338.26633039092042</v>
      </c>
      <c r="O801" s="6"/>
    </row>
    <row r="802" spans="1:15" x14ac:dyDescent="0.25">
      <c r="A802" s="8">
        <v>794</v>
      </c>
      <c r="B802" s="9">
        <f t="shared" ca="1" si="159"/>
        <v>2445</v>
      </c>
      <c r="C802" s="10">
        <f t="shared" ca="1" si="160"/>
        <v>1800</v>
      </c>
      <c r="D802" s="11">
        <f t="shared" ca="1" si="168"/>
        <v>0.91101294189178095</v>
      </c>
      <c r="E802" s="9">
        <f t="shared" ca="1" si="169"/>
        <v>467</v>
      </c>
      <c r="F802" s="9">
        <f t="shared" ca="1" si="161"/>
        <v>1978</v>
      </c>
      <c r="G802" s="12" t="str">
        <f t="shared" ca="1" si="162"/>
        <v>No</v>
      </c>
      <c r="H802" s="12">
        <f t="shared" ca="1" si="170"/>
        <v>0</v>
      </c>
      <c r="I802" s="10">
        <f t="shared" ca="1" si="163"/>
        <v>0</v>
      </c>
      <c r="J802" s="13">
        <f t="shared" ca="1" si="164"/>
        <v>0</v>
      </c>
      <c r="K802" s="14">
        <f t="shared" ca="1" si="165"/>
        <v>395.6</v>
      </c>
      <c r="L802" s="14">
        <f t="shared" ca="1" si="166"/>
        <v>0</v>
      </c>
      <c r="M802" s="15">
        <f t="shared" ca="1" si="167"/>
        <v>395.6</v>
      </c>
      <c r="N802" s="16">
        <f ca="1">SUM($M$9:M802)/A802</f>
        <v>338.33853904282103</v>
      </c>
      <c r="O802" s="6"/>
    </row>
    <row r="803" spans="1:15" x14ac:dyDescent="0.25">
      <c r="A803" s="8">
        <v>795</v>
      </c>
      <c r="B803" s="9">
        <f t="shared" ca="1" si="159"/>
        <v>1978</v>
      </c>
      <c r="C803" s="10">
        <f t="shared" ca="1" si="160"/>
        <v>0</v>
      </c>
      <c r="D803" s="11">
        <f t="shared" ca="1" si="168"/>
        <v>0.15062088628952308</v>
      </c>
      <c r="E803" s="9">
        <f t="shared" ca="1" si="169"/>
        <v>348</v>
      </c>
      <c r="F803" s="9">
        <f t="shared" ca="1" si="161"/>
        <v>1630</v>
      </c>
      <c r="G803" s="12" t="str">
        <f t="shared" ca="1" si="162"/>
        <v>No</v>
      </c>
      <c r="H803" s="12">
        <f t="shared" ca="1" si="170"/>
        <v>0</v>
      </c>
      <c r="I803" s="10">
        <f t="shared" ca="1" si="163"/>
        <v>0</v>
      </c>
      <c r="J803" s="13">
        <f t="shared" ca="1" si="164"/>
        <v>0</v>
      </c>
      <c r="K803" s="14">
        <f t="shared" ca="1" si="165"/>
        <v>326</v>
      </c>
      <c r="L803" s="14">
        <f t="shared" ca="1" si="166"/>
        <v>0</v>
      </c>
      <c r="M803" s="15">
        <f t="shared" ca="1" si="167"/>
        <v>326</v>
      </c>
      <c r="N803" s="16">
        <f ca="1">SUM($M$9:M803)/A803</f>
        <v>338.32301886792436</v>
      </c>
      <c r="O803" s="6"/>
    </row>
    <row r="804" spans="1:15" x14ac:dyDescent="0.25">
      <c r="A804" s="8">
        <v>796</v>
      </c>
      <c r="B804" s="9">
        <f t="shared" ca="1" si="159"/>
        <v>1630</v>
      </c>
      <c r="C804" s="10">
        <f t="shared" ca="1" si="160"/>
        <v>0</v>
      </c>
      <c r="D804" s="11">
        <f t="shared" ca="1" si="168"/>
        <v>0.77005015337705474</v>
      </c>
      <c r="E804" s="9">
        <f t="shared" ca="1" si="169"/>
        <v>436</v>
      </c>
      <c r="F804" s="9">
        <f t="shared" ca="1" si="161"/>
        <v>1194</v>
      </c>
      <c r="G804" s="12" t="str">
        <f t="shared" ca="1" si="162"/>
        <v>No</v>
      </c>
      <c r="H804" s="12">
        <f t="shared" ca="1" si="170"/>
        <v>0</v>
      </c>
      <c r="I804" s="10">
        <f t="shared" ca="1" si="163"/>
        <v>0</v>
      </c>
      <c r="J804" s="13">
        <f t="shared" ca="1" si="164"/>
        <v>0</v>
      </c>
      <c r="K804" s="14">
        <f t="shared" ca="1" si="165"/>
        <v>238.8</v>
      </c>
      <c r="L804" s="14">
        <f t="shared" ca="1" si="166"/>
        <v>0</v>
      </c>
      <c r="M804" s="15">
        <f t="shared" ca="1" si="167"/>
        <v>238.8</v>
      </c>
      <c r="N804" s="16">
        <f ca="1">SUM($M$9:M804)/A804</f>
        <v>338.19798994974855</v>
      </c>
      <c r="O804" s="6"/>
    </row>
    <row r="805" spans="1:15" x14ac:dyDescent="0.25">
      <c r="A805" s="8">
        <v>797</v>
      </c>
      <c r="B805" s="9">
        <f t="shared" ca="1" si="159"/>
        <v>1194</v>
      </c>
      <c r="C805" s="10">
        <f t="shared" ca="1" si="160"/>
        <v>0</v>
      </c>
      <c r="D805" s="11">
        <f t="shared" ca="1" si="168"/>
        <v>0.22665278556415158</v>
      </c>
      <c r="E805" s="9">
        <f t="shared" ca="1" si="169"/>
        <v>362</v>
      </c>
      <c r="F805" s="9">
        <f t="shared" ca="1" si="161"/>
        <v>832</v>
      </c>
      <c r="G805" s="12" t="str">
        <f t="shared" ca="1" si="162"/>
        <v>Yes</v>
      </c>
      <c r="H805" s="12">
        <f t="shared" ca="1" si="170"/>
        <v>0.25635691944460426</v>
      </c>
      <c r="I805" s="10">
        <f t="shared" ca="1" si="163"/>
        <v>1</v>
      </c>
      <c r="J805" s="13">
        <f t="shared" ca="1" si="164"/>
        <v>300</v>
      </c>
      <c r="K805" s="14">
        <f t="shared" ca="1" si="165"/>
        <v>166.4</v>
      </c>
      <c r="L805" s="14">
        <f t="shared" ca="1" si="166"/>
        <v>0</v>
      </c>
      <c r="M805" s="15">
        <f t="shared" ca="1" si="167"/>
        <v>466.4</v>
      </c>
      <c r="N805" s="16">
        <f ca="1">SUM($M$9:M805)/A805</f>
        <v>338.35884567126709</v>
      </c>
      <c r="O805" s="6"/>
    </row>
    <row r="806" spans="1:15" x14ac:dyDescent="0.25">
      <c r="A806" s="8">
        <v>798</v>
      </c>
      <c r="B806" s="9">
        <f t="shared" ca="1" si="159"/>
        <v>2632</v>
      </c>
      <c r="C806" s="10">
        <f t="shared" ca="1" si="160"/>
        <v>1800</v>
      </c>
      <c r="D806" s="11">
        <f t="shared" ca="1" si="168"/>
        <v>0.10099952540775592</v>
      </c>
      <c r="E806" s="9">
        <f t="shared" ca="1" si="169"/>
        <v>336</v>
      </c>
      <c r="F806" s="9">
        <f t="shared" ca="1" si="161"/>
        <v>2296</v>
      </c>
      <c r="G806" s="12" t="str">
        <f t="shared" ca="1" si="162"/>
        <v>No</v>
      </c>
      <c r="H806" s="12">
        <f t="shared" ca="1" si="170"/>
        <v>0</v>
      </c>
      <c r="I806" s="10">
        <f t="shared" ca="1" si="163"/>
        <v>0</v>
      </c>
      <c r="J806" s="13">
        <f t="shared" ca="1" si="164"/>
        <v>0</v>
      </c>
      <c r="K806" s="14">
        <f t="shared" ca="1" si="165"/>
        <v>459.20000000000005</v>
      </c>
      <c r="L806" s="14">
        <f t="shared" ca="1" si="166"/>
        <v>0</v>
      </c>
      <c r="M806" s="15">
        <f t="shared" ca="1" si="167"/>
        <v>459.20000000000005</v>
      </c>
      <c r="N806" s="16">
        <f ca="1">SUM($M$9:M806)/A806</f>
        <v>338.51027568922291</v>
      </c>
      <c r="O806" s="6"/>
    </row>
    <row r="807" spans="1:15" x14ac:dyDescent="0.25">
      <c r="A807" s="8">
        <v>799</v>
      </c>
      <c r="B807" s="9">
        <f t="shared" ca="1" si="159"/>
        <v>2296</v>
      </c>
      <c r="C807" s="10">
        <f t="shared" ca="1" si="160"/>
        <v>0</v>
      </c>
      <c r="D807" s="11">
        <f t="shared" ca="1" si="168"/>
        <v>0.31983951394802512</v>
      </c>
      <c r="E807" s="9">
        <f t="shared" ca="1" si="169"/>
        <v>376</v>
      </c>
      <c r="F807" s="9">
        <f t="shared" ca="1" si="161"/>
        <v>1920</v>
      </c>
      <c r="G807" s="12" t="str">
        <f t="shared" ca="1" si="162"/>
        <v>No</v>
      </c>
      <c r="H807" s="12">
        <f t="shared" ca="1" si="170"/>
        <v>0</v>
      </c>
      <c r="I807" s="10">
        <f t="shared" ca="1" si="163"/>
        <v>0</v>
      </c>
      <c r="J807" s="13">
        <f t="shared" ca="1" si="164"/>
        <v>0</v>
      </c>
      <c r="K807" s="14">
        <f t="shared" ca="1" si="165"/>
        <v>384</v>
      </c>
      <c r="L807" s="14">
        <f t="shared" ca="1" si="166"/>
        <v>0</v>
      </c>
      <c r="M807" s="15">
        <f t="shared" ca="1" si="167"/>
        <v>384</v>
      </c>
      <c r="N807" s="16">
        <f ca="1">SUM($M$9:M807)/A807</f>
        <v>338.56720901126397</v>
      </c>
      <c r="O807" s="6"/>
    </row>
    <row r="808" spans="1:15" x14ac:dyDescent="0.25">
      <c r="A808" s="8">
        <v>800</v>
      </c>
      <c r="B808" s="9">
        <f t="shared" ca="1" si="159"/>
        <v>1920</v>
      </c>
      <c r="C808" s="10">
        <f t="shared" ca="1" si="160"/>
        <v>0</v>
      </c>
      <c r="D808" s="11">
        <f t="shared" ca="1" si="168"/>
        <v>0.1414727745731934</v>
      </c>
      <c r="E808" s="9">
        <f t="shared" ca="1" si="169"/>
        <v>346</v>
      </c>
      <c r="F808" s="9">
        <f t="shared" ca="1" si="161"/>
        <v>1574</v>
      </c>
      <c r="G808" s="12" t="str">
        <f t="shared" ca="1" si="162"/>
        <v>No</v>
      </c>
      <c r="H808" s="12">
        <f t="shared" ca="1" si="170"/>
        <v>0</v>
      </c>
      <c r="I808" s="10">
        <f t="shared" ca="1" si="163"/>
        <v>0</v>
      </c>
      <c r="J808" s="13">
        <f t="shared" ca="1" si="164"/>
        <v>0</v>
      </c>
      <c r="K808" s="14">
        <f t="shared" ca="1" si="165"/>
        <v>314.8</v>
      </c>
      <c r="L808" s="14">
        <f t="shared" ca="1" si="166"/>
        <v>0</v>
      </c>
      <c r="M808" s="15">
        <f t="shared" ca="1" si="167"/>
        <v>314.8</v>
      </c>
      <c r="N808" s="16">
        <f ca="1">SUM($M$9:M808)/A808</f>
        <v>338.53749999999985</v>
      </c>
      <c r="O808" s="6"/>
    </row>
    <row r="809" spans="1:15" x14ac:dyDescent="0.25">
      <c r="A809" s="8">
        <v>801</v>
      </c>
      <c r="B809" s="9">
        <f t="shared" ca="1" si="159"/>
        <v>1574</v>
      </c>
      <c r="C809" s="10">
        <f t="shared" ca="1" si="160"/>
        <v>0</v>
      </c>
      <c r="D809" s="11">
        <f t="shared" ca="1" si="168"/>
        <v>0.31336925602841281</v>
      </c>
      <c r="E809" s="9">
        <f t="shared" ca="1" si="169"/>
        <v>375</v>
      </c>
      <c r="F809" s="9">
        <f t="shared" ca="1" si="161"/>
        <v>1199</v>
      </c>
      <c r="G809" s="12" t="str">
        <f t="shared" ca="1" si="162"/>
        <v>No</v>
      </c>
      <c r="H809" s="12">
        <f t="shared" ca="1" si="170"/>
        <v>0</v>
      </c>
      <c r="I809" s="10">
        <f t="shared" ca="1" si="163"/>
        <v>0</v>
      </c>
      <c r="J809" s="13">
        <f t="shared" ca="1" si="164"/>
        <v>0</v>
      </c>
      <c r="K809" s="14">
        <f t="shared" ca="1" si="165"/>
        <v>239.8</v>
      </c>
      <c r="L809" s="14">
        <f t="shared" ca="1" si="166"/>
        <v>0</v>
      </c>
      <c r="M809" s="15">
        <f t="shared" ca="1" si="167"/>
        <v>239.8</v>
      </c>
      <c r="N809" s="16">
        <f ca="1">SUM($M$9:M809)/A809</f>
        <v>338.41423220973769</v>
      </c>
      <c r="O809" s="6"/>
    </row>
    <row r="810" spans="1:15" x14ac:dyDescent="0.25">
      <c r="A810" s="8">
        <v>802</v>
      </c>
      <c r="B810" s="9">
        <f t="shared" ca="1" si="159"/>
        <v>1199</v>
      </c>
      <c r="C810" s="10">
        <f t="shared" ca="1" si="160"/>
        <v>0</v>
      </c>
      <c r="D810" s="11">
        <f t="shared" ca="1" si="168"/>
        <v>0.99150738326171417</v>
      </c>
      <c r="E810" s="9">
        <f t="shared" ca="1" si="169"/>
        <v>519</v>
      </c>
      <c r="F810" s="9">
        <f t="shared" ca="1" si="161"/>
        <v>680</v>
      </c>
      <c r="G810" s="12" t="str">
        <f t="shared" ca="1" si="162"/>
        <v>Yes</v>
      </c>
      <c r="H810" s="12">
        <f t="shared" ca="1" si="170"/>
        <v>0.13493712268769598</v>
      </c>
      <c r="I810" s="10">
        <f t="shared" ca="1" si="163"/>
        <v>1</v>
      </c>
      <c r="J810" s="13">
        <f t="shared" ca="1" si="164"/>
        <v>300</v>
      </c>
      <c r="K810" s="14">
        <f t="shared" ca="1" si="165"/>
        <v>136</v>
      </c>
      <c r="L810" s="14">
        <f t="shared" ca="1" si="166"/>
        <v>0</v>
      </c>
      <c r="M810" s="15">
        <f t="shared" ca="1" si="167"/>
        <v>436</v>
      </c>
      <c r="N810" s="16">
        <f ca="1">SUM($M$9:M810)/A810</f>
        <v>338.53591022443874</v>
      </c>
      <c r="O810" s="6"/>
    </row>
    <row r="811" spans="1:15" x14ac:dyDescent="0.25">
      <c r="A811" s="8">
        <v>803</v>
      </c>
      <c r="B811" s="9">
        <f t="shared" ca="1" si="159"/>
        <v>2480</v>
      </c>
      <c r="C811" s="10">
        <f t="shared" ca="1" si="160"/>
        <v>1800</v>
      </c>
      <c r="D811" s="11">
        <f t="shared" ca="1" si="168"/>
        <v>8.0521629053304844E-2</v>
      </c>
      <c r="E811" s="9">
        <f t="shared" ca="1" si="169"/>
        <v>329</v>
      </c>
      <c r="F811" s="9">
        <f t="shared" ca="1" si="161"/>
        <v>2151</v>
      </c>
      <c r="G811" s="12" t="str">
        <f t="shared" ca="1" si="162"/>
        <v>No</v>
      </c>
      <c r="H811" s="12">
        <f t="shared" ca="1" si="170"/>
        <v>0</v>
      </c>
      <c r="I811" s="10">
        <f t="shared" ca="1" si="163"/>
        <v>0</v>
      </c>
      <c r="J811" s="13">
        <f t="shared" ca="1" si="164"/>
        <v>0</v>
      </c>
      <c r="K811" s="14">
        <f t="shared" ca="1" si="165"/>
        <v>430.20000000000005</v>
      </c>
      <c r="L811" s="14">
        <f t="shared" ca="1" si="166"/>
        <v>0</v>
      </c>
      <c r="M811" s="15">
        <f t="shared" ca="1" si="167"/>
        <v>430.20000000000005</v>
      </c>
      <c r="N811" s="16">
        <f ca="1">SUM($M$9:M811)/A811</f>
        <v>338.65006226650047</v>
      </c>
      <c r="O811" s="6"/>
    </row>
    <row r="812" spans="1:15" x14ac:dyDescent="0.25">
      <c r="A812" s="8">
        <v>804</v>
      </c>
      <c r="B812" s="9">
        <f t="shared" ca="1" si="159"/>
        <v>2151</v>
      </c>
      <c r="C812" s="10">
        <f t="shared" ca="1" si="160"/>
        <v>0</v>
      </c>
      <c r="D812" s="11">
        <f t="shared" ca="1" si="168"/>
        <v>0.30196251782739092</v>
      </c>
      <c r="E812" s="9">
        <f t="shared" ca="1" si="169"/>
        <v>374</v>
      </c>
      <c r="F812" s="9">
        <f t="shared" ca="1" si="161"/>
        <v>1777</v>
      </c>
      <c r="G812" s="12" t="str">
        <f t="shared" ca="1" si="162"/>
        <v>No</v>
      </c>
      <c r="H812" s="12">
        <f t="shared" ca="1" si="170"/>
        <v>0</v>
      </c>
      <c r="I812" s="10">
        <f t="shared" ca="1" si="163"/>
        <v>0</v>
      </c>
      <c r="J812" s="13">
        <f t="shared" ca="1" si="164"/>
        <v>0</v>
      </c>
      <c r="K812" s="14">
        <f t="shared" ca="1" si="165"/>
        <v>355.40000000000003</v>
      </c>
      <c r="L812" s="14">
        <f t="shared" ca="1" si="166"/>
        <v>0</v>
      </c>
      <c r="M812" s="15">
        <f t="shared" ca="1" si="167"/>
        <v>355.40000000000003</v>
      </c>
      <c r="N812" s="16">
        <f ca="1">SUM($M$9:M812)/A812</f>
        <v>338.67089552238792</v>
      </c>
      <c r="O812" s="6"/>
    </row>
    <row r="813" spans="1:15" x14ac:dyDescent="0.25">
      <c r="A813" s="8">
        <v>805</v>
      </c>
      <c r="B813" s="9">
        <f t="shared" ca="1" si="159"/>
        <v>1777</v>
      </c>
      <c r="C813" s="10">
        <f t="shared" ca="1" si="160"/>
        <v>0</v>
      </c>
      <c r="D813" s="11">
        <f t="shared" ca="1" si="168"/>
        <v>0.3531993593661884</v>
      </c>
      <c r="E813" s="9">
        <f t="shared" ca="1" si="169"/>
        <v>381</v>
      </c>
      <c r="F813" s="9">
        <f t="shared" ca="1" si="161"/>
        <v>1396</v>
      </c>
      <c r="G813" s="12" t="str">
        <f t="shared" ca="1" si="162"/>
        <v>No</v>
      </c>
      <c r="H813" s="12">
        <f t="shared" ca="1" si="170"/>
        <v>0</v>
      </c>
      <c r="I813" s="10">
        <f t="shared" ca="1" si="163"/>
        <v>0</v>
      </c>
      <c r="J813" s="13">
        <f t="shared" ca="1" si="164"/>
        <v>0</v>
      </c>
      <c r="K813" s="14">
        <f t="shared" ca="1" si="165"/>
        <v>279.2</v>
      </c>
      <c r="L813" s="14">
        <f t="shared" ca="1" si="166"/>
        <v>0</v>
      </c>
      <c r="M813" s="15">
        <f t="shared" ca="1" si="167"/>
        <v>279.2</v>
      </c>
      <c r="N813" s="16">
        <f ca="1">SUM($M$9:M813)/A813</f>
        <v>338.59701863354024</v>
      </c>
      <c r="O813" s="6"/>
    </row>
    <row r="814" spans="1:15" x14ac:dyDescent="0.25">
      <c r="A814" s="8">
        <v>806</v>
      </c>
      <c r="B814" s="9">
        <f t="shared" ca="1" si="159"/>
        <v>1396</v>
      </c>
      <c r="C814" s="10">
        <f t="shared" ca="1" si="160"/>
        <v>0</v>
      </c>
      <c r="D814" s="11">
        <f t="shared" ca="1" si="168"/>
        <v>0.76100760112771171</v>
      </c>
      <c r="E814" s="9">
        <f t="shared" ca="1" si="169"/>
        <v>435</v>
      </c>
      <c r="F814" s="9">
        <f t="shared" ca="1" si="161"/>
        <v>961</v>
      </c>
      <c r="G814" s="12" t="str">
        <f t="shared" ca="1" si="162"/>
        <v>Yes</v>
      </c>
      <c r="H814" s="12">
        <f t="shared" ca="1" si="170"/>
        <v>0.7545461179623798</v>
      </c>
      <c r="I814" s="10">
        <f t="shared" ca="1" si="163"/>
        <v>2</v>
      </c>
      <c r="J814" s="13">
        <f t="shared" ca="1" si="164"/>
        <v>300</v>
      </c>
      <c r="K814" s="14">
        <f t="shared" ca="1" si="165"/>
        <v>192.20000000000002</v>
      </c>
      <c r="L814" s="14">
        <f t="shared" ca="1" si="166"/>
        <v>0</v>
      </c>
      <c r="M814" s="15">
        <f t="shared" ca="1" si="167"/>
        <v>492.20000000000005</v>
      </c>
      <c r="N814" s="16">
        <f ca="1">SUM($M$9:M814)/A814</f>
        <v>338.78759305210912</v>
      </c>
      <c r="O814" s="6"/>
    </row>
    <row r="815" spans="1:15" x14ac:dyDescent="0.25">
      <c r="A815" s="8">
        <v>807</v>
      </c>
      <c r="B815" s="9">
        <f t="shared" ca="1" si="159"/>
        <v>961</v>
      </c>
      <c r="C815" s="10">
        <f t="shared" ca="1" si="160"/>
        <v>0</v>
      </c>
      <c r="D815" s="11">
        <f t="shared" ca="1" si="168"/>
        <v>2.6481470811837049E-2</v>
      </c>
      <c r="E815" s="9">
        <f t="shared" ca="1" si="169"/>
        <v>303</v>
      </c>
      <c r="F815" s="9">
        <f t="shared" ca="1" si="161"/>
        <v>658</v>
      </c>
      <c r="G815" s="12" t="str">
        <f t="shared" ca="1" si="162"/>
        <v>No</v>
      </c>
      <c r="H815" s="12">
        <f t="shared" ca="1" si="170"/>
        <v>0</v>
      </c>
      <c r="I815" s="10">
        <f t="shared" ca="1" si="163"/>
        <v>1</v>
      </c>
      <c r="J815" s="13">
        <f t="shared" ca="1" si="164"/>
        <v>0</v>
      </c>
      <c r="K815" s="14">
        <f t="shared" ca="1" si="165"/>
        <v>131.6</v>
      </c>
      <c r="L815" s="14">
        <f t="shared" ca="1" si="166"/>
        <v>0</v>
      </c>
      <c r="M815" s="15">
        <f t="shared" ca="1" si="167"/>
        <v>131.6</v>
      </c>
      <c r="N815" s="16">
        <f ca="1">SUM($M$9:M815)/A815</f>
        <v>338.53085501858726</v>
      </c>
      <c r="O815" s="6"/>
    </row>
    <row r="816" spans="1:15" x14ac:dyDescent="0.25">
      <c r="A816" s="8">
        <v>808</v>
      </c>
      <c r="B816" s="9">
        <f t="shared" ca="1" si="159"/>
        <v>2458</v>
      </c>
      <c r="C816" s="10">
        <f t="shared" ca="1" si="160"/>
        <v>1800</v>
      </c>
      <c r="D816" s="11">
        <f t="shared" ca="1" si="168"/>
        <v>0.57728391164236481</v>
      </c>
      <c r="E816" s="9">
        <f t="shared" ca="1" si="169"/>
        <v>409</v>
      </c>
      <c r="F816" s="9">
        <f t="shared" ca="1" si="161"/>
        <v>2049</v>
      </c>
      <c r="G816" s="12" t="str">
        <f t="shared" ca="1" si="162"/>
        <v>No</v>
      </c>
      <c r="H816" s="12">
        <f t="shared" ca="1" si="170"/>
        <v>0</v>
      </c>
      <c r="I816" s="10">
        <f t="shared" ca="1" si="163"/>
        <v>0</v>
      </c>
      <c r="J816" s="13">
        <f t="shared" ca="1" si="164"/>
        <v>0</v>
      </c>
      <c r="K816" s="14">
        <f t="shared" ca="1" si="165"/>
        <v>409.8</v>
      </c>
      <c r="L816" s="14">
        <f t="shared" ca="1" si="166"/>
        <v>0</v>
      </c>
      <c r="M816" s="15">
        <f t="shared" ca="1" si="167"/>
        <v>409.8</v>
      </c>
      <c r="N816" s="16">
        <f ca="1">SUM($M$9:M816)/A816</f>
        <v>338.61905940594045</v>
      </c>
      <c r="O816" s="6"/>
    </row>
    <row r="817" spans="1:15" x14ac:dyDescent="0.25">
      <c r="A817" s="8">
        <v>809</v>
      </c>
      <c r="B817" s="9">
        <f t="shared" ca="1" si="159"/>
        <v>2049</v>
      </c>
      <c r="C817" s="10">
        <f t="shared" ca="1" si="160"/>
        <v>0</v>
      </c>
      <c r="D817" s="11">
        <f t="shared" ca="1" si="168"/>
        <v>0.75524858687832364</v>
      </c>
      <c r="E817" s="9">
        <f t="shared" ca="1" si="169"/>
        <v>434</v>
      </c>
      <c r="F817" s="9">
        <f t="shared" ca="1" si="161"/>
        <v>1615</v>
      </c>
      <c r="G817" s="12" t="str">
        <f t="shared" ca="1" si="162"/>
        <v>No</v>
      </c>
      <c r="H817" s="12">
        <f t="shared" ca="1" si="170"/>
        <v>0</v>
      </c>
      <c r="I817" s="10">
        <f t="shared" ca="1" si="163"/>
        <v>0</v>
      </c>
      <c r="J817" s="13">
        <f t="shared" ca="1" si="164"/>
        <v>0</v>
      </c>
      <c r="K817" s="14">
        <f t="shared" ca="1" si="165"/>
        <v>323</v>
      </c>
      <c r="L817" s="14">
        <f t="shared" ca="1" si="166"/>
        <v>0</v>
      </c>
      <c r="M817" s="15">
        <f t="shared" ca="1" si="167"/>
        <v>323</v>
      </c>
      <c r="N817" s="16">
        <f ca="1">SUM($M$9:M817)/A817</f>
        <v>338.59975278121124</v>
      </c>
      <c r="O817" s="6"/>
    </row>
    <row r="818" spans="1:15" x14ac:dyDescent="0.25">
      <c r="A818" s="8">
        <v>810</v>
      </c>
      <c r="B818" s="9">
        <f t="shared" ca="1" si="159"/>
        <v>1615</v>
      </c>
      <c r="C818" s="10">
        <f t="shared" ca="1" si="160"/>
        <v>0</v>
      </c>
      <c r="D818" s="11">
        <f t="shared" ca="1" si="168"/>
        <v>4.8306691467858931E-2</v>
      </c>
      <c r="E818" s="9">
        <f t="shared" ca="1" si="169"/>
        <v>316</v>
      </c>
      <c r="F818" s="9">
        <f t="shared" ca="1" si="161"/>
        <v>1299</v>
      </c>
      <c r="G818" s="12" t="str">
        <f t="shared" ca="1" si="162"/>
        <v>No</v>
      </c>
      <c r="H818" s="12">
        <f t="shared" ca="1" si="170"/>
        <v>0</v>
      </c>
      <c r="I818" s="10">
        <f t="shared" ca="1" si="163"/>
        <v>0</v>
      </c>
      <c r="J818" s="13">
        <f t="shared" ca="1" si="164"/>
        <v>0</v>
      </c>
      <c r="K818" s="14">
        <f t="shared" ca="1" si="165"/>
        <v>259.8</v>
      </c>
      <c r="L818" s="14">
        <f t="shared" ca="1" si="166"/>
        <v>0</v>
      </c>
      <c r="M818" s="15">
        <f t="shared" ca="1" si="167"/>
        <v>259.8</v>
      </c>
      <c r="N818" s="16">
        <f ca="1">SUM($M$9:M818)/A818</f>
        <v>338.5024691358023</v>
      </c>
      <c r="O818" s="6"/>
    </row>
    <row r="819" spans="1:15" x14ac:dyDescent="0.25">
      <c r="A819" s="8">
        <v>811</v>
      </c>
      <c r="B819" s="9">
        <f t="shared" ca="1" si="159"/>
        <v>1299</v>
      </c>
      <c r="C819" s="10">
        <f t="shared" ca="1" si="160"/>
        <v>0</v>
      </c>
      <c r="D819" s="11">
        <f t="shared" ca="1" si="168"/>
        <v>0.96749543281187766</v>
      </c>
      <c r="E819" s="9">
        <f t="shared" ca="1" si="169"/>
        <v>492</v>
      </c>
      <c r="F819" s="9">
        <f t="shared" ca="1" si="161"/>
        <v>807</v>
      </c>
      <c r="G819" s="12" t="str">
        <f t="shared" ca="1" si="162"/>
        <v>Yes</v>
      </c>
      <c r="H819" s="12">
        <f t="shared" ca="1" si="170"/>
        <v>4.3371872963786862E-2</v>
      </c>
      <c r="I819" s="10">
        <f t="shared" ca="1" si="163"/>
        <v>1</v>
      </c>
      <c r="J819" s="13">
        <f t="shared" ca="1" si="164"/>
        <v>300</v>
      </c>
      <c r="K819" s="14">
        <f t="shared" ca="1" si="165"/>
        <v>161.4</v>
      </c>
      <c r="L819" s="14">
        <f t="shared" ca="1" si="166"/>
        <v>0</v>
      </c>
      <c r="M819" s="15">
        <f t="shared" ca="1" si="167"/>
        <v>461.4</v>
      </c>
      <c r="N819" s="16">
        <f ca="1">SUM($M$9:M819)/A819</f>
        <v>338.65400739827362</v>
      </c>
      <c r="O819" s="6"/>
    </row>
    <row r="820" spans="1:15" x14ac:dyDescent="0.25">
      <c r="A820" s="8">
        <v>812</v>
      </c>
      <c r="B820" s="9">
        <f t="shared" ca="1" si="159"/>
        <v>2607</v>
      </c>
      <c r="C820" s="10">
        <f t="shared" ca="1" si="160"/>
        <v>1800</v>
      </c>
      <c r="D820" s="11">
        <f t="shared" ca="1" si="168"/>
        <v>1.6423133916482091E-2</v>
      </c>
      <c r="E820" s="9">
        <f t="shared" ca="1" si="169"/>
        <v>293</v>
      </c>
      <c r="F820" s="9">
        <f t="shared" ca="1" si="161"/>
        <v>2314</v>
      </c>
      <c r="G820" s="12" t="str">
        <f t="shared" ca="1" si="162"/>
        <v>No</v>
      </c>
      <c r="H820" s="12">
        <f t="shared" ca="1" si="170"/>
        <v>0</v>
      </c>
      <c r="I820" s="10">
        <f t="shared" ca="1" si="163"/>
        <v>0</v>
      </c>
      <c r="J820" s="13">
        <f t="shared" ca="1" si="164"/>
        <v>0</v>
      </c>
      <c r="K820" s="14">
        <f t="shared" ca="1" si="165"/>
        <v>462.8</v>
      </c>
      <c r="L820" s="14">
        <f t="shared" ca="1" si="166"/>
        <v>0</v>
      </c>
      <c r="M820" s="15">
        <f t="shared" ca="1" si="167"/>
        <v>462.8</v>
      </c>
      <c r="N820" s="16">
        <f ca="1">SUM($M$9:M820)/A820</f>
        <v>338.80689655172404</v>
      </c>
      <c r="O820" s="6"/>
    </row>
    <row r="821" spans="1:15" x14ac:dyDescent="0.25">
      <c r="A821" s="8">
        <v>813</v>
      </c>
      <c r="B821" s="9">
        <f t="shared" ca="1" si="159"/>
        <v>2314</v>
      </c>
      <c r="C821" s="10">
        <f t="shared" ca="1" si="160"/>
        <v>0</v>
      </c>
      <c r="D821" s="11">
        <f t="shared" ca="1" si="168"/>
        <v>4.5595554552330997E-2</v>
      </c>
      <c r="E821" s="9">
        <f t="shared" ca="1" si="169"/>
        <v>315</v>
      </c>
      <c r="F821" s="9">
        <f t="shared" ca="1" si="161"/>
        <v>1999</v>
      </c>
      <c r="G821" s="12" t="str">
        <f t="shared" ca="1" si="162"/>
        <v>No</v>
      </c>
      <c r="H821" s="12">
        <f t="shared" ca="1" si="170"/>
        <v>0</v>
      </c>
      <c r="I821" s="10">
        <f t="shared" ca="1" si="163"/>
        <v>0</v>
      </c>
      <c r="J821" s="13">
        <f t="shared" ca="1" si="164"/>
        <v>0</v>
      </c>
      <c r="K821" s="14">
        <f t="shared" ca="1" si="165"/>
        <v>399.8</v>
      </c>
      <c r="L821" s="14">
        <f t="shared" ca="1" si="166"/>
        <v>0</v>
      </c>
      <c r="M821" s="15">
        <f t="shared" ca="1" si="167"/>
        <v>399.8</v>
      </c>
      <c r="N821" s="16">
        <f ca="1">SUM($M$9:M821)/A821</f>
        <v>338.88191881918806</v>
      </c>
      <c r="O821" s="6"/>
    </row>
    <row r="822" spans="1:15" x14ac:dyDescent="0.25">
      <c r="A822" s="8">
        <v>814</v>
      </c>
      <c r="B822" s="9">
        <f t="shared" ca="1" si="159"/>
        <v>1999</v>
      </c>
      <c r="C822" s="10">
        <f t="shared" ca="1" si="160"/>
        <v>0</v>
      </c>
      <c r="D822" s="11">
        <f t="shared" ca="1" si="168"/>
        <v>0.99439684746819867</v>
      </c>
      <c r="E822" s="9">
        <f t="shared" ca="1" si="169"/>
        <v>526</v>
      </c>
      <c r="F822" s="9">
        <f t="shared" ca="1" si="161"/>
        <v>1473</v>
      </c>
      <c r="G822" s="12" t="str">
        <f t="shared" ca="1" si="162"/>
        <v>No</v>
      </c>
      <c r="H822" s="12">
        <f t="shared" ca="1" si="170"/>
        <v>0</v>
      </c>
      <c r="I822" s="10">
        <f t="shared" ca="1" si="163"/>
        <v>0</v>
      </c>
      <c r="J822" s="13">
        <f t="shared" ca="1" si="164"/>
        <v>0</v>
      </c>
      <c r="K822" s="14">
        <f t="shared" ca="1" si="165"/>
        <v>294.60000000000002</v>
      </c>
      <c r="L822" s="14">
        <f t="shared" ca="1" si="166"/>
        <v>0</v>
      </c>
      <c r="M822" s="15">
        <f t="shared" ca="1" si="167"/>
        <v>294.60000000000002</v>
      </c>
      <c r="N822" s="16">
        <f ca="1">SUM($M$9:M822)/A822</f>
        <v>338.82751842751827</v>
      </c>
      <c r="O822" s="6"/>
    </row>
    <row r="823" spans="1:15" x14ac:dyDescent="0.25">
      <c r="A823" s="8">
        <v>815</v>
      </c>
      <c r="B823" s="9">
        <f t="shared" ca="1" si="159"/>
        <v>1473</v>
      </c>
      <c r="C823" s="10">
        <f t="shared" ca="1" si="160"/>
        <v>0</v>
      </c>
      <c r="D823" s="11">
        <f t="shared" ca="1" si="168"/>
        <v>0.24859095887931482</v>
      </c>
      <c r="E823" s="9">
        <f t="shared" ca="1" si="169"/>
        <v>366</v>
      </c>
      <c r="F823" s="9">
        <f t="shared" ca="1" si="161"/>
        <v>1107</v>
      </c>
      <c r="G823" s="12" t="str">
        <f t="shared" ca="1" si="162"/>
        <v>No</v>
      </c>
      <c r="H823" s="12">
        <f t="shared" ca="1" si="170"/>
        <v>0</v>
      </c>
      <c r="I823" s="10">
        <f t="shared" ca="1" si="163"/>
        <v>0</v>
      </c>
      <c r="J823" s="13">
        <f t="shared" ca="1" si="164"/>
        <v>0</v>
      </c>
      <c r="K823" s="14">
        <f t="shared" ca="1" si="165"/>
        <v>221.4</v>
      </c>
      <c r="L823" s="14">
        <f t="shared" ca="1" si="166"/>
        <v>0</v>
      </c>
      <c r="M823" s="15">
        <f t="shared" ca="1" si="167"/>
        <v>221.4</v>
      </c>
      <c r="N823" s="16">
        <f ca="1">SUM($M$9:M823)/A823</f>
        <v>338.68343558282197</v>
      </c>
      <c r="O823" s="6"/>
    </row>
    <row r="824" spans="1:15" x14ac:dyDescent="0.25">
      <c r="A824" s="8">
        <v>816</v>
      </c>
      <c r="B824" s="9">
        <f t="shared" ca="1" si="159"/>
        <v>1107</v>
      </c>
      <c r="C824" s="10">
        <f t="shared" ca="1" si="160"/>
        <v>0</v>
      </c>
      <c r="D824" s="11">
        <f t="shared" ca="1" si="168"/>
        <v>0.91123729147914478</v>
      </c>
      <c r="E824" s="9">
        <f t="shared" ca="1" si="169"/>
        <v>467</v>
      </c>
      <c r="F824" s="9">
        <f t="shared" ca="1" si="161"/>
        <v>640</v>
      </c>
      <c r="G824" s="12" t="str">
        <f t="shared" ca="1" si="162"/>
        <v>Yes</v>
      </c>
      <c r="H824" s="12">
        <f t="shared" ca="1" si="170"/>
        <v>0.66930083282670061</v>
      </c>
      <c r="I824" s="10">
        <f t="shared" ca="1" si="163"/>
        <v>1</v>
      </c>
      <c r="J824" s="13">
        <f t="shared" ca="1" si="164"/>
        <v>300</v>
      </c>
      <c r="K824" s="14">
        <f t="shared" ca="1" si="165"/>
        <v>128</v>
      </c>
      <c r="L824" s="14">
        <f t="shared" ca="1" si="166"/>
        <v>0</v>
      </c>
      <c r="M824" s="15">
        <f t="shared" ca="1" si="167"/>
        <v>428</v>
      </c>
      <c r="N824" s="16">
        <f ca="1">SUM($M$9:M824)/A824</f>
        <v>338.79289215686259</v>
      </c>
      <c r="O824" s="6"/>
    </row>
    <row r="825" spans="1:15" x14ac:dyDescent="0.25">
      <c r="A825" s="8">
        <v>817</v>
      </c>
      <c r="B825" s="9">
        <f t="shared" ca="1" si="159"/>
        <v>2440</v>
      </c>
      <c r="C825" s="10">
        <f t="shared" ca="1" si="160"/>
        <v>1800</v>
      </c>
      <c r="D825" s="11">
        <f t="shared" ca="1" si="168"/>
        <v>0.84417224732967178</v>
      </c>
      <c r="E825" s="9">
        <f t="shared" ca="1" si="169"/>
        <v>450</v>
      </c>
      <c r="F825" s="9">
        <f t="shared" ca="1" si="161"/>
        <v>1990</v>
      </c>
      <c r="G825" s="12" t="str">
        <f t="shared" ca="1" si="162"/>
        <v>No</v>
      </c>
      <c r="H825" s="12">
        <f t="shared" ca="1" si="170"/>
        <v>0</v>
      </c>
      <c r="I825" s="10">
        <f t="shared" ca="1" si="163"/>
        <v>0</v>
      </c>
      <c r="J825" s="13">
        <f t="shared" ca="1" si="164"/>
        <v>0</v>
      </c>
      <c r="K825" s="14">
        <f t="shared" ca="1" si="165"/>
        <v>398</v>
      </c>
      <c r="L825" s="14">
        <f t="shared" ca="1" si="166"/>
        <v>0</v>
      </c>
      <c r="M825" s="15">
        <f t="shared" ca="1" si="167"/>
        <v>398</v>
      </c>
      <c r="N825" s="16">
        <f ca="1">SUM($M$9:M825)/A825</f>
        <v>338.86536107711123</v>
      </c>
      <c r="O825" s="6"/>
    </row>
    <row r="826" spans="1:15" x14ac:dyDescent="0.25">
      <c r="A826" s="8">
        <v>818</v>
      </c>
      <c r="B826" s="9">
        <f t="shared" ca="1" si="159"/>
        <v>1990</v>
      </c>
      <c r="C826" s="10">
        <f t="shared" ca="1" si="160"/>
        <v>0</v>
      </c>
      <c r="D826" s="11">
        <f t="shared" ca="1" si="168"/>
        <v>9.4411863064269297E-2</v>
      </c>
      <c r="E826" s="9">
        <f t="shared" ca="1" si="169"/>
        <v>334</v>
      </c>
      <c r="F826" s="9">
        <f t="shared" ca="1" si="161"/>
        <v>1656</v>
      </c>
      <c r="G826" s="12" t="str">
        <f t="shared" ca="1" si="162"/>
        <v>No</v>
      </c>
      <c r="H826" s="12">
        <f t="shared" ca="1" si="170"/>
        <v>0</v>
      </c>
      <c r="I826" s="10">
        <f t="shared" ca="1" si="163"/>
        <v>0</v>
      </c>
      <c r="J826" s="13">
        <f t="shared" ca="1" si="164"/>
        <v>0</v>
      </c>
      <c r="K826" s="14">
        <f t="shared" ca="1" si="165"/>
        <v>331.20000000000005</v>
      </c>
      <c r="L826" s="14">
        <f t="shared" ca="1" si="166"/>
        <v>0</v>
      </c>
      <c r="M826" s="15">
        <f t="shared" ca="1" si="167"/>
        <v>331.20000000000005</v>
      </c>
      <c r="N826" s="16">
        <f ca="1">SUM($M$9:M826)/A826</f>
        <v>338.8559902200488</v>
      </c>
      <c r="O826" s="6"/>
    </row>
    <row r="827" spans="1:15" x14ac:dyDescent="0.25">
      <c r="A827" s="8">
        <v>819</v>
      </c>
      <c r="B827" s="9">
        <f t="shared" ca="1" si="159"/>
        <v>1656</v>
      </c>
      <c r="C827" s="10">
        <f t="shared" ca="1" si="160"/>
        <v>0</v>
      </c>
      <c r="D827" s="11">
        <f t="shared" ca="1" si="168"/>
        <v>9.5042701589685974E-3</v>
      </c>
      <c r="E827" s="9">
        <f t="shared" ca="1" si="169"/>
        <v>282</v>
      </c>
      <c r="F827" s="9">
        <f t="shared" ca="1" si="161"/>
        <v>1374</v>
      </c>
      <c r="G827" s="12" t="str">
        <f t="shared" ca="1" si="162"/>
        <v>No</v>
      </c>
      <c r="H827" s="12">
        <f t="shared" ca="1" si="170"/>
        <v>0</v>
      </c>
      <c r="I827" s="10">
        <f t="shared" ca="1" si="163"/>
        <v>0</v>
      </c>
      <c r="J827" s="13">
        <f t="shared" ca="1" si="164"/>
        <v>0</v>
      </c>
      <c r="K827" s="14">
        <f t="shared" ca="1" si="165"/>
        <v>274.8</v>
      </c>
      <c r="L827" s="14">
        <f t="shared" ca="1" si="166"/>
        <v>0</v>
      </c>
      <c r="M827" s="15">
        <f t="shared" ca="1" si="167"/>
        <v>274.8</v>
      </c>
      <c r="N827" s="16">
        <f ca="1">SUM($M$9:M827)/A827</f>
        <v>338.77777777777766</v>
      </c>
      <c r="O827" s="6"/>
    </row>
    <row r="828" spans="1:15" x14ac:dyDescent="0.25">
      <c r="A828" s="8">
        <v>820</v>
      </c>
      <c r="B828" s="9">
        <f t="shared" ca="1" si="159"/>
        <v>1374</v>
      </c>
      <c r="C828" s="10">
        <f t="shared" ca="1" si="160"/>
        <v>0</v>
      </c>
      <c r="D828" s="11">
        <f t="shared" ca="1" si="168"/>
        <v>0.54584143304416977</v>
      </c>
      <c r="E828" s="9">
        <f t="shared" ca="1" si="169"/>
        <v>405</v>
      </c>
      <c r="F828" s="9">
        <f t="shared" ca="1" si="161"/>
        <v>969</v>
      </c>
      <c r="G828" s="12" t="str">
        <f t="shared" ca="1" si="162"/>
        <v>Yes</v>
      </c>
      <c r="H828" s="12">
        <f t="shared" ca="1" si="170"/>
        <v>0.40013757212083167</v>
      </c>
      <c r="I828" s="10">
        <f t="shared" ca="1" si="163"/>
        <v>1</v>
      </c>
      <c r="J828" s="13">
        <f t="shared" ca="1" si="164"/>
        <v>300</v>
      </c>
      <c r="K828" s="14">
        <f t="shared" ca="1" si="165"/>
        <v>193.8</v>
      </c>
      <c r="L828" s="14">
        <f t="shared" ca="1" si="166"/>
        <v>0</v>
      </c>
      <c r="M828" s="15">
        <f t="shared" ca="1" si="167"/>
        <v>493.8</v>
      </c>
      <c r="N828" s="16">
        <f ca="1">SUM($M$9:M828)/A828</f>
        <v>338.96682926829254</v>
      </c>
      <c r="O828" s="6"/>
    </row>
    <row r="829" spans="1:15" x14ac:dyDescent="0.25">
      <c r="A829" s="8">
        <v>821</v>
      </c>
      <c r="B829" s="9">
        <f t="shared" ref="B829:B892" ca="1" si="171">IF(I828=1,F828+Quantity,F828)</f>
        <v>2769</v>
      </c>
      <c r="C829" s="10">
        <f t="shared" ref="C829:C892" ca="1" si="172">IF(I828=1,Quantity,0)</f>
        <v>1800</v>
      </c>
      <c r="D829" s="11">
        <f t="shared" ca="1" si="168"/>
        <v>0.19340733986096192</v>
      </c>
      <c r="E829" s="9">
        <f t="shared" ca="1" si="169"/>
        <v>356</v>
      </c>
      <c r="F829" s="9">
        <f t="shared" ref="F829:F892" ca="1" si="173">IF(B829+C829-E829&lt;0,0,B829-E829)</f>
        <v>2413</v>
      </c>
      <c r="G829" s="12" t="str">
        <f t="shared" ref="G829:G892" ca="1" si="174">IF(B829&lt;Point,IF(I828=0,"Yes","No"),"No")</f>
        <v>No</v>
      </c>
      <c r="H829" s="12">
        <f t="shared" ca="1" si="170"/>
        <v>0</v>
      </c>
      <c r="I829" s="10">
        <f t="shared" ref="I829:I892" ca="1" si="175">IF(I828&gt;0,I828-1,(IF(G829="Yes",(VLOOKUP(H829,LTD,3)),0)))</f>
        <v>0</v>
      </c>
      <c r="J829" s="13">
        <f t="shared" ref="J829:J892" ca="1" si="176">IF(G829="Yes",Order_Cost,0)</f>
        <v>0</v>
      </c>
      <c r="K829" s="14">
        <f t="shared" ref="K829:K892" ca="1" si="177">F829*Holding_Cost</f>
        <v>482.6</v>
      </c>
      <c r="L829" s="14">
        <f t="shared" ref="L829:L892" ca="1" si="178">IF(B829+C829&lt;E829,Shortage_Cost*(E829-B829-C829),0)</f>
        <v>0</v>
      </c>
      <c r="M829" s="15">
        <f t="shared" ref="M829:M892" ca="1" si="179">SUM(J829:L829)</f>
        <v>482.6</v>
      </c>
      <c r="N829" s="16">
        <f ca="1">SUM($M$9:M829)/A829</f>
        <v>339.14177831912286</v>
      </c>
      <c r="O829" s="6"/>
    </row>
    <row r="830" spans="1:15" x14ac:dyDescent="0.25">
      <c r="A830" s="8">
        <v>822</v>
      </c>
      <c r="B830" s="9">
        <f t="shared" ca="1" si="171"/>
        <v>2413</v>
      </c>
      <c r="C830" s="10">
        <f t="shared" ca="1" si="172"/>
        <v>0</v>
      </c>
      <c r="D830" s="11">
        <f t="shared" ca="1" si="168"/>
        <v>0.82497226450932015</v>
      </c>
      <c r="E830" s="9">
        <f t="shared" ca="1" si="169"/>
        <v>446</v>
      </c>
      <c r="F830" s="9">
        <f t="shared" ca="1" si="173"/>
        <v>1967</v>
      </c>
      <c r="G830" s="12" t="str">
        <f t="shared" ca="1" si="174"/>
        <v>No</v>
      </c>
      <c r="H830" s="12">
        <f t="shared" ca="1" si="170"/>
        <v>0</v>
      </c>
      <c r="I830" s="10">
        <f t="shared" ca="1" si="175"/>
        <v>0</v>
      </c>
      <c r="J830" s="13">
        <f t="shared" ca="1" si="176"/>
        <v>0</v>
      </c>
      <c r="K830" s="14">
        <f t="shared" ca="1" si="177"/>
        <v>393.40000000000003</v>
      </c>
      <c r="L830" s="14">
        <f t="shared" ca="1" si="178"/>
        <v>0</v>
      </c>
      <c r="M830" s="15">
        <f t="shared" ca="1" si="179"/>
        <v>393.40000000000003</v>
      </c>
      <c r="N830" s="16">
        <f ca="1">SUM($M$9:M830)/A830</f>
        <v>339.20778588807769</v>
      </c>
      <c r="O830" s="6"/>
    </row>
    <row r="831" spans="1:15" x14ac:dyDescent="0.25">
      <c r="A831" s="8">
        <v>823</v>
      </c>
      <c r="B831" s="9">
        <f t="shared" ca="1" si="171"/>
        <v>1967</v>
      </c>
      <c r="C831" s="10">
        <f t="shared" ca="1" si="172"/>
        <v>0</v>
      </c>
      <c r="D831" s="11">
        <f t="shared" ca="1" si="168"/>
        <v>0.86669099900086266</v>
      </c>
      <c r="E831" s="9">
        <f t="shared" ca="1" si="169"/>
        <v>455</v>
      </c>
      <c r="F831" s="9">
        <f t="shared" ca="1" si="173"/>
        <v>1512</v>
      </c>
      <c r="G831" s="12" t="str">
        <f t="shared" ca="1" si="174"/>
        <v>No</v>
      </c>
      <c r="H831" s="12">
        <f t="shared" ca="1" si="170"/>
        <v>0</v>
      </c>
      <c r="I831" s="10">
        <f t="shared" ca="1" si="175"/>
        <v>0</v>
      </c>
      <c r="J831" s="13">
        <f t="shared" ca="1" si="176"/>
        <v>0</v>
      </c>
      <c r="K831" s="14">
        <f t="shared" ca="1" si="177"/>
        <v>302.40000000000003</v>
      </c>
      <c r="L831" s="14">
        <f t="shared" ca="1" si="178"/>
        <v>0</v>
      </c>
      <c r="M831" s="15">
        <f t="shared" ca="1" si="179"/>
        <v>302.40000000000003</v>
      </c>
      <c r="N831" s="16">
        <f ca="1">SUM($M$9:M831)/A831</f>
        <v>339.16306196840816</v>
      </c>
      <c r="O831" s="6"/>
    </row>
    <row r="832" spans="1:15" x14ac:dyDescent="0.25">
      <c r="A832" s="8">
        <v>824</v>
      </c>
      <c r="B832" s="9">
        <f t="shared" ca="1" si="171"/>
        <v>1512</v>
      </c>
      <c r="C832" s="10">
        <f t="shared" ca="1" si="172"/>
        <v>0</v>
      </c>
      <c r="D832" s="11">
        <f t="shared" ca="1" si="168"/>
        <v>0.1333462806328588</v>
      </c>
      <c r="E832" s="9">
        <f t="shared" ca="1" si="169"/>
        <v>344</v>
      </c>
      <c r="F832" s="9">
        <f t="shared" ca="1" si="173"/>
        <v>1168</v>
      </c>
      <c r="G832" s="12" t="str">
        <f t="shared" ca="1" si="174"/>
        <v>No</v>
      </c>
      <c r="H832" s="12">
        <f t="shared" ca="1" si="170"/>
        <v>0</v>
      </c>
      <c r="I832" s="10">
        <f t="shared" ca="1" si="175"/>
        <v>0</v>
      </c>
      <c r="J832" s="13">
        <f t="shared" ca="1" si="176"/>
        <v>0</v>
      </c>
      <c r="K832" s="14">
        <f t="shared" ca="1" si="177"/>
        <v>233.60000000000002</v>
      </c>
      <c r="L832" s="14">
        <f t="shared" ca="1" si="178"/>
        <v>0</v>
      </c>
      <c r="M832" s="15">
        <f t="shared" ca="1" si="179"/>
        <v>233.60000000000002</v>
      </c>
      <c r="N832" s="16">
        <f ca="1">SUM($M$9:M832)/A832</f>
        <v>339.03495145631052</v>
      </c>
      <c r="O832" s="6"/>
    </row>
    <row r="833" spans="1:15" x14ac:dyDescent="0.25">
      <c r="A833" s="8">
        <v>825</v>
      </c>
      <c r="B833" s="9">
        <f t="shared" ca="1" si="171"/>
        <v>1168</v>
      </c>
      <c r="C833" s="10">
        <f t="shared" ca="1" si="172"/>
        <v>0</v>
      </c>
      <c r="D833" s="11">
        <f t="shared" ca="1" si="168"/>
        <v>0.63044575756112098</v>
      </c>
      <c r="E833" s="9">
        <f t="shared" ca="1" si="169"/>
        <v>416</v>
      </c>
      <c r="F833" s="9">
        <f t="shared" ca="1" si="173"/>
        <v>752</v>
      </c>
      <c r="G833" s="12" t="str">
        <f t="shared" ca="1" si="174"/>
        <v>Yes</v>
      </c>
      <c r="H833" s="12">
        <f t="shared" ca="1" si="170"/>
        <v>0.72799138403490005</v>
      </c>
      <c r="I833" s="10">
        <f t="shared" ca="1" si="175"/>
        <v>2</v>
      </c>
      <c r="J833" s="13">
        <f t="shared" ca="1" si="176"/>
        <v>300</v>
      </c>
      <c r="K833" s="14">
        <f t="shared" ca="1" si="177"/>
        <v>150.4</v>
      </c>
      <c r="L833" s="14">
        <f t="shared" ca="1" si="178"/>
        <v>0</v>
      </c>
      <c r="M833" s="15">
        <f t="shared" ca="1" si="179"/>
        <v>450.4</v>
      </c>
      <c r="N833" s="16">
        <f ca="1">SUM($M$9:M833)/A833</f>
        <v>339.16993939393927</v>
      </c>
      <c r="O833" s="6"/>
    </row>
    <row r="834" spans="1:15" x14ac:dyDescent="0.25">
      <c r="A834" s="8">
        <v>826</v>
      </c>
      <c r="B834" s="9">
        <f t="shared" ca="1" si="171"/>
        <v>752</v>
      </c>
      <c r="C834" s="10">
        <f t="shared" ca="1" si="172"/>
        <v>0</v>
      </c>
      <c r="D834" s="11">
        <f t="shared" ca="1" si="168"/>
        <v>0.17286102833951322</v>
      </c>
      <c r="E834" s="9">
        <f t="shared" ca="1" si="169"/>
        <v>352</v>
      </c>
      <c r="F834" s="9">
        <f t="shared" ca="1" si="173"/>
        <v>400</v>
      </c>
      <c r="G834" s="12" t="str">
        <f t="shared" ca="1" si="174"/>
        <v>No</v>
      </c>
      <c r="H834" s="12">
        <f t="shared" ca="1" si="170"/>
        <v>0</v>
      </c>
      <c r="I834" s="10">
        <f t="shared" ca="1" si="175"/>
        <v>1</v>
      </c>
      <c r="J834" s="13">
        <f t="shared" ca="1" si="176"/>
        <v>0</v>
      </c>
      <c r="K834" s="14">
        <f t="shared" ca="1" si="177"/>
        <v>80</v>
      </c>
      <c r="L834" s="14">
        <f t="shared" ca="1" si="178"/>
        <v>0</v>
      </c>
      <c r="M834" s="15">
        <f t="shared" ca="1" si="179"/>
        <v>80</v>
      </c>
      <c r="N834" s="16">
        <f ca="1">SUM($M$9:M834)/A834</f>
        <v>338.85617433414029</v>
      </c>
      <c r="O834" s="6"/>
    </row>
    <row r="835" spans="1:15" x14ac:dyDescent="0.25">
      <c r="A835" s="8">
        <v>827</v>
      </c>
      <c r="B835" s="9">
        <f t="shared" ca="1" si="171"/>
        <v>2200</v>
      </c>
      <c r="C835" s="10">
        <f t="shared" ca="1" si="172"/>
        <v>1800</v>
      </c>
      <c r="D835" s="11">
        <f t="shared" ca="1" si="168"/>
        <v>2.7761661407160187E-2</v>
      </c>
      <c r="E835" s="9">
        <f t="shared" ca="1" si="169"/>
        <v>304</v>
      </c>
      <c r="F835" s="9">
        <f t="shared" ca="1" si="173"/>
        <v>1896</v>
      </c>
      <c r="G835" s="12" t="str">
        <f t="shared" ca="1" si="174"/>
        <v>No</v>
      </c>
      <c r="H835" s="12">
        <f t="shared" ca="1" si="170"/>
        <v>0</v>
      </c>
      <c r="I835" s="10">
        <f t="shared" ca="1" si="175"/>
        <v>0</v>
      </c>
      <c r="J835" s="13">
        <f t="shared" ca="1" si="176"/>
        <v>0</v>
      </c>
      <c r="K835" s="14">
        <f t="shared" ca="1" si="177"/>
        <v>379.20000000000005</v>
      </c>
      <c r="L835" s="14">
        <f t="shared" ca="1" si="178"/>
        <v>0</v>
      </c>
      <c r="M835" s="15">
        <f t="shared" ca="1" si="179"/>
        <v>379.20000000000005</v>
      </c>
      <c r="N835" s="16">
        <f ca="1">SUM($M$9:M835)/A835</f>
        <v>338.9049576783554</v>
      </c>
      <c r="O835" s="6"/>
    </row>
    <row r="836" spans="1:15" x14ac:dyDescent="0.25">
      <c r="A836" s="8">
        <v>828</v>
      </c>
      <c r="B836" s="9">
        <f t="shared" ca="1" si="171"/>
        <v>1896</v>
      </c>
      <c r="C836" s="10">
        <f t="shared" ca="1" si="172"/>
        <v>0</v>
      </c>
      <c r="D836" s="11">
        <f t="shared" ca="1" si="168"/>
        <v>0.31132227047658756</v>
      </c>
      <c r="E836" s="9">
        <f t="shared" ca="1" si="169"/>
        <v>375</v>
      </c>
      <c r="F836" s="9">
        <f t="shared" ca="1" si="173"/>
        <v>1521</v>
      </c>
      <c r="G836" s="12" t="str">
        <f t="shared" ca="1" si="174"/>
        <v>No</v>
      </c>
      <c r="H836" s="12">
        <f t="shared" ca="1" si="170"/>
        <v>0</v>
      </c>
      <c r="I836" s="10">
        <f t="shared" ca="1" si="175"/>
        <v>0</v>
      </c>
      <c r="J836" s="13">
        <f t="shared" ca="1" si="176"/>
        <v>0</v>
      </c>
      <c r="K836" s="14">
        <f t="shared" ca="1" si="177"/>
        <v>304.2</v>
      </c>
      <c r="L836" s="14">
        <f t="shared" ca="1" si="178"/>
        <v>0</v>
      </c>
      <c r="M836" s="15">
        <f t="shared" ca="1" si="179"/>
        <v>304.2</v>
      </c>
      <c r="N836" s="16">
        <f ca="1">SUM($M$9:M836)/A836</f>
        <v>338.86304347826075</v>
      </c>
      <c r="O836" s="6"/>
    </row>
    <row r="837" spans="1:15" x14ac:dyDescent="0.25">
      <c r="A837" s="8">
        <v>829</v>
      </c>
      <c r="B837" s="9">
        <f t="shared" ca="1" si="171"/>
        <v>1521</v>
      </c>
      <c r="C837" s="10">
        <f t="shared" ca="1" si="172"/>
        <v>0</v>
      </c>
      <c r="D837" s="11">
        <f t="shared" ca="1" si="168"/>
        <v>0.5211958602777137</v>
      </c>
      <c r="E837" s="9">
        <f t="shared" ca="1" si="169"/>
        <v>402</v>
      </c>
      <c r="F837" s="9">
        <f t="shared" ca="1" si="173"/>
        <v>1119</v>
      </c>
      <c r="G837" s="12" t="str">
        <f t="shared" ca="1" si="174"/>
        <v>No</v>
      </c>
      <c r="H837" s="12">
        <f t="shared" ca="1" si="170"/>
        <v>0</v>
      </c>
      <c r="I837" s="10">
        <f t="shared" ca="1" si="175"/>
        <v>0</v>
      </c>
      <c r="J837" s="13">
        <f t="shared" ca="1" si="176"/>
        <v>0</v>
      </c>
      <c r="K837" s="14">
        <f t="shared" ca="1" si="177"/>
        <v>223.8</v>
      </c>
      <c r="L837" s="14">
        <f t="shared" ca="1" si="178"/>
        <v>0</v>
      </c>
      <c r="M837" s="15">
        <f t="shared" ca="1" si="179"/>
        <v>223.8</v>
      </c>
      <c r="N837" s="16">
        <f ca="1">SUM($M$9:M837)/A837</f>
        <v>338.72424607961386</v>
      </c>
      <c r="O837" s="6"/>
    </row>
    <row r="838" spans="1:15" x14ac:dyDescent="0.25">
      <c r="A838" s="8">
        <v>830</v>
      </c>
      <c r="B838" s="9">
        <f t="shared" ca="1" si="171"/>
        <v>1119</v>
      </c>
      <c r="C838" s="10">
        <f t="shared" ca="1" si="172"/>
        <v>0</v>
      </c>
      <c r="D838" s="11">
        <f t="shared" ca="1" si="168"/>
        <v>0.7545360312458832</v>
      </c>
      <c r="E838" s="9">
        <f t="shared" ca="1" si="169"/>
        <v>434</v>
      </c>
      <c r="F838" s="9">
        <f t="shared" ca="1" si="173"/>
        <v>685</v>
      </c>
      <c r="G838" s="12" t="str">
        <f t="shared" ca="1" si="174"/>
        <v>Yes</v>
      </c>
      <c r="H838" s="12">
        <f t="shared" ca="1" si="170"/>
        <v>0.71821492701226708</v>
      </c>
      <c r="I838" s="10">
        <f t="shared" ca="1" si="175"/>
        <v>2</v>
      </c>
      <c r="J838" s="13">
        <f t="shared" ca="1" si="176"/>
        <v>300</v>
      </c>
      <c r="K838" s="14">
        <f t="shared" ca="1" si="177"/>
        <v>137</v>
      </c>
      <c r="L838" s="14">
        <f t="shared" ca="1" si="178"/>
        <v>0</v>
      </c>
      <c r="M838" s="15">
        <f t="shared" ca="1" si="179"/>
        <v>437</v>
      </c>
      <c r="N838" s="16">
        <f ca="1">SUM($M$9:M838)/A838</f>
        <v>338.84265060240955</v>
      </c>
      <c r="O838" s="6"/>
    </row>
    <row r="839" spans="1:15" x14ac:dyDescent="0.25">
      <c r="A839" s="8">
        <v>831</v>
      </c>
      <c r="B839" s="9">
        <f t="shared" ca="1" si="171"/>
        <v>685</v>
      </c>
      <c r="C839" s="10">
        <f t="shared" ca="1" si="172"/>
        <v>0</v>
      </c>
      <c r="D839" s="11">
        <f t="shared" ca="1" si="168"/>
        <v>0.10416000333314579</v>
      </c>
      <c r="E839" s="9">
        <f t="shared" ca="1" si="169"/>
        <v>337</v>
      </c>
      <c r="F839" s="9">
        <f t="shared" ca="1" si="173"/>
        <v>348</v>
      </c>
      <c r="G839" s="12" t="str">
        <f t="shared" ca="1" si="174"/>
        <v>No</v>
      </c>
      <c r="H839" s="12">
        <f t="shared" ca="1" si="170"/>
        <v>0</v>
      </c>
      <c r="I839" s="10">
        <f t="shared" ca="1" si="175"/>
        <v>1</v>
      </c>
      <c r="J839" s="13">
        <f t="shared" ca="1" si="176"/>
        <v>0</v>
      </c>
      <c r="K839" s="14">
        <f t="shared" ca="1" si="177"/>
        <v>69.600000000000009</v>
      </c>
      <c r="L839" s="14">
        <f t="shared" ca="1" si="178"/>
        <v>0</v>
      </c>
      <c r="M839" s="15">
        <f t="shared" ca="1" si="179"/>
        <v>69.600000000000009</v>
      </c>
      <c r="N839" s="16">
        <f ca="1">SUM($M$9:M839)/A839</f>
        <v>338.51865222623331</v>
      </c>
      <c r="O839" s="6"/>
    </row>
    <row r="840" spans="1:15" x14ac:dyDescent="0.25">
      <c r="A840" s="8">
        <v>832</v>
      </c>
      <c r="B840" s="9">
        <f t="shared" ca="1" si="171"/>
        <v>2148</v>
      </c>
      <c r="C840" s="10">
        <f t="shared" ca="1" si="172"/>
        <v>1800</v>
      </c>
      <c r="D840" s="11">
        <f t="shared" ca="1" si="168"/>
        <v>0.30407440403033437</v>
      </c>
      <c r="E840" s="9">
        <f t="shared" ca="1" si="169"/>
        <v>374</v>
      </c>
      <c r="F840" s="9">
        <f t="shared" ca="1" si="173"/>
        <v>1774</v>
      </c>
      <c r="G840" s="12" t="str">
        <f t="shared" ca="1" si="174"/>
        <v>No</v>
      </c>
      <c r="H840" s="12">
        <f t="shared" ca="1" si="170"/>
        <v>0</v>
      </c>
      <c r="I840" s="10">
        <f t="shared" ca="1" si="175"/>
        <v>0</v>
      </c>
      <c r="J840" s="13">
        <f t="shared" ca="1" si="176"/>
        <v>0</v>
      </c>
      <c r="K840" s="14">
        <f t="shared" ca="1" si="177"/>
        <v>354.8</v>
      </c>
      <c r="L840" s="14">
        <f t="shared" ca="1" si="178"/>
        <v>0</v>
      </c>
      <c r="M840" s="15">
        <f t="shared" ca="1" si="179"/>
        <v>354.8</v>
      </c>
      <c r="N840" s="16">
        <f ca="1">SUM($M$9:M840)/A840</f>
        <v>338.538221153846</v>
      </c>
      <c r="O840" s="6"/>
    </row>
    <row r="841" spans="1:15" x14ac:dyDescent="0.25">
      <c r="A841" s="8">
        <v>833</v>
      </c>
      <c r="B841" s="9">
        <f t="shared" ca="1" si="171"/>
        <v>1774</v>
      </c>
      <c r="C841" s="10">
        <f t="shared" ca="1" si="172"/>
        <v>0</v>
      </c>
      <c r="D841" s="11">
        <f t="shared" ca="1" si="168"/>
        <v>0.61576006728552291</v>
      </c>
      <c r="E841" s="9">
        <f t="shared" ca="1" si="169"/>
        <v>414</v>
      </c>
      <c r="F841" s="9">
        <f t="shared" ca="1" si="173"/>
        <v>1360</v>
      </c>
      <c r="G841" s="12" t="str">
        <f t="shared" ca="1" si="174"/>
        <v>No</v>
      </c>
      <c r="H841" s="12">
        <f t="shared" ca="1" si="170"/>
        <v>0</v>
      </c>
      <c r="I841" s="10">
        <f t="shared" ca="1" si="175"/>
        <v>0</v>
      </c>
      <c r="J841" s="13">
        <f t="shared" ca="1" si="176"/>
        <v>0</v>
      </c>
      <c r="K841" s="14">
        <f t="shared" ca="1" si="177"/>
        <v>272</v>
      </c>
      <c r="L841" s="14">
        <f t="shared" ca="1" si="178"/>
        <v>0</v>
      </c>
      <c r="M841" s="15">
        <f t="shared" ca="1" si="179"/>
        <v>272</v>
      </c>
      <c r="N841" s="16">
        <f ca="1">SUM($M$9:M841)/A841</f>
        <v>338.45834333733478</v>
      </c>
      <c r="O841" s="6"/>
    </row>
    <row r="842" spans="1:15" x14ac:dyDescent="0.25">
      <c r="A842" s="8">
        <v>834</v>
      </c>
      <c r="B842" s="9">
        <f t="shared" ca="1" si="171"/>
        <v>1360</v>
      </c>
      <c r="C842" s="10">
        <f t="shared" ca="1" si="172"/>
        <v>0</v>
      </c>
      <c r="D842" s="11">
        <f t="shared" ref="D842:D905" ca="1" si="180">RAND()</f>
        <v>0.79744843619143069</v>
      </c>
      <c r="E842" s="9">
        <f t="shared" ref="E842:E905" ca="1" si="181">INT(NORMINV(D842,D_Mean,D_StdDev))</f>
        <v>441</v>
      </c>
      <c r="F842" s="9">
        <f t="shared" ca="1" si="173"/>
        <v>919</v>
      </c>
      <c r="G842" s="12" t="str">
        <f t="shared" ca="1" si="174"/>
        <v>Yes</v>
      </c>
      <c r="H842" s="12">
        <f t="shared" ref="H842:H905" ca="1" si="182">IF(G842="Yes",RAND(),0)</f>
        <v>0.44420787575872267</v>
      </c>
      <c r="I842" s="10">
        <f t="shared" ca="1" si="175"/>
        <v>1</v>
      </c>
      <c r="J842" s="13">
        <f t="shared" ca="1" si="176"/>
        <v>300</v>
      </c>
      <c r="K842" s="14">
        <f t="shared" ca="1" si="177"/>
        <v>183.8</v>
      </c>
      <c r="L842" s="14">
        <f t="shared" ca="1" si="178"/>
        <v>0</v>
      </c>
      <c r="M842" s="15">
        <f t="shared" ca="1" si="179"/>
        <v>483.8</v>
      </c>
      <c r="N842" s="16">
        <f ca="1">SUM($M$9:M842)/A842</f>
        <v>338.63261390887271</v>
      </c>
      <c r="O842" s="6"/>
    </row>
    <row r="843" spans="1:15" x14ac:dyDescent="0.25">
      <c r="A843" s="8">
        <v>835</v>
      </c>
      <c r="B843" s="9">
        <f t="shared" ca="1" si="171"/>
        <v>2719</v>
      </c>
      <c r="C843" s="10">
        <f t="shared" ca="1" si="172"/>
        <v>1800</v>
      </c>
      <c r="D843" s="11">
        <f t="shared" ca="1" si="180"/>
        <v>0.40309702243116829</v>
      </c>
      <c r="E843" s="9">
        <f t="shared" ca="1" si="181"/>
        <v>387</v>
      </c>
      <c r="F843" s="9">
        <f t="shared" ca="1" si="173"/>
        <v>2332</v>
      </c>
      <c r="G843" s="12" t="str">
        <f t="shared" ca="1" si="174"/>
        <v>No</v>
      </c>
      <c r="H843" s="12">
        <f t="shared" ca="1" si="182"/>
        <v>0</v>
      </c>
      <c r="I843" s="10">
        <f t="shared" ca="1" si="175"/>
        <v>0</v>
      </c>
      <c r="J843" s="13">
        <f t="shared" ca="1" si="176"/>
        <v>0</v>
      </c>
      <c r="K843" s="14">
        <f t="shared" ca="1" si="177"/>
        <v>466.40000000000003</v>
      </c>
      <c r="L843" s="14">
        <f t="shared" ca="1" si="178"/>
        <v>0</v>
      </c>
      <c r="M843" s="15">
        <f t="shared" ca="1" si="179"/>
        <v>466.40000000000003</v>
      </c>
      <c r="N843" s="16">
        <f ca="1">SUM($M$9:M843)/A843</f>
        <v>338.7856287425148</v>
      </c>
      <c r="O843" s="6"/>
    </row>
    <row r="844" spans="1:15" x14ac:dyDescent="0.25">
      <c r="A844" s="8">
        <v>836</v>
      </c>
      <c r="B844" s="9">
        <f t="shared" ca="1" si="171"/>
        <v>2332</v>
      </c>
      <c r="C844" s="10">
        <f t="shared" ca="1" si="172"/>
        <v>0</v>
      </c>
      <c r="D844" s="11">
        <f t="shared" ca="1" si="180"/>
        <v>0.73214136536874896</v>
      </c>
      <c r="E844" s="9">
        <f t="shared" ca="1" si="181"/>
        <v>430</v>
      </c>
      <c r="F844" s="9">
        <f t="shared" ca="1" si="173"/>
        <v>1902</v>
      </c>
      <c r="G844" s="12" t="str">
        <f t="shared" ca="1" si="174"/>
        <v>No</v>
      </c>
      <c r="H844" s="12">
        <f t="shared" ca="1" si="182"/>
        <v>0</v>
      </c>
      <c r="I844" s="10">
        <f t="shared" ca="1" si="175"/>
        <v>0</v>
      </c>
      <c r="J844" s="13">
        <f t="shared" ca="1" si="176"/>
        <v>0</v>
      </c>
      <c r="K844" s="14">
        <f t="shared" ca="1" si="177"/>
        <v>380.40000000000003</v>
      </c>
      <c r="L844" s="14">
        <f t="shared" ca="1" si="178"/>
        <v>0</v>
      </c>
      <c r="M844" s="15">
        <f t="shared" ca="1" si="179"/>
        <v>380.40000000000003</v>
      </c>
      <c r="N844" s="16">
        <f ca="1">SUM($M$9:M844)/A844</f>
        <v>338.8354066985645</v>
      </c>
      <c r="O844" s="6"/>
    </row>
    <row r="845" spans="1:15" x14ac:dyDescent="0.25">
      <c r="A845" s="8">
        <v>837</v>
      </c>
      <c r="B845" s="9">
        <f t="shared" ca="1" si="171"/>
        <v>1902</v>
      </c>
      <c r="C845" s="10">
        <f t="shared" ca="1" si="172"/>
        <v>0</v>
      </c>
      <c r="D845" s="11">
        <f t="shared" ca="1" si="180"/>
        <v>0.76263708911795014</v>
      </c>
      <c r="E845" s="9">
        <f t="shared" ca="1" si="181"/>
        <v>435</v>
      </c>
      <c r="F845" s="9">
        <f t="shared" ca="1" si="173"/>
        <v>1467</v>
      </c>
      <c r="G845" s="12" t="str">
        <f t="shared" ca="1" si="174"/>
        <v>No</v>
      </c>
      <c r="H845" s="12">
        <f t="shared" ca="1" si="182"/>
        <v>0</v>
      </c>
      <c r="I845" s="10">
        <f t="shared" ca="1" si="175"/>
        <v>0</v>
      </c>
      <c r="J845" s="13">
        <f t="shared" ca="1" si="176"/>
        <v>0</v>
      </c>
      <c r="K845" s="14">
        <f t="shared" ca="1" si="177"/>
        <v>293.40000000000003</v>
      </c>
      <c r="L845" s="14">
        <f t="shared" ca="1" si="178"/>
        <v>0</v>
      </c>
      <c r="M845" s="15">
        <f t="shared" ca="1" si="179"/>
        <v>293.40000000000003</v>
      </c>
      <c r="N845" s="16">
        <f ca="1">SUM($M$9:M845)/A845</f>
        <v>338.78112305854233</v>
      </c>
      <c r="O845" s="6"/>
    </row>
    <row r="846" spans="1:15" x14ac:dyDescent="0.25">
      <c r="A846" s="8">
        <v>838</v>
      </c>
      <c r="B846" s="9">
        <f t="shared" ca="1" si="171"/>
        <v>1467</v>
      </c>
      <c r="C846" s="10">
        <f t="shared" ca="1" si="172"/>
        <v>0</v>
      </c>
      <c r="D846" s="11">
        <f t="shared" ca="1" si="180"/>
        <v>0.42397182818180035</v>
      </c>
      <c r="E846" s="9">
        <f t="shared" ca="1" si="181"/>
        <v>390</v>
      </c>
      <c r="F846" s="9">
        <f t="shared" ca="1" si="173"/>
        <v>1077</v>
      </c>
      <c r="G846" s="12" t="str">
        <f t="shared" ca="1" si="174"/>
        <v>No</v>
      </c>
      <c r="H846" s="12">
        <f t="shared" ca="1" si="182"/>
        <v>0</v>
      </c>
      <c r="I846" s="10">
        <f t="shared" ca="1" si="175"/>
        <v>0</v>
      </c>
      <c r="J846" s="13">
        <f t="shared" ca="1" si="176"/>
        <v>0</v>
      </c>
      <c r="K846" s="14">
        <f t="shared" ca="1" si="177"/>
        <v>215.4</v>
      </c>
      <c r="L846" s="14">
        <f t="shared" ca="1" si="178"/>
        <v>0</v>
      </c>
      <c r="M846" s="15">
        <f t="shared" ca="1" si="179"/>
        <v>215.4</v>
      </c>
      <c r="N846" s="16">
        <f ca="1">SUM($M$9:M846)/A846</f>
        <v>338.63389021479708</v>
      </c>
      <c r="O846" s="6"/>
    </row>
    <row r="847" spans="1:15" x14ac:dyDescent="0.25">
      <c r="A847" s="8">
        <v>839</v>
      </c>
      <c r="B847" s="9">
        <f t="shared" ca="1" si="171"/>
        <v>1077</v>
      </c>
      <c r="C847" s="10">
        <f t="shared" ca="1" si="172"/>
        <v>0</v>
      </c>
      <c r="D847" s="11">
        <f t="shared" ca="1" si="180"/>
        <v>3.4997765645869983E-2</v>
      </c>
      <c r="E847" s="9">
        <f t="shared" ca="1" si="181"/>
        <v>309</v>
      </c>
      <c r="F847" s="9">
        <f t="shared" ca="1" si="173"/>
        <v>768</v>
      </c>
      <c r="G847" s="12" t="str">
        <f t="shared" ca="1" si="174"/>
        <v>Yes</v>
      </c>
      <c r="H847" s="12">
        <f t="shared" ca="1" si="182"/>
        <v>0.79070354007345489</v>
      </c>
      <c r="I847" s="10">
        <f t="shared" ca="1" si="175"/>
        <v>2</v>
      </c>
      <c r="J847" s="13">
        <f t="shared" ca="1" si="176"/>
        <v>300</v>
      </c>
      <c r="K847" s="14">
        <f t="shared" ca="1" si="177"/>
        <v>153.60000000000002</v>
      </c>
      <c r="L847" s="14">
        <f t="shared" ca="1" si="178"/>
        <v>0</v>
      </c>
      <c r="M847" s="15">
        <f t="shared" ca="1" si="179"/>
        <v>453.6</v>
      </c>
      <c r="N847" s="16">
        <f ca="1">SUM($M$9:M847)/A847</f>
        <v>338.77091775923708</v>
      </c>
      <c r="O847" s="6"/>
    </row>
    <row r="848" spans="1:15" x14ac:dyDescent="0.25">
      <c r="A848" s="8">
        <v>840</v>
      </c>
      <c r="B848" s="9">
        <f t="shared" ca="1" si="171"/>
        <v>768</v>
      </c>
      <c r="C848" s="10">
        <f t="shared" ca="1" si="172"/>
        <v>0</v>
      </c>
      <c r="D848" s="11">
        <f t="shared" ca="1" si="180"/>
        <v>0.50157796389260034</v>
      </c>
      <c r="E848" s="9">
        <f t="shared" ca="1" si="181"/>
        <v>400</v>
      </c>
      <c r="F848" s="9">
        <f t="shared" ca="1" si="173"/>
        <v>368</v>
      </c>
      <c r="G848" s="12" t="str">
        <f t="shared" ca="1" si="174"/>
        <v>No</v>
      </c>
      <c r="H848" s="12">
        <f t="shared" ca="1" si="182"/>
        <v>0</v>
      </c>
      <c r="I848" s="10">
        <f t="shared" ca="1" si="175"/>
        <v>1</v>
      </c>
      <c r="J848" s="13">
        <f t="shared" ca="1" si="176"/>
        <v>0</v>
      </c>
      <c r="K848" s="14">
        <f t="shared" ca="1" si="177"/>
        <v>73.600000000000009</v>
      </c>
      <c r="L848" s="14">
        <f t="shared" ca="1" si="178"/>
        <v>0</v>
      </c>
      <c r="M848" s="15">
        <f t="shared" ca="1" si="179"/>
        <v>73.600000000000009</v>
      </c>
      <c r="N848" s="16">
        <f ca="1">SUM($M$9:M848)/A848</f>
        <v>338.45523809523797</v>
      </c>
      <c r="O848" s="6"/>
    </row>
    <row r="849" spans="1:15" x14ac:dyDescent="0.25">
      <c r="A849" s="8">
        <v>841</v>
      </c>
      <c r="B849" s="9">
        <f t="shared" ca="1" si="171"/>
        <v>2168</v>
      </c>
      <c r="C849" s="10">
        <f t="shared" ca="1" si="172"/>
        <v>1800</v>
      </c>
      <c r="D849" s="11">
        <f t="shared" ca="1" si="180"/>
        <v>0.93859420527170601</v>
      </c>
      <c r="E849" s="9">
        <f t="shared" ca="1" si="181"/>
        <v>477</v>
      </c>
      <c r="F849" s="9">
        <f t="shared" ca="1" si="173"/>
        <v>1691</v>
      </c>
      <c r="G849" s="12" t="str">
        <f t="shared" ca="1" si="174"/>
        <v>No</v>
      </c>
      <c r="H849" s="12">
        <f t="shared" ca="1" si="182"/>
        <v>0</v>
      </c>
      <c r="I849" s="10">
        <f t="shared" ca="1" si="175"/>
        <v>0</v>
      </c>
      <c r="J849" s="13">
        <f t="shared" ca="1" si="176"/>
        <v>0</v>
      </c>
      <c r="K849" s="14">
        <f t="shared" ca="1" si="177"/>
        <v>338.20000000000005</v>
      </c>
      <c r="L849" s="14">
        <f t="shared" ca="1" si="178"/>
        <v>0</v>
      </c>
      <c r="M849" s="15">
        <f t="shared" ca="1" si="179"/>
        <v>338.20000000000005</v>
      </c>
      <c r="N849" s="16">
        <f ca="1">SUM($M$9:M849)/A849</f>
        <v>338.4549346016646</v>
      </c>
      <c r="O849" s="6"/>
    </row>
    <row r="850" spans="1:15" x14ac:dyDescent="0.25">
      <c r="A850" s="8">
        <v>842</v>
      </c>
      <c r="B850" s="9">
        <f t="shared" ca="1" si="171"/>
        <v>1691</v>
      </c>
      <c r="C850" s="10">
        <f t="shared" ca="1" si="172"/>
        <v>0</v>
      </c>
      <c r="D850" s="11">
        <f t="shared" ca="1" si="180"/>
        <v>0.70734946597795323</v>
      </c>
      <c r="E850" s="9">
        <f t="shared" ca="1" si="181"/>
        <v>427</v>
      </c>
      <c r="F850" s="9">
        <f t="shared" ca="1" si="173"/>
        <v>1264</v>
      </c>
      <c r="G850" s="12" t="str">
        <f t="shared" ca="1" si="174"/>
        <v>No</v>
      </c>
      <c r="H850" s="12">
        <f t="shared" ca="1" si="182"/>
        <v>0</v>
      </c>
      <c r="I850" s="10">
        <f t="shared" ca="1" si="175"/>
        <v>0</v>
      </c>
      <c r="J850" s="13">
        <f t="shared" ca="1" si="176"/>
        <v>0</v>
      </c>
      <c r="K850" s="14">
        <f t="shared" ca="1" si="177"/>
        <v>252.8</v>
      </c>
      <c r="L850" s="14">
        <f t="shared" ca="1" si="178"/>
        <v>0</v>
      </c>
      <c r="M850" s="15">
        <f t="shared" ca="1" si="179"/>
        <v>252.8</v>
      </c>
      <c r="N850" s="16">
        <f ca="1">SUM($M$9:M850)/A850</f>
        <v>338.35320665083123</v>
      </c>
      <c r="O850" s="6"/>
    </row>
    <row r="851" spans="1:15" x14ac:dyDescent="0.25">
      <c r="A851" s="8">
        <v>843</v>
      </c>
      <c r="B851" s="9">
        <f t="shared" ca="1" si="171"/>
        <v>1264</v>
      </c>
      <c r="C851" s="10">
        <f t="shared" ca="1" si="172"/>
        <v>0</v>
      </c>
      <c r="D851" s="11">
        <f t="shared" ca="1" si="180"/>
        <v>0.2066751145900152</v>
      </c>
      <c r="E851" s="9">
        <f t="shared" ca="1" si="181"/>
        <v>359</v>
      </c>
      <c r="F851" s="9">
        <f t="shared" ca="1" si="173"/>
        <v>905</v>
      </c>
      <c r="G851" s="12" t="str">
        <f t="shared" ca="1" si="174"/>
        <v>Yes</v>
      </c>
      <c r="H851" s="12">
        <f t="shared" ca="1" si="182"/>
        <v>0.226900803911678</v>
      </c>
      <c r="I851" s="10">
        <f t="shared" ca="1" si="175"/>
        <v>1</v>
      </c>
      <c r="J851" s="13">
        <f t="shared" ca="1" si="176"/>
        <v>300</v>
      </c>
      <c r="K851" s="14">
        <f t="shared" ca="1" si="177"/>
        <v>181</v>
      </c>
      <c r="L851" s="14">
        <f t="shared" ca="1" si="178"/>
        <v>0</v>
      </c>
      <c r="M851" s="15">
        <f t="shared" ca="1" si="179"/>
        <v>481</v>
      </c>
      <c r="N851" s="16">
        <f ca="1">SUM($M$9:M851)/A851</f>
        <v>338.52241992882551</v>
      </c>
      <c r="O851" s="6"/>
    </row>
    <row r="852" spans="1:15" x14ac:dyDescent="0.25">
      <c r="A852" s="8">
        <v>844</v>
      </c>
      <c r="B852" s="9">
        <f t="shared" ca="1" si="171"/>
        <v>2705</v>
      </c>
      <c r="C852" s="10">
        <f t="shared" ca="1" si="172"/>
        <v>1800</v>
      </c>
      <c r="D852" s="11">
        <f t="shared" ca="1" si="180"/>
        <v>0.64698670705536954</v>
      </c>
      <c r="E852" s="9">
        <f t="shared" ca="1" si="181"/>
        <v>418</v>
      </c>
      <c r="F852" s="9">
        <f t="shared" ca="1" si="173"/>
        <v>2287</v>
      </c>
      <c r="G852" s="12" t="str">
        <f t="shared" ca="1" si="174"/>
        <v>No</v>
      </c>
      <c r="H852" s="12">
        <f t="shared" ca="1" si="182"/>
        <v>0</v>
      </c>
      <c r="I852" s="10">
        <f t="shared" ca="1" si="175"/>
        <v>0</v>
      </c>
      <c r="J852" s="13">
        <f t="shared" ca="1" si="176"/>
        <v>0</v>
      </c>
      <c r="K852" s="14">
        <f t="shared" ca="1" si="177"/>
        <v>457.40000000000003</v>
      </c>
      <c r="L852" s="14">
        <f t="shared" ca="1" si="178"/>
        <v>0</v>
      </c>
      <c r="M852" s="15">
        <f t="shared" ca="1" si="179"/>
        <v>457.40000000000003</v>
      </c>
      <c r="N852" s="16">
        <f ca="1">SUM($M$9:M852)/A852</f>
        <v>338.66327014218001</v>
      </c>
      <c r="O852" s="6"/>
    </row>
    <row r="853" spans="1:15" x14ac:dyDescent="0.25">
      <c r="A853" s="8">
        <v>845</v>
      </c>
      <c r="B853" s="9">
        <f t="shared" ca="1" si="171"/>
        <v>2287</v>
      </c>
      <c r="C853" s="10">
        <f t="shared" ca="1" si="172"/>
        <v>0</v>
      </c>
      <c r="D853" s="11">
        <f t="shared" ca="1" si="180"/>
        <v>0.25108624498160814</v>
      </c>
      <c r="E853" s="9">
        <f t="shared" ca="1" si="181"/>
        <v>366</v>
      </c>
      <c r="F853" s="9">
        <f t="shared" ca="1" si="173"/>
        <v>1921</v>
      </c>
      <c r="G853" s="12" t="str">
        <f t="shared" ca="1" si="174"/>
        <v>No</v>
      </c>
      <c r="H853" s="12">
        <f t="shared" ca="1" si="182"/>
        <v>0</v>
      </c>
      <c r="I853" s="10">
        <f t="shared" ca="1" si="175"/>
        <v>0</v>
      </c>
      <c r="J853" s="13">
        <f t="shared" ca="1" si="176"/>
        <v>0</v>
      </c>
      <c r="K853" s="14">
        <f t="shared" ca="1" si="177"/>
        <v>384.20000000000005</v>
      </c>
      <c r="L853" s="14">
        <f t="shared" ca="1" si="178"/>
        <v>0</v>
      </c>
      <c r="M853" s="15">
        <f t="shared" ca="1" si="179"/>
        <v>384.20000000000005</v>
      </c>
      <c r="N853" s="16">
        <f ca="1">SUM($M$9:M853)/A853</f>
        <v>338.71715976331353</v>
      </c>
      <c r="O853" s="6"/>
    </row>
    <row r="854" spans="1:15" x14ac:dyDescent="0.25">
      <c r="A854" s="8">
        <v>846</v>
      </c>
      <c r="B854" s="9">
        <f t="shared" ca="1" si="171"/>
        <v>1921</v>
      </c>
      <c r="C854" s="10">
        <f t="shared" ca="1" si="172"/>
        <v>0</v>
      </c>
      <c r="D854" s="11">
        <f t="shared" ca="1" si="180"/>
        <v>1.6052258102612016E-2</v>
      </c>
      <c r="E854" s="9">
        <f t="shared" ca="1" si="181"/>
        <v>292</v>
      </c>
      <c r="F854" s="9">
        <f t="shared" ca="1" si="173"/>
        <v>1629</v>
      </c>
      <c r="G854" s="12" t="str">
        <f t="shared" ca="1" si="174"/>
        <v>No</v>
      </c>
      <c r="H854" s="12">
        <f t="shared" ca="1" si="182"/>
        <v>0</v>
      </c>
      <c r="I854" s="10">
        <f t="shared" ca="1" si="175"/>
        <v>0</v>
      </c>
      <c r="J854" s="13">
        <f t="shared" ca="1" si="176"/>
        <v>0</v>
      </c>
      <c r="K854" s="14">
        <f t="shared" ca="1" si="177"/>
        <v>325.8</v>
      </c>
      <c r="L854" s="14">
        <f t="shared" ca="1" si="178"/>
        <v>0</v>
      </c>
      <c r="M854" s="15">
        <f t="shared" ca="1" si="179"/>
        <v>325.8</v>
      </c>
      <c r="N854" s="16">
        <f ca="1">SUM($M$9:M854)/A854</f>
        <v>338.70189125295502</v>
      </c>
      <c r="O854" s="6"/>
    </row>
    <row r="855" spans="1:15" x14ac:dyDescent="0.25">
      <c r="A855" s="8">
        <v>847</v>
      </c>
      <c r="B855" s="9">
        <f t="shared" ca="1" si="171"/>
        <v>1629</v>
      </c>
      <c r="C855" s="10">
        <f t="shared" ca="1" si="172"/>
        <v>0</v>
      </c>
      <c r="D855" s="11">
        <f t="shared" ca="1" si="180"/>
        <v>3.3937633681378809E-2</v>
      </c>
      <c r="E855" s="9">
        <f t="shared" ca="1" si="181"/>
        <v>308</v>
      </c>
      <c r="F855" s="9">
        <f t="shared" ca="1" si="173"/>
        <v>1321</v>
      </c>
      <c r="G855" s="12" t="str">
        <f t="shared" ca="1" si="174"/>
        <v>No</v>
      </c>
      <c r="H855" s="12">
        <f t="shared" ca="1" si="182"/>
        <v>0</v>
      </c>
      <c r="I855" s="10">
        <f t="shared" ca="1" si="175"/>
        <v>0</v>
      </c>
      <c r="J855" s="13">
        <f t="shared" ca="1" si="176"/>
        <v>0</v>
      </c>
      <c r="K855" s="14">
        <f t="shared" ca="1" si="177"/>
        <v>264.2</v>
      </c>
      <c r="L855" s="14">
        <f t="shared" ca="1" si="178"/>
        <v>0</v>
      </c>
      <c r="M855" s="15">
        <f t="shared" ca="1" si="179"/>
        <v>264.2</v>
      </c>
      <c r="N855" s="16">
        <f ca="1">SUM($M$9:M855)/A855</f>
        <v>338.61393152302236</v>
      </c>
      <c r="O855" s="6"/>
    </row>
    <row r="856" spans="1:15" x14ac:dyDescent="0.25">
      <c r="A856" s="8">
        <v>848</v>
      </c>
      <c r="B856" s="9">
        <f t="shared" ca="1" si="171"/>
        <v>1321</v>
      </c>
      <c r="C856" s="10">
        <f t="shared" ca="1" si="172"/>
        <v>0</v>
      </c>
      <c r="D856" s="11">
        <f t="shared" ca="1" si="180"/>
        <v>5.2462843222165212E-3</v>
      </c>
      <c r="E856" s="9">
        <f t="shared" ca="1" si="181"/>
        <v>272</v>
      </c>
      <c r="F856" s="9">
        <f t="shared" ca="1" si="173"/>
        <v>1049</v>
      </c>
      <c r="G856" s="12" t="str">
        <f t="shared" ca="1" si="174"/>
        <v>Yes</v>
      </c>
      <c r="H856" s="12">
        <f t="shared" ca="1" si="182"/>
        <v>0.94737766627614506</v>
      </c>
      <c r="I856" s="10">
        <f t="shared" ca="1" si="175"/>
        <v>3</v>
      </c>
      <c r="J856" s="13">
        <f t="shared" ca="1" si="176"/>
        <v>300</v>
      </c>
      <c r="K856" s="14">
        <f t="shared" ca="1" si="177"/>
        <v>209.8</v>
      </c>
      <c r="L856" s="14">
        <f t="shared" ca="1" si="178"/>
        <v>0</v>
      </c>
      <c r="M856" s="15">
        <f t="shared" ca="1" si="179"/>
        <v>509.8</v>
      </c>
      <c r="N856" s="16">
        <f ca="1">SUM($M$9:M856)/A856</f>
        <v>338.81580188679237</v>
      </c>
      <c r="O856" s="6"/>
    </row>
    <row r="857" spans="1:15" x14ac:dyDescent="0.25">
      <c r="A857" s="8">
        <v>849</v>
      </c>
      <c r="B857" s="9">
        <f t="shared" ca="1" si="171"/>
        <v>1049</v>
      </c>
      <c r="C857" s="10">
        <f t="shared" ca="1" si="172"/>
        <v>0</v>
      </c>
      <c r="D857" s="11">
        <f t="shared" ca="1" si="180"/>
        <v>0.3885133959400876</v>
      </c>
      <c r="E857" s="9">
        <f t="shared" ca="1" si="181"/>
        <v>385</v>
      </c>
      <c r="F857" s="9">
        <f t="shared" ca="1" si="173"/>
        <v>664</v>
      </c>
      <c r="G857" s="12" t="str">
        <f t="shared" ca="1" si="174"/>
        <v>No</v>
      </c>
      <c r="H857" s="12">
        <f t="shared" ca="1" si="182"/>
        <v>0</v>
      </c>
      <c r="I857" s="10">
        <f t="shared" ca="1" si="175"/>
        <v>2</v>
      </c>
      <c r="J857" s="13">
        <f t="shared" ca="1" si="176"/>
        <v>0</v>
      </c>
      <c r="K857" s="14">
        <f t="shared" ca="1" si="177"/>
        <v>132.80000000000001</v>
      </c>
      <c r="L857" s="14">
        <f t="shared" ca="1" si="178"/>
        <v>0</v>
      </c>
      <c r="M857" s="15">
        <f t="shared" ca="1" si="179"/>
        <v>132.80000000000001</v>
      </c>
      <c r="N857" s="16">
        <f ca="1">SUM($M$9:M857)/A857</f>
        <v>338.57314487632499</v>
      </c>
      <c r="O857" s="6"/>
    </row>
    <row r="858" spans="1:15" x14ac:dyDescent="0.25">
      <c r="A858" s="8">
        <v>850</v>
      </c>
      <c r="B858" s="9">
        <f t="shared" ca="1" si="171"/>
        <v>664</v>
      </c>
      <c r="C858" s="10">
        <f t="shared" ca="1" si="172"/>
        <v>0</v>
      </c>
      <c r="D858" s="11">
        <f t="shared" ca="1" si="180"/>
        <v>0.25861605955612743</v>
      </c>
      <c r="E858" s="9">
        <f t="shared" ca="1" si="181"/>
        <v>367</v>
      </c>
      <c r="F858" s="9">
        <f t="shared" ca="1" si="173"/>
        <v>297</v>
      </c>
      <c r="G858" s="12" t="str">
        <f t="shared" ca="1" si="174"/>
        <v>No</v>
      </c>
      <c r="H858" s="12">
        <f t="shared" ca="1" si="182"/>
        <v>0</v>
      </c>
      <c r="I858" s="10">
        <f t="shared" ca="1" si="175"/>
        <v>1</v>
      </c>
      <c r="J858" s="13">
        <f t="shared" ca="1" si="176"/>
        <v>0</v>
      </c>
      <c r="K858" s="14">
        <f t="shared" ca="1" si="177"/>
        <v>59.400000000000006</v>
      </c>
      <c r="L858" s="14">
        <f t="shared" ca="1" si="178"/>
        <v>0</v>
      </c>
      <c r="M858" s="15">
        <f t="shared" ca="1" si="179"/>
        <v>59.400000000000006</v>
      </c>
      <c r="N858" s="16">
        <f ca="1">SUM($M$9:M858)/A858</f>
        <v>338.24470588235289</v>
      </c>
      <c r="O858" s="6"/>
    </row>
    <row r="859" spans="1:15" x14ac:dyDescent="0.25">
      <c r="A859" s="8">
        <v>851</v>
      </c>
      <c r="B859" s="9">
        <f t="shared" ca="1" si="171"/>
        <v>2097</v>
      </c>
      <c r="C859" s="10">
        <f t="shared" ca="1" si="172"/>
        <v>1800</v>
      </c>
      <c r="D859" s="11">
        <f t="shared" ca="1" si="180"/>
        <v>0.12938821318663896</v>
      </c>
      <c r="E859" s="9">
        <f t="shared" ca="1" si="181"/>
        <v>343</v>
      </c>
      <c r="F859" s="9">
        <f t="shared" ca="1" si="173"/>
        <v>1754</v>
      </c>
      <c r="G859" s="12" t="str">
        <f t="shared" ca="1" si="174"/>
        <v>No</v>
      </c>
      <c r="H859" s="12">
        <f t="shared" ca="1" si="182"/>
        <v>0</v>
      </c>
      <c r="I859" s="10">
        <f t="shared" ca="1" si="175"/>
        <v>0</v>
      </c>
      <c r="J859" s="13">
        <f t="shared" ca="1" si="176"/>
        <v>0</v>
      </c>
      <c r="K859" s="14">
        <f t="shared" ca="1" si="177"/>
        <v>350.8</v>
      </c>
      <c r="L859" s="14">
        <f t="shared" ca="1" si="178"/>
        <v>0</v>
      </c>
      <c r="M859" s="15">
        <f t="shared" ca="1" si="179"/>
        <v>350.8</v>
      </c>
      <c r="N859" s="16">
        <f ca="1">SUM($M$9:M859)/A859</f>
        <v>338.25945945945938</v>
      </c>
      <c r="O859" s="6"/>
    </row>
    <row r="860" spans="1:15" x14ac:dyDescent="0.25">
      <c r="A860" s="8">
        <v>852</v>
      </c>
      <c r="B860" s="9">
        <f t="shared" ca="1" si="171"/>
        <v>1754</v>
      </c>
      <c r="C860" s="10">
        <f t="shared" ca="1" si="172"/>
        <v>0</v>
      </c>
      <c r="D860" s="11">
        <f t="shared" ca="1" si="180"/>
        <v>0.54438151535243273</v>
      </c>
      <c r="E860" s="9">
        <f t="shared" ca="1" si="181"/>
        <v>405</v>
      </c>
      <c r="F860" s="9">
        <f t="shared" ca="1" si="173"/>
        <v>1349</v>
      </c>
      <c r="G860" s="12" t="str">
        <f t="shared" ca="1" si="174"/>
        <v>No</v>
      </c>
      <c r="H860" s="12">
        <f t="shared" ca="1" si="182"/>
        <v>0</v>
      </c>
      <c r="I860" s="10">
        <f t="shared" ca="1" si="175"/>
        <v>0</v>
      </c>
      <c r="J860" s="13">
        <f t="shared" ca="1" si="176"/>
        <v>0</v>
      </c>
      <c r="K860" s="14">
        <f t="shared" ca="1" si="177"/>
        <v>269.8</v>
      </c>
      <c r="L860" s="14">
        <f t="shared" ca="1" si="178"/>
        <v>0</v>
      </c>
      <c r="M860" s="15">
        <f t="shared" ca="1" si="179"/>
        <v>269.8</v>
      </c>
      <c r="N860" s="16">
        <f ca="1">SUM($M$9:M860)/A860</f>
        <v>338.17910798122057</v>
      </c>
      <c r="O860" s="6"/>
    </row>
    <row r="861" spans="1:15" x14ac:dyDescent="0.25">
      <c r="A861" s="8">
        <v>853</v>
      </c>
      <c r="B861" s="9">
        <f t="shared" ca="1" si="171"/>
        <v>1349</v>
      </c>
      <c r="C861" s="10">
        <f t="shared" ca="1" si="172"/>
        <v>0</v>
      </c>
      <c r="D861" s="11">
        <f t="shared" ca="1" si="180"/>
        <v>0.95455609333353519</v>
      </c>
      <c r="E861" s="9">
        <f t="shared" ca="1" si="181"/>
        <v>484</v>
      </c>
      <c r="F861" s="9">
        <f t="shared" ca="1" si="173"/>
        <v>865</v>
      </c>
      <c r="G861" s="12" t="str">
        <f t="shared" ca="1" si="174"/>
        <v>Yes</v>
      </c>
      <c r="H861" s="12">
        <f t="shared" ca="1" si="182"/>
        <v>3.9645378365486872E-2</v>
      </c>
      <c r="I861" s="10">
        <f t="shared" ca="1" si="175"/>
        <v>1</v>
      </c>
      <c r="J861" s="13">
        <f t="shared" ca="1" si="176"/>
        <v>300</v>
      </c>
      <c r="K861" s="14">
        <f t="shared" ca="1" si="177"/>
        <v>173</v>
      </c>
      <c r="L861" s="14">
        <f t="shared" ca="1" si="178"/>
        <v>0</v>
      </c>
      <c r="M861" s="15">
        <f t="shared" ca="1" si="179"/>
        <v>473</v>
      </c>
      <c r="N861" s="16">
        <f ca="1">SUM($M$9:M861)/A861</f>
        <v>338.33716295427894</v>
      </c>
      <c r="O861" s="6"/>
    </row>
    <row r="862" spans="1:15" x14ac:dyDescent="0.25">
      <c r="A862" s="8">
        <v>854</v>
      </c>
      <c r="B862" s="9">
        <f t="shared" ca="1" si="171"/>
        <v>2665</v>
      </c>
      <c r="C862" s="10">
        <f t="shared" ca="1" si="172"/>
        <v>1800</v>
      </c>
      <c r="D862" s="11">
        <f t="shared" ca="1" si="180"/>
        <v>0.25167526980673849</v>
      </c>
      <c r="E862" s="9">
        <f t="shared" ca="1" si="181"/>
        <v>366</v>
      </c>
      <c r="F862" s="9">
        <f t="shared" ca="1" si="173"/>
        <v>2299</v>
      </c>
      <c r="G862" s="12" t="str">
        <f t="shared" ca="1" si="174"/>
        <v>No</v>
      </c>
      <c r="H862" s="12">
        <f t="shared" ca="1" si="182"/>
        <v>0</v>
      </c>
      <c r="I862" s="10">
        <f t="shared" ca="1" si="175"/>
        <v>0</v>
      </c>
      <c r="J862" s="13">
        <f t="shared" ca="1" si="176"/>
        <v>0</v>
      </c>
      <c r="K862" s="14">
        <f t="shared" ca="1" si="177"/>
        <v>459.8</v>
      </c>
      <c r="L862" s="14">
        <f t="shared" ca="1" si="178"/>
        <v>0</v>
      </c>
      <c r="M862" s="15">
        <f t="shared" ca="1" si="179"/>
        <v>459.8</v>
      </c>
      <c r="N862" s="16">
        <f ca="1">SUM($M$9:M862)/A862</f>
        <v>338.47939110070246</v>
      </c>
      <c r="O862" s="6"/>
    </row>
    <row r="863" spans="1:15" x14ac:dyDescent="0.25">
      <c r="A863" s="8">
        <v>855</v>
      </c>
      <c r="B863" s="9">
        <f t="shared" ca="1" si="171"/>
        <v>2299</v>
      </c>
      <c r="C863" s="10">
        <f t="shared" ca="1" si="172"/>
        <v>0</v>
      </c>
      <c r="D863" s="11">
        <f t="shared" ca="1" si="180"/>
        <v>0.79909952890559321</v>
      </c>
      <c r="E863" s="9">
        <f t="shared" ca="1" si="181"/>
        <v>441</v>
      </c>
      <c r="F863" s="9">
        <f t="shared" ca="1" si="173"/>
        <v>1858</v>
      </c>
      <c r="G863" s="12" t="str">
        <f t="shared" ca="1" si="174"/>
        <v>No</v>
      </c>
      <c r="H863" s="12">
        <f t="shared" ca="1" si="182"/>
        <v>0</v>
      </c>
      <c r="I863" s="10">
        <f t="shared" ca="1" si="175"/>
        <v>0</v>
      </c>
      <c r="J863" s="13">
        <f t="shared" ca="1" si="176"/>
        <v>0</v>
      </c>
      <c r="K863" s="14">
        <f t="shared" ca="1" si="177"/>
        <v>371.6</v>
      </c>
      <c r="L863" s="14">
        <f t="shared" ca="1" si="178"/>
        <v>0</v>
      </c>
      <c r="M863" s="15">
        <f t="shared" ca="1" si="179"/>
        <v>371.6</v>
      </c>
      <c r="N863" s="16">
        <f ca="1">SUM($M$9:M863)/A863</f>
        <v>338.51812865497061</v>
      </c>
      <c r="O863" s="6"/>
    </row>
    <row r="864" spans="1:15" x14ac:dyDescent="0.25">
      <c r="A864" s="8">
        <v>856</v>
      </c>
      <c r="B864" s="9">
        <f t="shared" ca="1" si="171"/>
        <v>1858</v>
      </c>
      <c r="C864" s="10">
        <f t="shared" ca="1" si="172"/>
        <v>0</v>
      </c>
      <c r="D864" s="11">
        <f t="shared" ca="1" si="180"/>
        <v>0.2393289568793856</v>
      </c>
      <c r="E864" s="9">
        <f t="shared" ca="1" si="181"/>
        <v>364</v>
      </c>
      <c r="F864" s="9">
        <f t="shared" ca="1" si="173"/>
        <v>1494</v>
      </c>
      <c r="G864" s="12" t="str">
        <f t="shared" ca="1" si="174"/>
        <v>No</v>
      </c>
      <c r="H864" s="12">
        <f t="shared" ca="1" si="182"/>
        <v>0</v>
      </c>
      <c r="I864" s="10">
        <f t="shared" ca="1" si="175"/>
        <v>0</v>
      </c>
      <c r="J864" s="13">
        <f t="shared" ca="1" si="176"/>
        <v>0</v>
      </c>
      <c r="K864" s="14">
        <f t="shared" ca="1" si="177"/>
        <v>298.8</v>
      </c>
      <c r="L864" s="14">
        <f t="shared" ca="1" si="178"/>
        <v>0</v>
      </c>
      <c r="M864" s="15">
        <f t="shared" ca="1" si="179"/>
        <v>298.8</v>
      </c>
      <c r="N864" s="16">
        <f ca="1">SUM($M$9:M864)/A864</f>
        <v>338.47172897196248</v>
      </c>
      <c r="O864" s="6"/>
    </row>
    <row r="865" spans="1:15" x14ac:dyDescent="0.25">
      <c r="A865" s="8">
        <v>857</v>
      </c>
      <c r="B865" s="9">
        <f t="shared" ca="1" si="171"/>
        <v>1494</v>
      </c>
      <c r="C865" s="10">
        <f t="shared" ca="1" si="172"/>
        <v>0</v>
      </c>
      <c r="D865" s="11">
        <f t="shared" ca="1" si="180"/>
        <v>0.87267764282581972</v>
      </c>
      <c r="E865" s="9">
        <f t="shared" ca="1" si="181"/>
        <v>456</v>
      </c>
      <c r="F865" s="9">
        <f t="shared" ca="1" si="173"/>
        <v>1038</v>
      </c>
      <c r="G865" s="12" t="str">
        <f t="shared" ca="1" si="174"/>
        <v>No</v>
      </c>
      <c r="H865" s="12">
        <f t="shared" ca="1" si="182"/>
        <v>0</v>
      </c>
      <c r="I865" s="10">
        <f t="shared" ca="1" si="175"/>
        <v>0</v>
      </c>
      <c r="J865" s="13">
        <f t="shared" ca="1" si="176"/>
        <v>0</v>
      </c>
      <c r="K865" s="14">
        <f t="shared" ca="1" si="177"/>
        <v>207.60000000000002</v>
      </c>
      <c r="L865" s="14">
        <f t="shared" ca="1" si="178"/>
        <v>0</v>
      </c>
      <c r="M865" s="15">
        <f t="shared" ca="1" si="179"/>
        <v>207.60000000000002</v>
      </c>
      <c r="N865" s="16">
        <f ca="1">SUM($M$9:M865)/A865</f>
        <v>338.31901983663926</v>
      </c>
      <c r="O865" s="6"/>
    </row>
    <row r="866" spans="1:15" x14ac:dyDescent="0.25">
      <c r="A866" s="8">
        <v>858</v>
      </c>
      <c r="B866" s="9">
        <f t="shared" ca="1" si="171"/>
        <v>1038</v>
      </c>
      <c r="C866" s="10">
        <f t="shared" ca="1" si="172"/>
        <v>0</v>
      </c>
      <c r="D866" s="11">
        <f t="shared" ca="1" si="180"/>
        <v>0.80365305330366688</v>
      </c>
      <c r="E866" s="9">
        <f t="shared" ca="1" si="181"/>
        <v>442</v>
      </c>
      <c r="F866" s="9">
        <f t="shared" ca="1" si="173"/>
        <v>596</v>
      </c>
      <c r="G866" s="12" t="str">
        <f t="shared" ca="1" si="174"/>
        <v>Yes</v>
      </c>
      <c r="H866" s="12">
        <f t="shared" ca="1" si="182"/>
        <v>0.80539692929094331</v>
      </c>
      <c r="I866" s="10">
        <f t="shared" ca="1" si="175"/>
        <v>2</v>
      </c>
      <c r="J866" s="13">
        <f t="shared" ca="1" si="176"/>
        <v>300</v>
      </c>
      <c r="K866" s="14">
        <f t="shared" ca="1" si="177"/>
        <v>119.2</v>
      </c>
      <c r="L866" s="14">
        <f t="shared" ca="1" si="178"/>
        <v>0</v>
      </c>
      <c r="M866" s="15">
        <f t="shared" ca="1" si="179"/>
        <v>419.2</v>
      </c>
      <c r="N866" s="16">
        <f ca="1">SUM($M$9:M866)/A866</f>
        <v>338.41328671328654</v>
      </c>
      <c r="O866" s="6"/>
    </row>
    <row r="867" spans="1:15" x14ac:dyDescent="0.25">
      <c r="A867" s="8">
        <v>859</v>
      </c>
      <c r="B867" s="9">
        <f t="shared" ca="1" si="171"/>
        <v>596</v>
      </c>
      <c r="C867" s="10">
        <f t="shared" ca="1" si="172"/>
        <v>0</v>
      </c>
      <c r="D867" s="11">
        <f t="shared" ca="1" si="180"/>
        <v>0.98547765634872353</v>
      </c>
      <c r="E867" s="9">
        <f t="shared" ca="1" si="181"/>
        <v>509</v>
      </c>
      <c r="F867" s="9">
        <f t="shared" ca="1" si="173"/>
        <v>87</v>
      </c>
      <c r="G867" s="12" t="str">
        <f t="shared" ca="1" si="174"/>
        <v>No</v>
      </c>
      <c r="H867" s="12">
        <f t="shared" ca="1" si="182"/>
        <v>0</v>
      </c>
      <c r="I867" s="10">
        <f t="shared" ca="1" si="175"/>
        <v>1</v>
      </c>
      <c r="J867" s="13">
        <f t="shared" ca="1" si="176"/>
        <v>0</v>
      </c>
      <c r="K867" s="14">
        <f t="shared" ca="1" si="177"/>
        <v>17.400000000000002</v>
      </c>
      <c r="L867" s="14">
        <f t="shared" ca="1" si="178"/>
        <v>0</v>
      </c>
      <c r="M867" s="15">
        <f t="shared" ca="1" si="179"/>
        <v>17.400000000000002</v>
      </c>
      <c r="N867" s="16">
        <f ca="1">SUM($M$9:M867)/A867</f>
        <v>338.03958090803246</v>
      </c>
      <c r="O867" s="6"/>
    </row>
    <row r="868" spans="1:15" x14ac:dyDescent="0.25">
      <c r="A868" s="8">
        <v>860</v>
      </c>
      <c r="B868" s="9">
        <f t="shared" ca="1" si="171"/>
        <v>1887</v>
      </c>
      <c r="C868" s="10">
        <f t="shared" ca="1" si="172"/>
        <v>1800</v>
      </c>
      <c r="D868" s="11">
        <f t="shared" ca="1" si="180"/>
        <v>0.46756948599009185</v>
      </c>
      <c r="E868" s="9">
        <f t="shared" ca="1" si="181"/>
        <v>395</v>
      </c>
      <c r="F868" s="9">
        <f t="shared" ca="1" si="173"/>
        <v>1492</v>
      </c>
      <c r="G868" s="12" t="str">
        <f t="shared" ca="1" si="174"/>
        <v>No</v>
      </c>
      <c r="H868" s="12">
        <f t="shared" ca="1" si="182"/>
        <v>0</v>
      </c>
      <c r="I868" s="10">
        <f t="shared" ca="1" si="175"/>
        <v>0</v>
      </c>
      <c r="J868" s="13">
        <f t="shared" ca="1" si="176"/>
        <v>0</v>
      </c>
      <c r="K868" s="14">
        <f t="shared" ca="1" si="177"/>
        <v>298.40000000000003</v>
      </c>
      <c r="L868" s="14">
        <f t="shared" ca="1" si="178"/>
        <v>0</v>
      </c>
      <c r="M868" s="15">
        <f t="shared" ca="1" si="179"/>
        <v>298.40000000000003</v>
      </c>
      <c r="N868" s="16">
        <f ca="1">SUM($M$9:M868)/A868</f>
        <v>337.99348837209294</v>
      </c>
      <c r="O868" s="6"/>
    </row>
    <row r="869" spans="1:15" x14ac:dyDescent="0.25">
      <c r="A869" s="8">
        <v>861</v>
      </c>
      <c r="B869" s="9">
        <f t="shared" ca="1" si="171"/>
        <v>1492</v>
      </c>
      <c r="C869" s="10">
        <f t="shared" ca="1" si="172"/>
        <v>0</v>
      </c>
      <c r="D869" s="11">
        <f t="shared" ca="1" si="180"/>
        <v>0.60345464892418477</v>
      </c>
      <c r="E869" s="9">
        <f t="shared" ca="1" si="181"/>
        <v>413</v>
      </c>
      <c r="F869" s="9">
        <f t="shared" ca="1" si="173"/>
        <v>1079</v>
      </c>
      <c r="G869" s="12" t="str">
        <f t="shared" ca="1" si="174"/>
        <v>No</v>
      </c>
      <c r="H869" s="12">
        <f t="shared" ca="1" si="182"/>
        <v>0</v>
      </c>
      <c r="I869" s="10">
        <f t="shared" ca="1" si="175"/>
        <v>0</v>
      </c>
      <c r="J869" s="13">
        <f t="shared" ca="1" si="176"/>
        <v>0</v>
      </c>
      <c r="K869" s="14">
        <f t="shared" ca="1" si="177"/>
        <v>215.8</v>
      </c>
      <c r="L869" s="14">
        <f t="shared" ca="1" si="178"/>
        <v>0</v>
      </c>
      <c r="M869" s="15">
        <f t="shared" ca="1" si="179"/>
        <v>215.8</v>
      </c>
      <c r="N869" s="16">
        <f ca="1">SUM($M$9:M869)/A869</f>
        <v>337.85156794425075</v>
      </c>
      <c r="O869" s="6"/>
    </row>
    <row r="870" spans="1:15" x14ac:dyDescent="0.25">
      <c r="A870" s="8">
        <v>862</v>
      </c>
      <c r="B870" s="9">
        <f t="shared" ca="1" si="171"/>
        <v>1079</v>
      </c>
      <c r="C870" s="10">
        <f t="shared" ca="1" si="172"/>
        <v>0</v>
      </c>
      <c r="D870" s="11">
        <f t="shared" ca="1" si="180"/>
        <v>0.24811522452817403</v>
      </c>
      <c r="E870" s="9">
        <f t="shared" ca="1" si="181"/>
        <v>365</v>
      </c>
      <c r="F870" s="9">
        <f t="shared" ca="1" si="173"/>
        <v>714</v>
      </c>
      <c r="G870" s="12" t="str">
        <f t="shared" ca="1" si="174"/>
        <v>Yes</v>
      </c>
      <c r="H870" s="12">
        <f t="shared" ca="1" si="182"/>
        <v>0.75624949716598755</v>
      </c>
      <c r="I870" s="10">
        <f t="shared" ca="1" si="175"/>
        <v>2</v>
      </c>
      <c r="J870" s="13">
        <f t="shared" ca="1" si="176"/>
        <v>300</v>
      </c>
      <c r="K870" s="14">
        <f t="shared" ca="1" si="177"/>
        <v>142.80000000000001</v>
      </c>
      <c r="L870" s="14">
        <f t="shared" ca="1" si="178"/>
        <v>0</v>
      </c>
      <c r="M870" s="15">
        <f t="shared" ca="1" si="179"/>
        <v>442.8</v>
      </c>
      <c r="N870" s="16">
        <f ca="1">SUM($M$9:M870)/A870</f>
        <v>337.97331786542912</v>
      </c>
      <c r="O870" s="6"/>
    </row>
    <row r="871" spans="1:15" x14ac:dyDescent="0.25">
      <c r="A871" s="8">
        <v>863</v>
      </c>
      <c r="B871" s="9">
        <f t="shared" ca="1" si="171"/>
        <v>714</v>
      </c>
      <c r="C871" s="10">
        <f t="shared" ca="1" si="172"/>
        <v>0</v>
      </c>
      <c r="D871" s="11">
        <f t="shared" ca="1" si="180"/>
        <v>0.11305084616073868</v>
      </c>
      <c r="E871" s="9">
        <f t="shared" ca="1" si="181"/>
        <v>339</v>
      </c>
      <c r="F871" s="9">
        <f t="shared" ca="1" si="173"/>
        <v>375</v>
      </c>
      <c r="G871" s="12" t="str">
        <f t="shared" ca="1" si="174"/>
        <v>No</v>
      </c>
      <c r="H871" s="12">
        <f t="shared" ca="1" si="182"/>
        <v>0</v>
      </c>
      <c r="I871" s="10">
        <f t="shared" ca="1" si="175"/>
        <v>1</v>
      </c>
      <c r="J871" s="13">
        <f t="shared" ca="1" si="176"/>
        <v>0</v>
      </c>
      <c r="K871" s="14">
        <f t="shared" ca="1" si="177"/>
        <v>75</v>
      </c>
      <c r="L871" s="14">
        <f t="shared" ca="1" si="178"/>
        <v>0</v>
      </c>
      <c r="M871" s="15">
        <f t="shared" ca="1" si="179"/>
        <v>75</v>
      </c>
      <c r="N871" s="16">
        <f ca="1">SUM($M$9:M871)/A871</f>
        <v>337.66859791425247</v>
      </c>
      <c r="O871" s="6"/>
    </row>
    <row r="872" spans="1:15" x14ac:dyDescent="0.25">
      <c r="A872" s="8">
        <v>864</v>
      </c>
      <c r="B872" s="9">
        <f t="shared" ca="1" si="171"/>
        <v>2175</v>
      </c>
      <c r="C872" s="10">
        <f t="shared" ca="1" si="172"/>
        <v>1800</v>
      </c>
      <c r="D872" s="11">
        <f t="shared" ca="1" si="180"/>
        <v>0.73100817324335909</v>
      </c>
      <c r="E872" s="9">
        <f t="shared" ca="1" si="181"/>
        <v>430</v>
      </c>
      <c r="F872" s="9">
        <f t="shared" ca="1" si="173"/>
        <v>1745</v>
      </c>
      <c r="G872" s="12" t="str">
        <f t="shared" ca="1" si="174"/>
        <v>No</v>
      </c>
      <c r="H872" s="12">
        <f t="shared" ca="1" si="182"/>
        <v>0</v>
      </c>
      <c r="I872" s="10">
        <f t="shared" ca="1" si="175"/>
        <v>0</v>
      </c>
      <c r="J872" s="13">
        <f t="shared" ca="1" si="176"/>
        <v>0</v>
      </c>
      <c r="K872" s="14">
        <f t="shared" ca="1" si="177"/>
        <v>349</v>
      </c>
      <c r="L872" s="14">
        <f t="shared" ca="1" si="178"/>
        <v>0</v>
      </c>
      <c r="M872" s="15">
        <f t="shared" ca="1" si="179"/>
        <v>349</v>
      </c>
      <c r="N872" s="16">
        <f ca="1">SUM($M$9:M872)/A872</f>
        <v>337.68171296296282</v>
      </c>
      <c r="O872" s="6"/>
    </row>
    <row r="873" spans="1:15" x14ac:dyDescent="0.25">
      <c r="A873" s="8">
        <v>865</v>
      </c>
      <c r="B873" s="9">
        <f t="shared" ca="1" si="171"/>
        <v>1745</v>
      </c>
      <c r="C873" s="10">
        <f t="shared" ca="1" si="172"/>
        <v>0</v>
      </c>
      <c r="D873" s="11">
        <f t="shared" ca="1" si="180"/>
        <v>3.9545360742784696E-2</v>
      </c>
      <c r="E873" s="9">
        <f t="shared" ca="1" si="181"/>
        <v>312</v>
      </c>
      <c r="F873" s="9">
        <f t="shared" ca="1" si="173"/>
        <v>1433</v>
      </c>
      <c r="G873" s="12" t="str">
        <f t="shared" ca="1" si="174"/>
        <v>No</v>
      </c>
      <c r="H873" s="12">
        <f t="shared" ca="1" si="182"/>
        <v>0</v>
      </c>
      <c r="I873" s="10">
        <f t="shared" ca="1" si="175"/>
        <v>0</v>
      </c>
      <c r="J873" s="13">
        <f t="shared" ca="1" si="176"/>
        <v>0</v>
      </c>
      <c r="K873" s="14">
        <f t="shared" ca="1" si="177"/>
        <v>286.60000000000002</v>
      </c>
      <c r="L873" s="14">
        <f t="shared" ca="1" si="178"/>
        <v>0</v>
      </c>
      <c r="M873" s="15">
        <f t="shared" ca="1" si="179"/>
        <v>286.60000000000002</v>
      </c>
      <c r="N873" s="16">
        <f ca="1">SUM($M$9:M873)/A873</f>
        <v>337.62265895953743</v>
      </c>
      <c r="O873" s="6"/>
    </row>
    <row r="874" spans="1:15" x14ac:dyDescent="0.25">
      <c r="A874" s="8">
        <v>866</v>
      </c>
      <c r="B874" s="9">
        <f t="shared" ca="1" si="171"/>
        <v>1433</v>
      </c>
      <c r="C874" s="10">
        <f t="shared" ca="1" si="172"/>
        <v>0</v>
      </c>
      <c r="D874" s="11">
        <f t="shared" ca="1" si="180"/>
        <v>0.93817273643338495</v>
      </c>
      <c r="E874" s="9">
        <f t="shared" ca="1" si="181"/>
        <v>476</v>
      </c>
      <c r="F874" s="9">
        <f t="shared" ca="1" si="173"/>
        <v>957</v>
      </c>
      <c r="G874" s="12" t="str">
        <f t="shared" ca="1" si="174"/>
        <v>No</v>
      </c>
      <c r="H874" s="12">
        <f t="shared" ca="1" si="182"/>
        <v>0</v>
      </c>
      <c r="I874" s="10">
        <f t="shared" ca="1" si="175"/>
        <v>0</v>
      </c>
      <c r="J874" s="13">
        <f t="shared" ca="1" si="176"/>
        <v>0</v>
      </c>
      <c r="K874" s="14">
        <f t="shared" ca="1" si="177"/>
        <v>191.4</v>
      </c>
      <c r="L874" s="14">
        <f t="shared" ca="1" si="178"/>
        <v>0</v>
      </c>
      <c r="M874" s="15">
        <f t="shared" ca="1" si="179"/>
        <v>191.4</v>
      </c>
      <c r="N874" s="16">
        <f ca="1">SUM($M$9:M874)/A874</f>
        <v>337.45381062355642</v>
      </c>
      <c r="O874" s="6"/>
    </row>
    <row r="875" spans="1:15" x14ac:dyDescent="0.25">
      <c r="A875" s="8">
        <v>867</v>
      </c>
      <c r="B875" s="9">
        <f t="shared" ca="1" si="171"/>
        <v>957</v>
      </c>
      <c r="C875" s="10">
        <f t="shared" ca="1" si="172"/>
        <v>0</v>
      </c>
      <c r="D875" s="11">
        <f t="shared" ca="1" si="180"/>
        <v>0.86851757907754035</v>
      </c>
      <c r="E875" s="9">
        <f t="shared" ca="1" si="181"/>
        <v>455</v>
      </c>
      <c r="F875" s="9">
        <f t="shared" ca="1" si="173"/>
        <v>502</v>
      </c>
      <c r="G875" s="12" t="str">
        <f t="shared" ca="1" si="174"/>
        <v>Yes</v>
      </c>
      <c r="H875" s="12">
        <f t="shared" ca="1" si="182"/>
        <v>0.84923197138718831</v>
      </c>
      <c r="I875" s="10">
        <f t="shared" ca="1" si="175"/>
        <v>2</v>
      </c>
      <c r="J875" s="13">
        <f t="shared" ca="1" si="176"/>
        <v>300</v>
      </c>
      <c r="K875" s="14">
        <f t="shared" ca="1" si="177"/>
        <v>100.4</v>
      </c>
      <c r="L875" s="14">
        <f t="shared" ca="1" si="178"/>
        <v>0</v>
      </c>
      <c r="M875" s="15">
        <f t="shared" ca="1" si="179"/>
        <v>400.4</v>
      </c>
      <c r="N875" s="16">
        <f ca="1">SUM($M$9:M875)/A875</f>
        <v>337.52641291810829</v>
      </c>
      <c r="O875" s="6"/>
    </row>
    <row r="876" spans="1:15" x14ac:dyDescent="0.25">
      <c r="A876" s="8">
        <v>868</v>
      </c>
      <c r="B876" s="9">
        <f t="shared" ca="1" si="171"/>
        <v>502</v>
      </c>
      <c r="C876" s="10">
        <f t="shared" ca="1" si="172"/>
        <v>0</v>
      </c>
      <c r="D876" s="11">
        <f t="shared" ca="1" si="180"/>
        <v>3.5077691981897474E-2</v>
      </c>
      <c r="E876" s="9">
        <f t="shared" ca="1" si="181"/>
        <v>309</v>
      </c>
      <c r="F876" s="9">
        <f t="shared" ca="1" si="173"/>
        <v>193</v>
      </c>
      <c r="G876" s="12" t="str">
        <f t="shared" ca="1" si="174"/>
        <v>No</v>
      </c>
      <c r="H876" s="12">
        <f t="shared" ca="1" si="182"/>
        <v>0</v>
      </c>
      <c r="I876" s="10">
        <f t="shared" ca="1" si="175"/>
        <v>1</v>
      </c>
      <c r="J876" s="13">
        <f t="shared" ca="1" si="176"/>
        <v>0</v>
      </c>
      <c r="K876" s="14">
        <f t="shared" ca="1" si="177"/>
        <v>38.6</v>
      </c>
      <c r="L876" s="14">
        <f t="shared" ca="1" si="178"/>
        <v>0</v>
      </c>
      <c r="M876" s="15">
        <f t="shared" ca="1" si="179"/>
        <v>38.6</v>
      </c>
      <c r="N876" s="16">
        <f ca="1">SUM($M$9:M876)/A876</f>
        <v>337.18202764976945</v>
      </c>
      <c r="O876" s="6"/>
    </row>
    <row r="877" spans="1:15" x14ac:dyDescent="0.25">
      <c r="A877" s="8">
        <v>869</v>
      </c>
      <c r="B877" s="9">
        <f t="shared" ca="1" si="171"/>
        <v>1993</v>
      </c>
      <c r="C877" s="10">
        <f t="shared" ca="1" si="172"/>
        <v>1800</v>
      </c>
      <c r="D877" s="11">
        <f t="shared" ca="1" si="180"/>
        <v>0.14904596956161842</v>
      </c>
      <c r="E877" s="9">
        <f t="shared" ca="1" si="181"/>
        <v>347</v>
      </c>
      <c r="F877" s="9">
        <f t="shared" ca="1" si="173"/>
        <v>1646</v>
      </c>
      <c r="G877" s="12" t="str">
        <f t="shared" ca="1" si="174"/>
        <v>No</v>
      </c>
      <c r="H877" s="12">
        <f t="shared" ca="1" si="182"/>
        <v>0</v>
      </c>
      <c r="I877" s="10">
        <f t="shared" ca="1" si="175"/>
        <v>0</v>
      </c>
      <c r="J877" s="13">
        <f t="shared" ca="1" si="176"/>
        <v>0</v>
      </c>
      <c r="K877" s="14">
        <f t="shared" ca="1" si="177"/>
        <v>329.20000000000005</v>
      </c>
      <c r="L877" s="14">
        <f t="shared" ca="1" si="178"/>
        <v>0</v>
      </c>
      <c r="M877" s="15">
        <f t="shared" ca="1" si="179"/>
        <v>329.20000000000005</v>
      </c>
      <c r="N877" s="16">
        <f ca="1">SUM($M$9:M877)/A877</f>
        <v>337.17284234752577</v>
      </c>
      <c r="O877" s="6"/>
    </row>
    <row r="878" spans="1:15" x14ac:dyDescent="0.25">
      <c r="A878" s="8">
        <v>870</v>
      </c>
      <c r="B878" s="9">
        <f t="shared" ca="1" si="171"/>
        <v>1646</v>
      </c>
      <c r="C878" s="10">
        <f t="shared" ca="1" si="172"/>
        <v>0</v>
      </c>
      <c r="D878" s="11">
        <f t="shared" ca="1" si="180"/>
        <v>5.3805295153650401E-2</v>
      </c>
      <c r="E878" s="9">
        <f t="shared" ca="1" si="181"/>
        <v>319</v>
      </c>
      <c r="F878" s="9">
        <f t="shared" ca="1" si="173"/>
        <v>1327</v>
      </c>
      <c r="G878" s="12" t="str">
        <f t="shared" ca="1" si="174"/>
        <v>No</v>
      </c>
      <c r="H878" s="12">
        <f t="shared" ca="1" si="182"/>
        <v>0</v>
      </c>
      <c r="I878" s="10">
        <f t="shared" ca="1" si="175"/>
        <v>0</v>
      </c>
      <c r="J878" s="13">
        <f t="shared" ca="1" si="176"/>
        <v>0</v>
      </c>
      <c r="K878" s="14">
        <f t="shared" ca="1" si="177"/>
        <v>265.40000000000003</v>
      </c>
      <c r="L878" s="14">
        <f t="shared" ca="1" si="178"/>
        <v>0</v>
      </c>
      <c r="M878" s="15">
        <f t="shared" ca="1" si="179"/>
        <v>265.40000000000003</v>
      </c>
      <c r="N878" s="16">
        <f ca="1">SUM($M$9:M878)/A878</f>
        <v>337.09034482758614</v>
      </c>
      <c r="O878" s="6"/>
    </row>
    <row r="879" spans="1:15" x14ac:dyDescent="0.25">
      <c r="A879" s="8">
        <v>871</v>
      </c>
      <c r="B879" s="9">
        <f t="shared" ca="1" si="171"/>
        <v>1327</v>
      </c>
      <c r="C879" s="10">
        <f t="shared" ca="1" si="172"/>
        <v>0</v>
      </c>
      <c r="D879" s="11">
        <f t="shared" ca="1" si="180"/>
        <v>0.30287482671710264</v>
      </c>
      <c r="E879" s="9">
        <f t="shared" ca="1" si="181"/>
        <v>374</v>
      </c>
      <c r="F879" s="9">
        <f t="shared" ca="1" si="173"/>
        <v>953</v>
      </c>
      <c r="G879" s="12" t="str">
        <f t="shared" ca="1" si="174"/>
        <v>Yes</v>
      </c>
      <c r="H879" s="12">
        <f t="shared" ca="1" si="182"/>
        <v>0.48836871215406186</v>
      </c>
      <c r="I879" s="10">
        <f t="shared" ca="1" si="175"/>
        <v>1</v>
      </c>
      <c r="J879" s="13">
        <f t="shared" ca="1" si="176"/>
        <v>300</v>
      </c>
      <c r="K879" s="14">
        <f t="shared" ca="1" si="177"/>
        <v>190.60000000000002</v>
      </c>
      <c r="L879" s="14">
        <f t="shared" ca="1" si="178"/>
        <v>0</v>
      </c>
      <c r="M879" s="15">
        <f t="shared" ca="1" si="179"/>
        <v>490.6</v>
      </c>
      <c r="N879" s="16">
        <f ca="1">SUM($M$9:M879)/A879</f>
        <v>337.26659012629148</v>
      </c>
      <c r="O879" s="6"/>
    </row>
    <row r="880" spans="1:15" x14ac:dyDescent="0.25">
      <c r="A880" s="8">
        <v>872</v>
      </c>
      <c r="B880" s="9">
        <f t="shared" ca="1" si="171"/>
        <v>2753</v>
      </c>
      <c r="C880" s="10">
        <f t="shared" ca="1" si="172"/>
        <v>1800</v>
      </c>
      <c r="D880" s="11">
        <f t="shared" ca="1" si="180"/>
        <v>0.28338287178819876</v>
      </c>
      <c r="E880" s="9">
        <f t="shared" ca="1" si="181"/>
        <v>371</v>
      </c>
      <c r="F880" s="9">
        <f t="shared" ca="1" si="173"/>
        <v>2382</v>
      </c>
      <c r="G880" s="12" t="str">
        <f t="shared" ca="1" si="174"/>
        <v>No</v>
      </c>
      <c r="H880" s="12">
        <f t="shared" ca="1" si="182"/>
        <v>0</v>
      </c>
      <c r="I880" s="10">
        <f t="shared" ca="1" si="175"/>
        <v>0</v>
      </c>
      <c r="J880" s="13">
        <f t="shared" ca="1" si="176"/>
        <v>0</v>
      </c>
      <c r="K880" s="14">
        <f t="shared" ca="1" si="177"/>
        <v>476.40000000000003</v>
      </c>
      <c r="L880" s="14">
        <f t="shared" ca="1" si="178"/>
        <v>0</v>
      </c>
      <c r="M880" s="15">
        <f t="shared" ca="1" si="179"/>
        <v>476.40000000000003</v>
      </c>
      <c r="N880" s="16">
        <f ca="1">SUM($M$9:M880)/A880</f>
        <v>337.42614678899071</v>
      </c>
      <c r="O880" s="6"/>
    </row>
    <row r="881" spans="1:15" x14ac:dyDescent="0.25">
      <c r="A881" s="8">
        <v>873</v>
      </c>
      <c r="B881" s="9">
        <f t="shared" ca="1" si="171"/>
        <v>2382</v>
      </c>
      <c r="C881" s="10">
        <f t="shared" ca="1" si="172"/>
        <v>0</v>
      </c>
      <c r="D881" s="11">
        <f t="shared" ca="1" si="180"/>
        <v>0.94420088051236617</v>
      </c>
      <c r="E881" s="9">
        <f t="shared" ca="1" si="181"/>
        <v>479</v>
      </c>
      <c r="F881" s="9">
        <f t="shared" ca="1" si="173"/>
        <v>1903</v>
      </c>
      <c r="G881" s="12" t="str">
        <f t="shared" ca="1" si="174"/>
        <v>No</v>
      </c>
      <c r="H881" s="12">
        <f t="shared" ca="1" si="182"/>
        <v>0</v>
      </c>
      <c r="I881" s="10">
        <f t="shared" ca="1" si="175"/>
        <v>0</v>
      </c>
      <c r="J881" s="13">
        <f t="shared" ca="1" si="176"/>
        <v>0</v>
      </c>
      <c r="K881" s="14">
        <f t="shared" ca="1" si="177"/>
        <v>380.6</v>
      </c>
      <c r="L881" s="14">
        <f t="shared" ca="1" si="178"/>
        <v>0</v>
      </c>
      <c r="M881" s="15">
        <f t="shared" ca="1" si="179"/>
        <v>380.6</v>
      </c>
      <c r="N881" s="16">
        <f ca="1">SUM($M$9:M881)/A881</f>
        <v>337.47560137457032</v>
      </c>
      <c r="O881" s="6"/>
    </row>
    <row r="882" spans="1:15" x14ac:dyDescent="0.25">
      <c r="A882" s="8">
        <v>874</v>
      </c>
      <c r="B882" s="9">
        <f t="shared" ca="1" si="171"/>
        <v>1903</v>
      </c>
      <c r="C882" s="10">
        <f t="shared" ca="1" si="172"/>
        <v>0</v>
      </c>
      <c r="D882" s="11">
        <f t="shared" ca="1" si="180"/>
        <v>0.52297524384530014</v>
      </c>
      <c r="E882" s="9">
        <f t="shared" ca="1" si="181"/>
        <v>402</v>
      </c>
      <c r="F882" s="9">
        <f t="shared" ca="1" si="173"/>
        <v>1501</v>
      </c>
      <c r="G882" s="12" t="str">
        <f t="shared" ca="1" si="174"/>
        <v>No</v>
      </c>
      <c r="H882" s="12">
        <f t="shared" ca="1" si="182"/>
        <v>0</v>
      </c>
      <c r="I882" s="10">
        <f t="shared" ca="1" si="175"/>
        <v>0</v>
      </c>
      <c r="J882" s="13">
        <f t="shared" ca="1" si="176"/>
        <v>0</v>
      </c>
      <c r="K882" s="14">
        <f t="shared" ca="1" si="177"/>
        <v>300.2</v>
      </c>
      <c r="L882" s="14">
        <f t="shared" ca="1" si="178"/>
        <v>0</v>
      </c>
      <c r="M882" s="15">
        <f t="shared" ca="1" si="179"/>
        <v>300.2</v>
      </c>
      <c r="N882" s="16">
        <f ca="1">SUM($M$9:M882)/A882</f>
        <v>337.43295194507999</v>
      </c>
      <c r="O882" s="6"/>
    </row>
    <row r="883" spans="1:15" x14ac:dyDescent="0.25">
      <c r="A883" s="8">
        <v>875</v>
      </c>
      <c r="B883" s="9">
        <f t="shared" ca="1" si="171"/>
        <v>1501</v>
      </c>
      <c r="C883" s="10">
        <f t="shared" ca="1" si="172"/>
        <v>0</v>
      </c>
      <c r="D883" s="11">
        <f t="shared" ca="1" si="180"/>
        <v>0.6124276218450958</v>
      </c>
      <c r="E883" s="9">
        <f t="shared" ca="1" si="181"/>
        <v>414</v>
      </c>
      <c r="F883" s="9">
        <f t="shared" ca="1" si="173"/>
        <v>1087</v>
      </c>
      <c r="G883" s="12" t="str">
        <f t="shared" ca="1" si="174"/>
        <v>No</v>
      </c>
      <c r="H883" s="12">
        <f t="shared" ca="1" si="182"/>
        <v>0</v>
      </c>
      <c r="I883" s="10">
        <f t="shared" ca="1" si="175"/>
        <v>0</v>
      </c>
      <c r="J883" s="13">
        <f t="shared" ca="1" si="176"/>
        <v>0</v>
      </c>
      <c r="K883" s="14">
        <f t="shared" ca="1" si="177"/>
        <v>217.4</v>
      </c>
      <c r="L883" s="14">
        <f t="shared" ca="1" si="178"/>
        <v>0</v>
      </c>
      <c r="M883" s="15">
        <f t="shared" ca="1" si="179"/>
        <v>217.4</v>
      </c>
      <c r="N883" s="16">
        <f ca="1">SUM($M$9:M883)/A883</f>
        <v>337.29577142857136</v>
      </c>
      <c r="O883" s="6"/>
    </row>
    <row r="884" spans="1:15" x14ac:dyDescent="0.25">
      <c r="A884" s="8">
        <v>876</v>
      </c>
      <c r="B884" s="9">
        <f t="shared" ca="1" si="171"/>
        <v>1087</v>
      </c>
      <c r="C884" s="10">
        <f t="shared" ca="1" si="172"/>
        <v>0</v>
      </c>
      <c r="D884" s="11">
        <f t="shared" ca="1" si="180"/>
        <v>0.46867970414128757</v>
      </c>
      <c r="E884" s="9">
        <f t="shared" ca="1" si="181"/>
        <v>396</v>
      </c>
      <c r="F884" s="9">
        <f t="shared" ca="1" si="173"/>
        <v>691</v>
      </c>
      <c r="G884" s="12" t="str">
        <f t="shared" ca="1" si="174"/>
        <v>Yes</v>
      </c>
      <c r="H884" s="12">
        <f t="shared" ca="1" si="182"/>
        <v>0.24378689932959341</v>
      </c>
      <c r="I884" s="10">
        <f t="shared" ca="1" si="175"/>
        <v>1</v>
      </c>
      <c r="J884" s="13">
        <f t="shared" ca="1" si="176"/>
        <v>300</v>
      </c>
      <c r="K884" s="14">
        <f t="shared" ca="1" si="177"/>
        <v>138.20000000000002</v>
      </c>
      <c r="L884" s="14">
        <f t="shared" ca="1" si="178"/>
        <v>0</v>
      </c>
      <c r="M884" s="15">
        <f t="shared" ca="1" si="179"/>
        <v>438.20000000000005</v>
      </c>
      <c r="N884" s="16">
        <f ca="1">SUM($M$9:M884)/A884</f>
        <v>337.41095890410952</v>
      </c>
      <c r="O884" s="6"/>
    </row>
    <row r="885" spans="1:15" x14ac:dyDescent="0.25">
      <c r="A885" s="8">
        <v>877</v>
      </c>
      <c r="B885" s="9">
        <f t="shared" ca="1" si="171"/>
        <v>2491</v>
      </c>
      <c r="C885" s="10">
        <f t="shared" ca="1" si="172"/>
        <v>1800</v>
      </c>
      <c r="D885" s="11">
        <f t="shared" ca="1" si="180"/>
        <v>0.53734854322635928</v>
      </c>
      <c r="E885" s="9">
        <f t="shared" ca="1" si="181"/>
        <v>404</v>
      </c>
      <c r="F885" s="9">
        <f t="shared" ca="1" si="173"/>
        <v>2087</v>
      </c>
      <c r="G885" s="12" t="str">
        <f t="shared" ca="1" si="174"/>
        <v>No</v>
      </c>
      <c r="H885" s="12">
        <f t="shared" ca="1" si="182"/>
        <v>0</v>
      </c>
      <c r="I885" s="10">
        <f t="shared" ca="1" si="175"/>
        <v>0</v>
      </c>
      <c r="J885" s="13">
        <f t="shared" ca="1" si="176"/>
        <v>0</v>
      </c>
      <c r="K885" s="14">
        <f t="shared" ca="1" si="177"/>
        <v>417.40000000000003</v>
      </c>
      <c r="L885" s="14">
        <f t="shared" ca="1" si="178"/>
        <v>0</v>
      </c>
      <c r="M885" s="15">
        <f t="shared" ca="1" si="179"/>
        <v>417.40000000000003</v>
      </c>
      <c r="N885" s="16">
        <f ca="1">SUM($M$9:M885)/A885</f>
        <v>337.50216647662484</v>
      </c>
      <c r="O885" s="6"/>
    </row>
    <row r="886" spans="1:15" x14ac:dyDescent="0.25">
      <c r="A886" s="8">
        <v>878</v>
      </c>
      <c r="B886" s="9">
        <f t="shared" ca="1" si="171"/>
        <v>2087</v>
      </c>
      <c r="C886" s="10">
        <f t="shared" ca="1" si="172"/>
        <v>0</v>
      </c>
      <c r="D886" s="11">
        <f t="shared" ca="1" si="180"/>
        <v>0.20181500537548736</v>
      </c>
      <c r="E886" s="9">
        <f t="shared" ca="1" si="181"/>
        <v>358</v>
      </c>
      <c r="F886" s="9">
        <f t="shared" ca="1" si="173"/>
        <v>1729</v>
      </c>
      <c r="G886" s="12" t="str">
        <f t="shared" ca="1" si="174"/>
        <v>No</v>
      </c>
      <c r="H886" s="12">
        <f t="shared" ca="1" si="182"/>
        <v>0</v>
      </c>
      <c r="I886" s="10">
        <f t="shared" ca="1" si="175"/>
        <v>0</v>
      </c>
      <c r="J886" s="13">
        <f t="shared" ca="1" si="176"/>
        <v>0</v>
      </c>
      <c r="K886" s="14">
        <f t="shared" ca="1" si="177"/>
        <v>345.8</v>
      </c>
      <c r="L886" s="14">
        <f t="shared" ca="1" si="178"/>
        <v>0</v>
      </c>
      <c r="M886" s="15">
        <f t="shared" ca="1" si="179"/>
        <v>345.8</v>
      </c>
      <c r="N886" s="16">
        <f ca="1">SUM($M$9:M886)/A886</f>
        <v>337.51161731207281</v>
      </c>
      <c r="O886" s="6"/>
    </row>
    <row r="887" spans="1:15" x14ac:dyDescent="0.25">
      <c r="A887" s="8">
        <v>879</v>
      </c>
      <c r="B887" s="9">
        <f t="shared" ca="1" si="171"/>
        <v>1729</v>
      </c>
      <c r="C887" s="10">
        <f t="shared" ca="1" si="172"/>
        <v>0</v>
      </c>
      <c r="D887" s="11">
        <f t="shared" ca="1" si="180"/>
        <v>0.54584899274733434</v>
      </c>
      <c r="E887" s="9">
        <f t="shared" ca="1" si="181"/>
        <v>405</v>
      </c>
      <c r="F887" s="9">
        <f t="shared" ca="1" si="173"/>
        <v>1324</v>
      </c>
      <c r="G887" s="12" t="str">
        <f t="shared" ca="1" si="174"/>
        <v>No</v>
      </c>
      <c r="H887" s="12">
        <f t="shared" ca="1" si="182"/>
        <v>0</v>
      </c>
      <c r="I887" s="10">
        <f t="shared" ca="1" si="175"/>
        <v>0</v>
      </c>
      <c r="J887" s="13">
        <f t="shared" ca="1" si="176"/>
        <v>0</v>
      </c>
      <c r="K887" s="14">
        <f t="shared" ca="1" si="177"/>
        <v>264.8</v>
      </c>
      <c r="L887" s="14">
        <f t="shared" ca="1" si="178"/>
        <v>0</v>
      </c>
      <c r="M887" s="15">
        <f t="shared" ca="1" si="179"/>
        <v>264.8</v>
      </c>
      <c r="N887" s="16">
        <f ca="1">SUM($M$9:M887)/A887</f>
        <v>337.42889647326501</v>
      </c>
      <c r="O887" s="6"/>
    </row>
    <row r="888" spans="1:15" x14ac:dyDescent="0.25">
      <c r="A888" s="8">
        <v>880</v>
      </c>
      <c r="B888" s="9">
        <f t="shared" ca="1" si="171"/>
        <v>1324</v>
      </c>
      <c r="C888" s="10">
        <f t="shared" ca="1" si="172"/>
        <v>0</v>
      </c>
      <c r="D888" s="11">
        <f t="shared" ca="1" si="180"/>
        <v>1.533765376370666E-2</v>
      </c>
      <c r="E888" s="9">
        <f t="shared" ca="1" si="181"/>
        <v>291</v>
      </c>
      <c r="F888" s="9">
        <f t="shared" ca="1" si="173"/>
        <v>1033</v>
      </c>
      <c r="G888" s="12" t="str">
        <f t="shared" ca="1" si="174"/>
        <v>Yes</v>
      </c>
      <c r="H888" s="12">
        <f t="shared" ca="1" si="182"/>
        <v>0.35330658225888956</v>
      </c>
      <c r="I888" s="10">
        <f t="shared" ca="1" si="175"/>
        <v>1</v>
      </c>
      <c r="J888" s="13">
        <f t="shared" ca="1" si="176"/>
        <v>300</v>
      </c>
      <c r="K888" s="14">
        <f t="shared" ca="1" si="177"/>
        <v>206.60000000000002</v>
      </c>
      <c r="L888" s="14">
        <f t="shared" ca="1" si="178"/>
        <v>0</v>
      </c>
      <c r="M888" s="15">
        <f t="shared" ca="1" si="179"/>
        <v>506.6</v>
      </c>
      <c r="N888" s="16">
        <f ca="1">SUM($M$9:M888)/A888</f>
        <v>337.62113636363625</v>
      </c>
      <c r="O888" s="6"/>
    </row>
    <row r="889" spans="1:15" x14ac:dyDescent="0.25">
      <c r="A889" s="8">
        <v>881</v>
      </c>
      <c r="B889" s="9">
        <f t="shared" ca="1" si="171"/>
        <v>2833</v>
      </c>
      <c r="C889" s="10">
        <f t="shared" ca="1" si="172"/>
        <v>1800</v>
      </c>
      <c r="D889" s="11">
        <f t="shared" ca="1" si="180"/>
        <v>0.77111991069510089</v>
      </c>
      <c r="E889" s="9">
        <f t="shared" ca="1" si="181"/>
        <v>437</v>
      </c>
      <c r="F889" s="9">
        <f t="shared" ca="1" si="173"/>
        <v>2396</v>
      </c>
      <c r="G889" s="12" t="str">
        <f t="shared" ca="1" si="174"/>
        <v>No</v>
      </c>
      <c r="H889" s="12">
        <f t="shared" ca="1" si="182"/>
        <v>0</v>
      </c>
      <c r="I889" s="10">
        <f t="shared" ca="1" si="175"/>
        <v>0</v>
      </c>
      <c r="J889" s="13">
        <f t="shared" ca="1" si="176"/>
        <v>0</v>
      </c>
      <c r="K889" s="14">
        <f t="shared" ca="1" si="177"/>
        <v>479.20000000000005</v>
      </c>
      <c r="L889" s="14">
        <f t="shared" ca="1" si="178"/>
        <v>0</v>
      </c>
      <c r="M889" s="15">
        <f t="shared" ca="1" si="179"/>
        <v>479.20000000000005</v>
      </c>
      <c r="N889" s="16">
        <f ca="1">SUM($M$9:M889)/A889</f>
        <v>337.78183881952322</v>
      </c>
      <c r="O889" s="6"/>
    </row>
    <row r="890" spans="1:15" x14ac:dyDescent="0.25">
      <c r="A890" s="8">
        <v>882</v>
      </c>
      <c r="B890" s="9">
        <f t="shared" ca="1" si="171"/>
        <v>2396</v>
      </c>
      <c r="C890" s="10">
        <f t="shared" ca="1" si="172"/>
        <v>0</v>
      </c>
      <c r="D890" s="11">
        <f t="shared" ca="1" si="180"/>
        <v>0.16198824420031355</v>
      </c>
      <c r="E890" s="9">
        <f t="shared" ca="1" si="181"/>
        <v>350</v>
      </c>
      <c r="F890" s="9">
        <f t="shared" ca="1" si="173"/>
        <v>2046</v>
      </c>
      <c r="G890" s="12" t="str">
        <f t="shared" ca="1" si="174"/>
        <v>No</v>
      </c>
      <c r="H890" s="12">
        <f t="shared" ca="1" si="182"/>
        <v>0</v>
      </c>
      <c r="I890" s="10">
        <f t="shared" ca="1" si="175"/>
        <v>0</v>
      </c>
      <c r="J890" s="13">
        <f t="shared" ca="1" si="176"/>
        <v>0</v>
      </c>
      <c r="K890" s="14">
        <f t="shared" ca="1" si="177"/>
        <v>409.20000000000005</v>
      </c>
      <c r="L890" s="14">
        <f t="shared" ca="1" si="178"/>
        <v>0</v>
      </c>
      <c r="M890" s="15">
        <f t="shared" ca="1" si="179"/>
        <v>409.20000000000005</v>
      </c>
      <c r="N890" s="16">
        <f ca="1">SUM($M$9:M890)/A890</f>
        <v>337.86281179138314</v>
      </c>
      <c r="O890" s="6"/>
    </row>
    <row r="891" spans="1:15" x14ac:dyDescent="0.25">
      <c r="A891" s="8">
        <v>883</v>
      </c>
      <c r="B891" s="9">
        <f t="shared" ca="1" si="171"/>
        <v>2046</v>
      </c>
      <c r="C891" s="10">
        <f t="shared" ca="1" si="172"/>
        <v>0</v>
      </c>
      <c r="D891" s="11">
        <f t="shared" ca="1" si="180"/>
        <v>0.88147568479744298</v>
      </c>
      <c r="E891" s="9">
        <f t="shared" ca="1" si="181"/>
        <v>459</v>
      </c>
      <c r="F891" s="9">
        <f t="shared" ca="1" si="173"/>
        <v>1587</v>
      </c>
      <c r="G891" s="12" t="str">
        <f t="shared" ca="1" si="174"/>
        <v>No</v>
      </c>
      <c r="H891" s="12">
        <f t="shared" ca="1" si="182"/>
        <v>0</v>
      </c>
      <c r="I891" s="10">
        <f t="shared" ca="1" si="175"/>
        <v>0</v>
      </c>
      <c r="J891" s="13">
        <f t="shared" ca="1" si="176"/>
        <v>0</v>
      </c>
      <c r="K891" s="14">
        <f t="shared" ca="1" si="177"/>
        <v>317.40000000000003</v>
      </c>
      <c r="L891" s="14">
        <f t="shared" ca="1" si="178"/>
        <v>0</v>
      </c>
      <c r="M891" s="15">
        <f t="shared" ca="1" si="179"/>
        <v>317.40000000000003</v>
      </c>
      <c r="N891" s="16">
        <f ca="1">SUM($M$9:M891)/A891</f>
        <v>337.83963759909398</v>
      </c>
      <c r="O891" s="6"/>
    </row>
    <row r="892" spans="1:15" x14ac:dyDescent="0.25">
      <c r="A892" s="8">
        <v>884</v>
      </c>
      <c r="B892" s="9">
        <f t="shared" ca="1" si="171"/>
        <v>1587</v>
      </c>
      <c r="C892" s="10">
        <f t="shared" ca="1" si="172"/>
        <v>0</v>
      </c>
      <c r="D892" s="11">
        <f t="shared" ca="1" si="180"/>
        <v>8.4933623029762262E-2</v>
      </c>
      <c r="E892" s="9">
        <f t="shared" ca="1" si="181"/>
        <v>331</v>
      </c>
      <c r="F892" s="9">
        <f t="shared" ca="1" si="173"/>
        <v>1256</v>
      </c>
      <c r="G892" s="12" t="str">
        <f t="shared" ca="1" si="174"/>
        <v>No</v>
      </c>
      <c r="H892" s="12">
        <f t="shared" ca="1" si="182"/>
        <v>0</v>
      </c>
      <c r="I892" s="10">
        <f t="shared" ca="1" si="175"/>
        <v>0</v>
      </c>
      <c r="J892" s="13">
        <f t="shared" ca="1" si="176"/>
        <v>0</v>
      </c>
      <c r="K892" s="14">
        <f t="shared" ca="1" si="177"/>
        <v>251.20000000000002</v>
      </c>
      <c r="L892" s="14">
        <f t="shared" ca="1" si="178"/>
        <v>0</v>
      </c>
      <c r="M892" s="15">
        <f t="shared" ca="1" si="179"/>
        <v>251.20000000000002</v>
      </c>
      <c r="N892" s="16">
        <f ca="1">SUM($M$9:M892)/A892</f>
        <v>337.741628959276</v>
      </c>
      <c r="O892" s="6"/>
    </row>
    <row r="893" spans="1:15" x14ac:dyDescent="0.25">
      <c r="A893" s="8">
        <v>885</v>
      </c>
      <c r="B893" s="9">
        <f t="shared" ref="B893:B956" ca="1" si="183">IF(I892=1,F892+Quantity,F892)</f>
        <v>1256</v>
      </c>
      <c r="C893" s="10">
        <f t="shared" ref="C893:C956" ca="1" si="184">IF(I892=1,Quantity,0)</f>
        <v>0</v>
      </c>
      <c r="D893" s="11">
        <f t="shared" ca="1" si="180"/>
        <v>0.114157742574716</v>
      </c>
      <c r="E893" s="9">
        <f t="shared" ca="1" si="181"/>
        <v>339</v>
      </c>
      <c r="F893" s="9">
        <f t="shared" ref="F893:F956" ca="1" si="185">IF(B893+C893-E893&lt;0,0,B893-E893)</f>
        <v>917</v>
      </c>
      <c r="G893" s="12" t="str">
        <f t="shared" ref="G893:G956" ca="1" si="186">IF(B893&lt;Point,IF(I892=0,"Yes","No"),"No")</f>
        <v>Yes</v>
      </c>
      <c r="H893" s="12">
        <f t="shared" ca="1" si="182"/>
        <v>0.96358326749693579</v>
      </c>
      <c r="I893" s="10">
        <f t="shared" ref="I893:I956" ca="1" si="187">IF(I892&gt;0,I892-1,(IF(G893="Yes",(VLOOKUP(H893,LTD,3)),0)))</f>
        <v>3</v>
      </c>
      <c r="J893" s="13">
        <f t="shared" ref="J893:J956" ca="1" si="188">IF(G893="Yes",Order_Cost,0)</f>
        <v>300</v>
      </c>
      <c r="K893" s="14">
        <f t="shared" ref="K893:K956" ca="1" si="189">F893*Holding_Cost</f>
        <v>183.4</v>
      </c>
      <c r="L893" s="14">
        <f t="shared" ref="L893:L956" ca="1" si="190">IF(B893+C893&lt;E893,Shortage_Cost*(E893-B893-C893),0)</f>
        <v>0</v>
      </c>
      <c r="M893" s="15">
        <f t="shared" ref="M893:M956" ca="1" si="191">SUM(J893:L893)</f>
        <v>483.4</v>
      </c>
      <c r="N893" s="16">
        <f ca="1">SUM($M$9:M893)/A893</f>
        <v>337.90621468926554</v>
      </c>
      <c r="O893" s="6"/>
    </row>
    <row r="894" spans="1:15" x14ac:dyDescent="0.25">
      <c r="A894" s="8">
        <v>886</v>
      </c>
      <c r="B894" s="9">
        <f t="shared" ca="1" si="183"/>
        <v>917</v>
      </c>
      <c r="C894" s="10">
        <f t="shared" ca="1" si="184"/>
        <v>0</v>
      </c>
      <c r="D894" s="11">
        <f t="shared" ca="1" si="180"/>
        <v>0.21299857357245577</v>
      </c>
      <c r="E894" s="9">
        <f t="shared" ca="1" si="181"/>
        <v>360</v>
      </c>
      <c r="F894" s="9">
        <f t="shared" ca="1" si="185"/>
        <v>557</v>
      </c>
      <c r="G894" s="12" t="str">
        <f t="shared" ca="1" si="186"/>
        <v>No</v>
      </c>
      <c r="H894" s="12">
        <f t="shared" ca="1" si="182"/>
        <v>0</v>
      </c>
      <c r="I894" s="10">
        <f t="shared" ca="1" si="187"/>
        <v>2</v>
      </c>
      <c r="J894" s="13">
        <f t="shared" ca="1" si="188"/>
        <v>0</v>
      </c>
      <c r="K894" s="14">
        <f t="shared" ca="1" si="189"/>
        <v>111.4</v>
      </c>
      <c r="L894" s="14">
        <f t="shared" ca="1" si="190"/>
        <v>0</v>
      </c>
      <c r="M894" s="15">
        <f t="shared" ca="1" si="191"/>
        <v>111.4</v>
      </c>
      <c r="N894" s="16">
        <f ca="1">SUM($M$9:M894)/A894</f>
        <v>337.6505643340858</v>
      </c>
      <c r="O894" s="6"/>
    </row>
    <row r="895" spans="1:15" x14ac:dyDescent="0.25">
      <c r="A895" s="8">
        <v>887</v>
      </c>
      <c r="B895" s="9">
        <f t="shared" ca="1" si="183"/>
        <v>557</v>
      </c>
      <c r="C895" s="10">
        <f t="shared" ca="1" si="184"/>
        <v>0</v>
      </c>
      <c r="D895" s="11">
        <f t="shared" ca="1" si="180"/>
        <v>0.23410076751686137</v>
      </c>
      <c r="E895" s="9">
        <f t="shared" ca="1" si="181"/>
        <v>363</v>
      </c>
      <c r="F895" s="9">
        <f t="shared" ca="1" si="185"/>
        <v>194</v>
      </c>
      <c r="G895" s="12" t="str">
        <f t="shared" ca="1" si="186"/>
        <v>No</v>
      </c>
      <c r="H895" s="12">
        <f t="shared" ca="1" si="182"/>
        <v>0</v>
      </c>
      <c r="I895" s="10">
        <f t="shared" ca="1" si="187"/>
        <v>1</v>
      </c>
      <c r="J895" s="13">
        <f t="shared" ca="1" si="188"/>
        <v>0</v>
      </c>
      <c r="K895" s="14">
        <f t="shared" ca="1" si="189"/>
        <v>38.800000000000004</v>
      </c>
      <c r="L895" s="14">
        <f t="shared" ca="1" si="190"/>
        <v>0</v>
      </c>
      <c r="M895" s="15">
        <f t="shared" ca="1" si="191"/>
        <v>38.800000000000004</v>
      </c>
      <c r="N895" s="16">
        <f ca="1">SUM($M$9:M895)/A895</f>
        <v>337.31364148816238</v>
      </c>
      <c r="O895" s="6"/>
    </row>
    <row r="896" spans="1:15" x14ac:dyDescent="0.25">
      <c r="A896" s="8">
        <v>888</v>
      </c>
      <c r="B896" s="9">
        <f t="shared" ca="1" si="183"/>
        <v>1994</v>
      </c>
      <c r="C896" s="10">
        <f t="shared" ca="1" si="184"/>
        <v>1800</v>
      </c>
      <c r="D896" s="11">
        <f t="shared" ca="1" si="180"/>
        <v>0.67195296109236624</v>
      </c>
      <c r="E896" s="9">
        <f t="shared" ca="1" si="181"/>
        <v>422</v>
      </c>
      <c r="F896" s="9">
        <f t="shared" ca="1" si="185"/>
        <v>1572</v>
      </c>
      <c r="G896" s="12" t="str">
        <f t="shared" ca="1" si="186"/>
        <v>No</v>
      </c>
      <c r="H896" s="12">
        <f t="shared" ca="1" si="182"/>
        <v>0</v>
      </c>
      <c r="I896" s="10">
        <f t="shared" ca="1" si="187"/>
        <v>0</v>
      </c>
      <c r="J896" s="13">
        <f t="shared" ca="1" si="188"/>
        <v>0</v>
      </c>
      <c r="K896" s="14">
        <f t="shared" ca="1" si="189"/>
        <v>314.40000000000003</v>
      </c>
      <c r="L896" s="14">
        <f t="shared" ca="1" si="190"/>
        <v>0</v>
      </c>
      <c r="M896" s="15">
        <f t="shared" ca="1" si="191"/>
        <v>314.40000000000003</v>
      </c>
      <c r="N896" s="16">
        <f ca="1">SUM($M$9:M896)/A896</f>
        <v>337.28783783783786</v>
      </c>
      <c r="O896" s="6"/>
    </row>
    <row r="897" spans="1:15" x14ac:dyDescent="0.25">
      <c r="A897" s="8">
        <v>889</v>
      </c>
      <c r="B897" s="9">
        <f t="shared" ca="1" si="183"/>
        <v>1572</v>
      </c>
      <c r="C897" s="10">
        <f t="shared" ca="1" si="184"/>
        <v>0</v>
      </c>
      <c r="D897" s="11">
        <f t="shared" ca="1" si="180"/>
        <v>0.70628482930113334</v>
      </c>
      <c r="E897" s="9">
        <f t="shared" ca="1" si="181"/>
        <v>427</v>
      </c>
      <c r="F897" s="9">
        <f t="shared" ca="1" si="185"/>
        <v>1145</v>
      </c>
      <c r="G897" s="12" t="str">
        <f t="shared" ca="1" si="186"/>
        <v>No</v>
      </c>
      <c r="H897" s="12">
        <f t="shared" ca="1" si="182"/>
        <v>0</v>
      </c>
      <c r="I897" s="10">
        <f t="shared" ca="1" si="187"/>
        <v>0</v>
      </c>
      <c r="J897" s="13">
        <f t="shared" ca="1" si="188"/>
        <v>0</v>
      </c>
      <c r="K897" s="14">
        <f t="shared" ca="1" si="189"/>
        <v>229</v>
      </c>
      <c r="L897" s="14">
        <f t="shared" ca="1" si="190"/>
        <v>0</v>
      </c>
      <c r="M897" s="15">
        <f t="shared" ca="1" si="191"/>
        <v>229</v>
      </c>
      <c r="N897" s="16">
        <f ca="1">SUM($M$9:M897)/A897</f>
        <v>337.16602924634424</v>
      </c>
      <c r="O897" s="6"/>
    </row>
    <row r="898" spans="1:15" x14ac:dyDescent="0.25">
      <c r="A898" s="8">
        <v>890</v>
      </c>
      <c r="B898" s="9">
        <f t="shared" ca="1" si="183"/>
        <v>1145</v>
      </c>
      <c r="C898" s="10">
        <f t="shared" ca="1" si="184"/>
        <v>0</v>
      </c>
      <c r="D898" s="11">
        <f t="shared" ca="1" si="180"/>
        <v>0.15434802048796037</v>
      </c>
      <c r="E898" s="9">
        <f t="shared" ca="1" si="181"/>
        <v>349</v>
      </c>
      <c r="F898" s="9">
        <f t="shared" ca="1" si="185"/>
        <v>796</v>
      </c>
      <c r="G898" s="12" t="str">
        <f t="shared" ca="1" si="186"/>
        <v>Yes</v>
      </c>
      <c r="H898" s="12">
        <f t="shared" ca="1" si="182"/>
        <v>4.3034682928762003E-3</v>
      </c>
      <c r="I898" s="10">
        <f t="shared" ca="1" si="187"/>
        <v>1</v>
      </c>
      <c r="J898" s="13">
        <f t="shared" ca="1" si="188"/>
        <v>300</v>
      </c>
      <c r="K898" s="14">
        <f t="shared" ca="1" si="189"/>
        <v>159.20000000000002</v>
      </c>
      <c r="L898" s="14">
        <f t="shared" ca="1" si="190"/>
        <v>0</v>
      </c>
      <c r="M898" s="15">
        <f t="shared" ca="1" si="191"/>
        <v>459.20000000000005</v>
      </c>
      <c r="N898" s="16">
        <f ca="1">SUM($M$9:M898)/A898</f>
        <v>337.30314606741581</v>
      </c>
      <c r="O898" s="6"/>
    </row>
    <row r="899" spans="1:15" x14ac:dyDescent="0.25">
      <c r="A899" s="8">
        <v>891</v>
      </c>
      <c r="B899" s="9">
        <f t="shared" ca="1" si="183"/>
        <v>2596</v>
      </c>
      <c r="C899" s="10">
        <f t="shared" ca="1" si="184"/>
        <v>1800</v>
      </c>
      <c r="D899" s="11">
        <f t="shared" ca="1" si="180"/>
        <v>0.30747199238610468</v>
      </c>
      <c r="E899" s="9">
        <f t="shared" ca="1" si="181"/>
        <v>374</v>
      </c>
      <c r="F899" s="9">
        <f t="shared" ca="1" si="185"/>
        <v>2222</v>
      </c>
      <c r="G899" s="12" t="str">
        <f t="shared" ca="1" si="186"/>
        <v>No</v>
      </c>
      <c r="H899" s="12">
        <f t="shared" ca="1" si="182"/>
        <v>0</v>
      </c>
      <c r="I899" s="10">
        <f t="shared" ca="1" si="187"/>
        <v>0</v>
      </c>
      <c r="J899" s="13">
        <f t="shared" ca="1" si="188"/>
        <v>0</v>
      </c>
      <c r="K899" s="14">
        <f t="shared" ca="1" si="189"/>
        <v>444.40000000000003</v>
      </c>
      <c r="L899" s="14">
        <f t="shared" ca="1" si="190"/>
        <v>0</v>
      </c>
      <c r="M899" s="15">
        <f t="shared" ca="1" si="191"/>
        <v>444.40000000000003</v>
      </c>
      <c r="N899" s="16">
        <f ca="1">SUM($M$9:M899)/A899</f>
        <v>337.42334455667799</v>
      </c>
      <c r="O899" s="6"/>
    </row>
    <row r="900" spans="1:15" x14ac:dyDescent="0.25">
      <c r="A900" s="8">
        <v>892</v>
      </c>
      <c r="B900" s="9">
        <f t="shared" ca="1" si="183"/>
        <v>2222</v>
      </c>
      <c r="C900" s="10">
        <f t="shared" ca="1" si="184"/>
        <v>0</v>
      </c>
      <c r="D900" s="11">
        <f t="shared" ca="1" si="180"/>
        <v>0.9069325573964897</v>
      </c>
      <c r="E900" s="9">
        <f t="shared" ca="1" si="181"/>
        <v>466</v>
      </c>
      <c r="F900" s="9">
        <f t="shared" ca="1" si="185"/>
        <v>1756</v>
      </c>
      <c r="G900" s="12" t="str">
        <f t="shared" ca="1" si="186"/>
        <v>No</v>
      </c>
      <c r="H900" s="12">
        <f t="shared" ca="1" si="182"/>
        <v>0</v>
      </c>
      <c r="I900" s="10">
        <f t="shared" ca="1" si="187"/>
        <v>0</v>
      </c>
      <c r="J900" s="13">
        <f t="shared" ca="1" si="188"/>
        <v>0</v>
      </c>
      <c r="K900" s="14">
        <f t="shared" ca="1" si="189"/>
        <v>351.20000000000005</v>
      </c>
      <c r="L900" s="14">
        <f t="shared" ca="1" si="190"/>
        <v>0</v>
      </c>
      <c r="M900" s="15">
        <f t="shared" ca="1" si="191"/>
        <v>351.20000000000005</v>
      </c>
      <c r="N900" s="16">
        <f ca="1">SUM($M$9:M900)/A900</f>
        <v>337.43878923766823</v>
      </c>
      <c r="O900" s="6"/>
    </row>
    <row r="901" spans="1:15" x14ac:dyDescent="0.25">
      <c r="A901" s="8">
        <v>893</v>
      </c>
      <c r="B901" s="9">
        <f t="shared" ca="1" si="183"/>
        <v>1756</v>
      </c>
      <c r="C901" s="10">
        <f t="shared" ca="1" si="184"/>
        <v>0</v>
      </c>
      <c r="D901" s="11">
        <f t="shared" ca="1" si="180"/>
        <v>0.42797900327278438</v>
      </c>
      <c r="E901" s="9">
        <f t="shared" ca="1" si="181"/>
        <v>390</v>
      </c>
      <c r="F901" s="9">
        <f t="shared" ca="1" si="185"/>
        <v>1366</v>
      </c>
      <c r="G901" s="12" t="str">
        <f t="shared" ca="1" si="186"/>
        <v>No</v>
      </c>
      <c r="H901" s="12">
        <f t="shared" ca="1" si="182"/>
        <v>0</v>
      </c>
      <c r="I901" s="10">
        <f t="shared" ca="1" si="187"/>
        <v>0</v>
      </c>
      <c r="J901" s="13">
        <f t="shared" ca="1" si="188"/>
        <v>0</v>
      </c>
      <c r="K901" s="14">
        <f t="shared" ca="1" si="189"/>
        <v>273.2</v>
      </c>
      <c r="L901" s="14">
        <f t="shared" ca="1" si="190"/>
        <v>0</v>
      </c>
      <c r="M901" s="15">
        <f t="shared" ca="1" si="191"/>
        <v>273.2</v>
      </c>
      <c r="N901" s="16">
        <f ca="1">SUM($M$9:M901)/A901</f>
        <v>337.36685330347154</v>
      </c>
      <c r="O901" s="6"/>
    </row>
    <row r="902" spans="1:15" x14ac:dyDescent="0.25">
      <c r="A902" s="8">
        <v>894</v>
      </c>
      <c r="B902" s="9">
        <f t="shared" ca="1" si="183"/>
        <v>1366</v>
      </c>
      <c r="C902" s="10">
        <f t="shared" ca="1" si="184"/>
        <v>0</v>
      </c>
      <c r="D902" s="11">
        <f t="shared" ca="1" si="180"/>
        <v>0.165743476887379</v>
      </c>
      <c r="E902" s="9">
        <f t="shared" ca="1" si="181"/>
        <v>351</v>
      </c>
      <c r="F902" s="9">
        <f t="shared" ca="1" si="185"/>
        <v>1015</v>
      </c>
      <c r="G902" s="12" t="str">
        <f t="shared" ca="1" si="186"/>
        <v>Yes</v>
      </c>
      <c r="H902" s="12">
        <f t="shared" ca="1" si="182"/>
        <v>0.59942013381715997</v>
      </c>
      <c r="I902" s="10">
        <f t="shared" ca="1" si="187"/>
        <v>1</v>
      </c>
      <c r="J902" s="13">
        <f t="shared" ca="1" si="188"/>
        <v>300</v>
      </c>
      <c r="K902" s="14">
        <f t="shared" ca="1" si="189"/>
        <v>203</v>
      </c>
      <c r="L902" s="14">
        <f t="shared" ca="1" si="190"/>
        <v>0</v>
      </c>
      <c r="M902" s="15">
        <f t="shared" ca="1" si="191"/>
        <v>503</v>
      </c>
      <c r="N902" s="16">
        <f ca="1">SUM($M$9:M902)/A902</f>
        <v>337.55212527964215</v>
      </c>
      <c r="O902" s="6"/>
    </row>
    <row r="903" spans="1:15" x14ac:dyDescent="0.25">
      <c r="A903" s="8">
        <v>895</v>
      </c>
      <c r="B903" s="9">
        <f t="shared" ca="1" si="183"/>
        <v>2815</v>
      </c>
      <c r="C903" s="10">
        <f t="shared" ca="1" si="184"/>
        <v>1800</v>
      </c>
      <c r="D903" s="11">
        <f t="shared" ca="1" si="180"/>
        <v>0.16830064942368761</v>
      </c>
      <c r="E903" s="9">
        <f t="shared" ca="1" si="181"/>
        <v>351</v>
      </c>
      <c r="F903" s="9">
        <f t="shared" ca="1" si="185"/>
        <v>2464</v>
      </c>
      <c r="G903" s="12" t="str">
        <f t="shared" ca="1" si="186"/>
        <v>No</v>
      </c>
      <c r="H903" s="12">
        <f t="shared" ca="1" si="182"/>
        <v>0</v>
      </c>
      <c r="I903" s="10">
        <f t="shared" ca="1" si="187"/>
        <v>0</v>
      </c>
      <c r="J903" s="13">
        <f t="shared" ca="1" si="188"/>
        <v>0</v>
      </c>
      <c r="K903" s="14">
        <f t="shared" ca="1" si="189"/>
        <v>492.8</v>
      </c>
      <c r="L903" s="14">
        <f t="shared" ca="1" si="190"/>
        <v>0</v>
      </c>
      <c r="M903" s="15">
        <f t="shared" ca="1" si="191"/>
        <v>492.8</v>
      </c>
      <c r="N903" s="16">
        <f ca="1">SUM($M$9:M903)/A903</f>
        <v>337.72558659217884</v>
      </c>
      <c r="O903" s="6"/>
    </row>
    <row r="904" spans="1:15" x14ac:dyDescent="0.25">
      <c r="A904" s="8">
        <v>896</v>
      </c>
      <c r="B904" s="9">
        <f t="shared" ca="1" si="183"/>
        <v>2464</v>
      </c>
      <c r="C904" s="10">
        <f t="shared" ca="1" si="184"/>
        <v>0</v>
      </c>
      <c r="D904" s="11">
        <f t="shared" ca="1" si="180"/>
        <v>0.6030167855716051</v>
      </c>
      <c r="E904" s="9">
        <f t="shared" ca="1" si="181"/>
        <v>413</v>
      </c>
      <c r="F904" s="9">
        <f t="shared" ca="1" si="185"/>
        <v>2051</v>
      </c>
      <c r="G904" s="12" t="str">
        <f t="shared" ca="1" si="186"/>
        <v>No</v>
      </c>
      <c r="H904" s="12">
        <f t="shared" ca="1" si="182"/>
        <v>0</v>
      </c>
      <c r="I904" s="10">
        <f t="shared" ca="1" si="187"/>
        <v>0</v>
      </c>
      <c r="J904" s="13">
        <f t="shared" ca="1" si="188"/>
        <v>0</v>
      </c>
      <c r="K904" s="14">
        <f t="shared" ca="1" si="189"/>
        <v>410.20000000000005</v>
      </c>
      <c r="L904" s="14">
        <f t="shared" ca="1" si="190"/>
        <v>0</v>
      </c>
      <c r="M904" s="15">
        <f t="shared" ca="1" si="191"/>
        <v>410.20000000000005</v>
      </c>
      <c r="N904" s="16">
        <f ca="1">SUM($M$9:M904)/A904</f>
        <v>337.8064732142858</v>
      </c>
      <c r="O904" s="6"/>
    </row>
    <row r="905" spans="1:15" x14ac:dyDescent="0.25">
      <c r="A905" s="8">
        <v>897</v>
      </c>
      <c r="B905" s="9">
        <f t="shared" ca="1" si="183"/>
        <v>2051</v>
      </c>
      <c r="C905" s="10">
        <f t="shared" ca="1" si="184"/>
        <v>0</v>
      </c>
      <c r="D905" s="11">
        <f t="shared" ca="1" si="180"/>
        <v>0.23911719353768501</v>
      </c>
      <c r="E905" s="9">
        <f t="shared" ca="1" si="181"/>
        <v>364</v>
      </c>
      <c r="F905" s="9">
        <f t="shared" ca="1" si="185"/>
        <v>1687</v>
      </c>
      <c r="G905" s="12" t="str">
        <f t="shared" ca="1" si="186"/>
        <v>No</v>
      </c>
      <c r="H905" s="12">
        <f t="shared" ca="1" si="182"/>
        <v>0</v>
      </c>
      <c r="I905" s="10">
        <f t="shared" ca="1" si="187"/>
        <v>0</v>
      </c>
      <c r="J905" s="13">
        <f t="shared" ca="1" si="188"/>
        <v>0</v>
      </c>
      <c r="K905" s="14">
        <f t="shared" ca="1" si="189"/>
        <v>337.40000000000003</v>
      </c>
      <c r="L905" s="14">
        <f t="shared" ca="1" si="190"/>
        <v>0</v>
      </c>
      <c r="M905" s="15">
        <f t="shared" ca="1" si="191"/>
        <v>337.40000000000003</v>
      </c>
      <c r="N905" s="16">
        <f ca="1">SUM($M$9:M905)/A905</f>
        <v>337.80602006688974</v>
      </c>
      <c r="O905" s="6"/>
    </row>
    <row r="906" spans="1:15" x14ac:dyDescent="0.25">
      <c r="A906" s="8">
        <v>898</v>
      </c>
      <c r="B906" s="9">
        <f t="shared" ca="1" si="183"/>
        <v>1687</v>
      </c>
      <c r="C906" s="10">
        <f t="shared" ca="1" si="184"/>
        <v>0</v>
      </c>
      <c r="D906" s="11">
        <f t="shared" ref="D906:D969" ca="1" si="192">RAND()</f>
        <v>0.21275006872098257</v>
      </c>
      <c r="E906" s="9">
        <f t="shared" ref="E906:E969" ca="1" si="193">INT(NORMINV(D906,D_Mean,D_StdDev))</f>
        <v>360</v>
      </c>
      <c r="F906" s="9">
        <f t="shared" ca="1" si="185"/>
        <v>1327</v>
      </c>
      <c r="G906" s="12" t="str">
        <f t="shared" ca="1" si="186"/>
        <v>No</v>
      </c>
      <c r="H906" s="12">
        <f t="shared" ref="H906:H969" ca="1" si="194">IF(G906="Yes",RAND(),0)</f>
        <v>0</v>
      </c>
      <c r="I906" s="10">
        <f t="shared" ca="1" si="187"/>
        <v>0</v>
      </c>
      <c r="J906" s="13">
        <f t="shared" ca="1" si="188"/>
        <v>0</v>
      </c>
      <c r="K906" s="14">
        <f t="shared" ca="1" si="189"/>
        <v>265.40000000000003</v>
      </c>
      <c r="L906" s="14">
        <f t="shared" ca="1" si="190"/>
        <v>0</v>
      </c>
      <c r="M906" s="15">
        <f t="shared" ca="1" si="191"/>
        <v>265.40000000000003</v>
      </c>
      <c r="N906" s="16">
        <f ca="1">SUM($M$9:M906)/A906</f>
        <v>337.72538975501129</v>
      </c>
      <c r="O906" s="6"/>
    </row>
    <row r="907" spans="1:15" x14ac:dyDescent="0.25">
      <c r="A907" s="8">
        <v>899</v>
      </c>
      <c r="B907" s="9">
        <f t="shared" ca="1" si="183"/>
        <v>1327</v>
      </c>
      <c r="C907" s="10">
        <f t="shared" ca="1" si="184"/>
        <v>0</v>
      </c>
      <c r="D907" s="11">
        <f t="shared" ca="1" si="192"/>
        <v>0.83524789412825384</v>
      </c>
      <c r="E907" s="9">
        <f t="shared" ca="1" si="193"/>
        <v>448</v>
      </c>
      <c r="F907" s="9">
        <f t="shared" ca="1" si="185"/>
        <v>879</v>
      </c>
      <c r="G907" s="12" t="str">
        <f t="shared" ca="1" si="186"/>
        <v>Yes</v>
      </c>
      <c r="H907" s="12">
        <f t="shared" ca="1" si="194"/>
        <v>0.33587230551733127</v>
      </c>
      <c r="I907" s="10">
        <f t="shared" ca="1" si="187"/>
        <v>1</v>
      </c>
      <c r="J907" s="13">
        <f t="shared" ca="1" si="188"/>
        <v>300</v>
      </c>
      <c r="K907" s="14">
        <f t="shared" ca="1" si="189"/>
        <v>175.8</v>
      </c>
      <c r="L907" s="14">
        <f t="shared" ca="1" si="190"/>
        <v>0</v>
      </c>
      <c r="M907" s="15">
        <f t="shared" ca="1" si="191"/>
        <v>475.8</v>
      </c>
      <c r="N907" s="16">
        <f ca="1">SUM($M$9:M907)/A907</f>
        <v>337.87897664071204</v>
      </c>
      <c r="O907" s="6"/>
    </row>
    <row r="908" spans="1:15" x14ac:dyDescent="0.25">
      <c r="A908" s="8">
        <v>900</v>
      </c>
      <c r="B908" s="9">
        <f t="shared" ca="1" si="183"/>
        <v>2679</v>
      </c>
      <c r="C908" s="10">
        <f t="shared" ca="1" si="184"/>
        <v>1800</v>
      </c>
      <c r="D908" s="11">
        <f t="shared" ca="1" si="192"/>
        <v>0.81488333106239441</v>
      </c>
      <c r="E908" s="9">
        <f t="shared" ca="1" si="193"/>
        <v>444</v>
      </c>
      <c r="F908" s="9">
        <f t="shared" ca="1" si="185"/>
        <v>2235</v>
      </c>
      <c r="G908" s="12" t="str">
        <f t="shared" ca="1" si="186"/>
        <v>No</v>
      </c>
      <c r="H908" s="12">
        <f t="shared" ca="1" si="194"/>
        <v>0</v>
      </c>
      <c r="I908" s="10">
        <f t="shared" ca="1" si="187"/>
        <v>0</v>
      </c>
      <c r="J908" s="13">
        <f t="shared" ca="1" si="188"/>
        <v>0</v>
      </c>
      <c r="K908" s="14">
        <f t="shared" ca="1" si="189"/>
        <v>447</v>
      </c>
      <c r="L908" s="14">
        <f t="shared" ca="1" si="190"/>
        <v>0</v>
      </c>
      <c r="M908" s="15">
        <f t="shared" ca="1" si="191"/>
        <v>447</v>
      </c>
      <c r="N908" s="16">
        <f ca="1">SUM($M$9:M908)/A908</f>
        <v>338.00022222222236</v>
      </c>
      <c r="O908" s="6"/>
    </row>
    <row r="909" spans="1:15" x14ac:dyDescent="0.25">
      <c r="A909" s="8">
        <v>901</v>
      </c>
      <c r="B909" s="9">
        <f t="shared" ca="1" si="183"/>
        <v>2235</v>
      </c>
      <c r="C909" s="10">
        <f t="shared" ca="1" si="184"/>
        <v>0</v>
      </c>
      <c r="D909" s="11">
        <f t="shared" ca="1" si="192"/>
        <v>0.35556437022429899</v>
      </c>
      <c r="E909" s="9">
        <f t="shared" ca="1" si="193"/>
        <v>381</v>
      </c>
      <c r="F909" s="9">
        <f t="shared" ca="1" si="185"/>
        <v>1854</v>
      </c>
      <c r="G909" s="12" t="str">
        <f t="shared" ca="1" si="186"/>
        <v>No</v>
      </c>
      <c r="H909" s="12">
        <f t="shared" ca="1" si="194"/>
        <v>0</v>
      </c>
      <c r="I909" s="10">
        <f t="shared" ca="1" si="187"/>
        <v>0</v>
      </c>
      <c r="J909" s="13">
        <f t="shared" ca="1" si="188"/>
        <v>0</v>
      </c>
      <c r="K909" s="14">
        <f t="shared" ca="1" si="189"/>
        <v>370.8</v>
      </c>
      <c r="L909" s="14">
        <f t="shared" ca="1" si="190"/>
        <v>0</v>
      </c>
      <c r="M909" s="15">
        <f t="shared" ca="1" si="191"/>
        <v>370.8</v>
      </c>
      <c r="N909" s="16">
        <f ca="1">SUM($M$9:M909)/A909</f>
        <v>338.03662597114328</v>
      </c>
      <c r="O909" s="6"/>
    </row>
    <row r="910" spans="1:15" x14ac:dyDescent="0.25">
      <c r="A910" s="8">
        <v>902</v>
      </c>
      <c r="B910" s="9">
        <f t="shared" ca="1" si="183"/>
        <v>1854</v>
      </c>
      <c r="C910" s="10">
        <f t="shared" ca="1" si="184"/>
        <v>0</v>
      </c>
      <c r="D910" s="11">
        <f t="shared" ca="1" si="192"/>
        <v>0.57762597896444412</v>
      </c>
      <c r="E910" s="9">
        <f t="shared" ca="1" si="193"/>
        <v>409</v>
      </c>
      <c r="F910" s="9">
        <f t="shared" ca="1" si="185"/>
        <v>1445</v>
      </c>
      <c r="G910" s="12" t="str">
        <f t="shared" ca="1" si="186"/>
        <v>No</v>
      </c>
      <c r="H910" s="12">
        <f t="shared" ca="1" si="194"/>
        <v>0</v>
      </c>
      <c r="I910" s="10">
        <f t="shared" ca="1" si="187"/>
        <v>0</v>
      </c>
      <c r="J910" s="13">
        <f t="shared" ca="1" si="188"/>
        <v>0</v>
      </c>
      <c r="K910" s="14">
        <f t="shared" ca="1" si="189"/>
        <v>289</v>
      </c>
      <c r="L910" s="14">
        <f t="shared" ca="1" si="190"/>
        <v>0</v>
      </c>
      <c r="M910" s="15">
        <f t="shared" ca="1" si="191"/>
        <v>289</v>
      </c>
      <c r="N910" s="16">
        <f ca="1">SUM($M$9:M910)/A910</f>
        <v>337.98226164079836</v>
      </c>
      <c r="O910" s="6"/>
    </row>
    <row r="911" spans="1:15" x14ac:dyDescent="0.25">
      <c r="A911" s="8">
        <v>903</v>
      </c>
      <c r="B911" s="9">
        <f t="shared" ca="1" si="183"/>
        <v>1445</v>
      </c>
      <c r="C911" s="10">
        <f t="shared" ca="1" si="184"/>
        <v>0</v>
      </c>
      <c r="D911" s="11">
        <f t="shared" ca="1" si="192"/>
        <v>0.17640553693941519</v>
      </c>
      <c r="E911" s="9">
        <f t="shared" ca="1" si="193"/>
        <v>353</v>
      </c>
      <c r="F911" s="9">
        <f t="shared" ca="1" si="185"/>
        <v>1092</v>
      </c>
      <c r="G911" s="12" t="str">
        <f t="shared" ca="1" si="186"/>
        <v>No</v>
      </c>
      <c r="H911" s="12">
        <f t="shared" ca="1" si="194"/>
        <v>0</v>
      </c>
      <c r="I911" s="10">
        <f t="shared" ca="1" si="187"/>
        <v>0</v>
      </c>
      <c r="J911" s="13">
        <f t="shared" ca="1" si="188"/>
        <v>0</v>
      </c>
      <c r="K911" s="14">
        <f t="shared" ca="1" si="189"/>
        <v>218.4</v>
      </c>
      <c r="L911" s="14">
        <f t="shared" ca="1" si="190"/>
        <v>0</v>
      </c>
      <c r="M911" s="15">
        <f t="shared" ca="1" si="191"/>
        <v>218.4</v>
      </c>
      <c r="N911" s="16">
        <f ca="1">SUM($M$9:M911)/A911</f>
        <v>337.84983388704336</v>
      </c>
      <c r="O911" s="6"/>
    </row>
    <row r="912" spans="1:15" x14ac:dyDescent="0.25">
      <c r="A912" s="8">
        <v>904</v>
      </c>
      <c r="B912" s="9">
        <f t="shared" ca="1" si="183"/>
        <v>1092</v>
      </c>
      <c r="C912" s="10">
        <f t="shared" ca="1" si="184"/>
        <v>0</v>
      </c>
      <c r="D912" s="11">
        <f t="shared" ca="1" si="192"/>
        <v>0.3710993054472751</v>
      </c>
      <c r="E912" s="9">
        <f t="shared" ca="1" si="193"/>
        <v>383</v>
      </c>
      <c r="F912" s="9">
        <f t="shared" ca="1" si="185"/>
        <v>709</v>
      </c>
      <c r="G912" s="12" t="str">
        <f t="shared" ca="1" si="186"/>
        <v>Yes</v>
      </c>
      <c r="H912" s="12">
        <f t="shared" ca="1" si="194"/>
        <v>0.98041966952146986</v>
      </c>
      <c r="I912" s="10">
        <f t="shared" ca="1" si="187"/>
        <v>3</v>
      </c>
      <c r="J912" s="13">
        <f t="shared" ca="1" si="188"/>
        <v>300</v>
      </c>
      <c r="K912" s="14">
        <f t="shared" ca="1" si="189"/>
        <v>141.80000000000001</v>
      </c>
      <c r="L912" s="14">
        <f t="shared" ca="1" si="190"/>
        <v>0</v>
      </c>
      <c r="M912" s="15">
        <f t="shared" ca="1" si="191"/>
        <v>441.8</v>
      </c>
      <c r="N912" s="16">
        <f ca="1">SUM($M$9:M912)/A912</f>
        <v>337.96482300884969</v>
      </c>
      <c r="O912" s="6"/>
    </row>
    <row r="913" spans="1:15" x14ac:dyDescent="0.25">
      <c r="A913" s="8">
        <v>905</v>
      </c>
      <c r="B913" s="9">
        <f t="shared" ca="1" si="183"/>
        <v>709</v>
      </c>
      <c r="C913" s="10">
        <f t="shared" ca="1" si="184"/>
        <v>0</v>
      </c>
      <c r="D913" s="11">
        <f t="shared" ca="1" si="192"/>
        <v>6.0643070500876473E-2</v>
      </c>
      <c r="E913" s="9">
        <f t="shared" ca="1" si="193"/>
        <v>322</v>
      </c>
      <c r="F913" s="9">
        <f t="shared" ca="1" si="185"/>
        <v>387</v>
      </c>
      <c r="G913" s="12" t="str">
        <f t="shared" ca="1" si="186"/>
        <v>No</v>
      </c>
      <c r="H913" s="12">
        <f t="shared" ca="1" si="194"/>
        <v>0</v>
      </c>
      <c r="I913" s="10">
        <f t="shared" ca="1" si="187"/>
        <v>2</v>
      </c>
      <c r="J913" s="13">
        <f t="shared" ca="1" si="188"/>
        <v>0</v>
      </c>
      <c r="K913" s="14">
        <f t="shared" ca="1" si="189"/>
        <v>77.400000000000006</v>
      </c>
      <c r="L913" s="14">
        <f t="shared" ca="1" si="190"/>
        <v>0</v>
      </c>
      <c r="M913" s="15">
        <f t="shared" ca="1" si="191"/>
        <v>77.400000000000006</v>
      </c>
      <c r="N913" s="16">
        <f ca="1">SUM($M$9:M913)/A913</f>
        <v>337.67690607734824</v>
      </c>
      <c r="O913" s="6"/>
    </row>
    <row r="914" spans="1:15" x14ac:dyDescent="0.25">
      <c r="A914" s="8">
        <v>906</v>
      </c>
      <c r="B914" s="9">
        <f t="shared" ca="1" si="183"/>
        <v>387</v>
      </c>
      <c r="C914" s="10">
        <f t="shared" ca="1" si="184"/>
        <v>0</v>
      </c>
      <c r="D914" s="11">
        <f t="shared" ca="1" si="192"/>
        <v>0.42932456004601538</v>
      </c>
      <c r="E914" s="9">
        <f t="shared" ca="1" si="193"/>
        <v>391</v>
      </c>
      <c r="F914" s="9">
        <f t="shared" ca="1" si="185"/>
        <v>0</v>
      </c>
      <c r="G914" s="12" t="str">
        <f t="shared" ca="1" si="186"/>
        <v>No</v>
      </c>
      <c r="H914" s="12">
        <f t="shared" ca="1" si="194"/>
        <v>0</v>
      </c>
      <c r="I914" s="10">
        <f t="shared" ca="1" si="187"/>
        <v>1</v>
      </c>
      <c r="J914" s="13">
        <f t="shared" ca="1" si="188"/>
        <v>0</v>
      </c>
      <c r="K914" s="14">
        <f t="shared" ca="1" si="189"/>
        <v>0</v>
      </c>
      <c r="L914" s="14">
        <f t="shared" ca="1" si="190"/>
        <v>8</v>
      </c>
      <c r="M914" s="15">
        <f t="shared" ca="1" si="191"/>
        <v>8</v>
      </c>
      <c r="N914" s="16">
        <f ca="1">SUM($M$9:M914)/A914</f>
        <v>337.31302428256089</v>
      </c>
      <c r="O914" s="6"/>
    </row>
    <row r="915" spans="1:15" x14ac:dyDescent="0.25">
      <c r="A915" s="8">
        <v>907</v>
      </c>
      <c r="B915" s="9">
        <f t="shared" ca="1" si="183"/>
        <v>1800</v>
      </c>
      <c r="C915" s="10">
        <f t="shared" ca="1" si="184"/>
        <v>1800</v>
      </c>
      <c r="D915" s="11">
        <f t="shared" ca="1" si="192"/>
        <v>0.30312203533192295</v>
      </c>
      <c r="E915" s="9">
        <f t="shared" ca="1" si="193"/>
        <v>374</v>
      </c>
      <c r="F915" s="9">
        <f t="shared" ca="1" si="185"/>
        <v>1426</v>
      </c>
      <c r="G915" s="12" t="str">
        <f t="shared" ca="1" si="186"/>
        <v>No</v>
      </c>
      <c r="H915" s="12">
        <f t="shared" ca="1" si="194"/>
        <v>0</v>
      </c>
      <c r="I915" s="10">
        <f t="shared" ca="1" si="187"/>
        <v>0</v>
      </c>
      <c r="J915" s="13">
        <f t="shared" ca="1" si="188"/>
        <v>0</v>
      </c>
      <c r="K915" s="14">
        <f t="shared" ca="1" si="189"/>
        <v>285.2</v>
      </c>
      <c r="L915" s="14">
        <f t="shared" ca="1" si="190"/>
        <v>0</v>
      </c>
      <c r="M915" s="15">
        <f t="shared" ca="1" si="191"/>
        <v>285.2</v>
      </c>
      <c r="N915" s="16">
        <f ca="1">SUM($M$9:M915)/A915</f>
        <v>337.25556780595389</v>
      </c>
      <c r="O915" s="6"/>
    </row>
    <row r="916" spans="1:15" x14ac:dyDescent="0.25">
      <c r="A916" s="8">
        <v>908</v>
      </c>
      <c r="B916" s="9">
        <f t="shared" ca="1" si="183"/>
        <v>1426</v>
      </c>
      <c r="C916" s="10">
        <f t="shared" ca="1" si="184"/>
        <v>0</v>
      </c>
      <c r="D916" s="11">
        <f t="shared" ca="1" si="192"/>
        <v>0.20980440431683356</v>
      </c>
      <c r="E916" s="9">
        <f t="shared" ca="1" si="193"/>
        <v>359</v>
      </c>
      <c r="F916" s="9">
        <f t="shared" ca="1" si="185"/>
        <v>1067</v>
      </c>
      <c r="G916" s="12" t="str">
        <f t="shared" ca="1" si="186"/>
        <v>No</v>
      </c>
      <c r="H916" s="12">
        <f t="shared" ca="1" si="194"/>
        <v>0</v>
      </c>
      <c r="I916" s="10">
        <f t="shared" ca="1" si="187"/>
        <v>0</v>
      </c>
      <c r="J916" s="13">
        <f t="shared" ca="1" si="188"/>
        <v>0</v>
      </c>
      <c r="K916" s="14">
        <f t="shared" ca="1" si="189"/>
        <v>213.4</v>
      </c>
      <c r="L916" s="14">
        <f t="shared" ca="1" si="190"/>
        <v>0</v>
      </c>
      <c r="M916" s="15">
        <f t="shared" ca="1" si="191"/>
        <v>213.4</v>
      </c>
      <c r="N916" s="16">
        <f ca="1">SUM($M$9:M916)/A916</f>
        <v>337.11916299559493</v>
      </c>
      <c r="O916" s="6"/>
    </row>
    <row r="917" spans="1:15" x14ac:dyDescent="0.25">
      <c r="A917" s="8">
        <v>909</v>
      </c>
      <c r="B917" s="9">
        <f t="shared" ca="1" si="183"/>
        <v>1067</v>
      </c>
      <c r="C917" s="10">
        <f t="shared" ca="1" si="184"/>
        <v>0</v>
      </c>
      <c r="D917" s="11">
        <f t="shared" ca="1" si="192"/>
        <v>0.47913231088902997</v>
      </c>
      <c r="E917" s="9">
        <f t="shared" ca="1" si="193"/>
        <v>397</v>
      </c>
      <c r="F917" s="9">
        <f t="shared" ca="1" si="185"/>
        <v>670</v>
      </c>
      <c r="G917" s="12" t="str">
        <f t="shared" ca="1" si="186"/>
        <v>Yes</v>
      </c>
      <c r="H917" s="12">
        <f t="shared" ca="1" si="194"/>
        <v>0.14513322666143702</v>
      </c>
      <c r="I917" s="10">
        <f t="shared" ca="1" si="187"/>
        <v>1</v>
      </c>
      <c r="J917" s="13">
        <f t="shared" ca="1" si="188"/>
        <v>300</v>
      </c>
      <c r="K917" s="14">
        <f t="shared" ca="1" si="189"/>
        <v>134</v>
      </c>
      <c r="L917" s="14">
        <f t="shared" ca="1" si="190"/>
        <v>0</v>
      </c>
      <c r="M917" s="15">
        <f t="shared" ca="1" si="191"/>
        <v>434</v>
      </c>
      <c r="N917" s="16">
        <f ca="1">SUM($M$9:M917)/A917</f>
        <v>337.22574257425765</v>
      </c>
      <c r="O917" s="6"/>
    </row>
    <row r="918" spans="1:15" x14ac:dyDescent="0.25">
      <c r="A918" s="8">
        <v>910</v>
      </c>
      <c r="B918" s="9">
        <f t="shared" ca="1" si="183"/>
        <v>2470</v>
      </c>
      <c r="C918" s="10">
        <f t="shared" ca="1" si="184"/>
        <v>1800</v>
      </c>
      <c r="D918" s="11">
        <f t="shared" ca="1" si="192"/>
        <v>0.23584020444803144</v>
      </c>
      <c r="E918" s="9">
        <f t="shared" ca="1" si="193"/>
        <v>364</v>
      </c>
      <c r="F918" s="9">
        <f t="shared" ca="1" si="185"/>
        <v>2106</v>
      </c>
      <c r="G918" s="12" t="str">
        <f t="shared" ca="1" si="186"/>
        <v>No</v>
      </c>
      <c r="H918" s="12">
        <f t="shared" ca="1" si="194"/>
        <v>0</v>
      </c>
      <c r="I918" s="10">
        <f t="shared" ca="1" si="187"/>
        <v>0</v>
      </c>
      <c r="J918" s="13">
        <f t="shared" ca="1" si="188"/>
        <v>0</v>
      </c>
      <c r="K918" s="14">
        <f t="shared" ca="1" si="189"/>
        <v>421.20000000000005</v>
      </c>
      <c r="L918" s="14">
        <f t="shared" ca="1" si="190"/>
        <v>0</v>
      </c>
      <c r="M918" s="15">
        <f t="shared" ca="1" si="191"/>
        <v>421.20000000000005</v>
      </c>
      <c r="N918" s="16">
        <f ca="1">SUM($M$9:M918)/A918</f>
        <v>337.31802197802222</v>
      </c>
      <c r="O918" s="6"/>
    </row>
    <row r="919" spans="1:15" x14ac:dyDescent="0.25">
      <c r="A919" s="8">
        <v>911</v>
      </c>
      <c r="B919" s="9">
        <f t="shared" ca="1" si="183"/>
        <v>2106</v>
      </c>
      <c r="C919" s="10">
        <f t="shared" ca="1" si="184"/>
        <v>0</v>
      </c>
      <c r="D919" s="11">
        <f t="shared" ca="1" si="192"/>
        <v>0.24337829688267243</v>
      </c>
      <c r="E919" s="9">
        <f t="shared" ca="1" si="193"/>
        <v>365</v>
      </c>
      <c r="F919" s="9">
        <f t="shared" ca="1" si="185"/>
        <v>1741</v>
      </c>
      <c r="G919" s="12" t="str">
        <f t="shared" ca="1" si="186"/>
        <v>No</v>
      </c>
      <c r="H919" s="12">
        <f t="shared" ca="1" si="194"/>
        <v>0</v>
      </c>
      <c r="I919" s="10">
        <f t="shared" ca="1" si="187"/>
        <v>0</v>
      </c>
      <c r="J919" s="13">
        <f t="shared" ca="1" si="188"/>
        <v>0</v>
      </c>
      <c r="K919" s="14">
        <f t="shared" ca="1" si="189"/>
        <v>348.20000000000005</v>
      </c>
      <c r="L919" s="14">
        <f t="shared" ca="1" si="190"/>
        <v>0</v>
      </c>
      <c r="M919" s="15">
        <f t="shared" ca="1" si="191"/>
        <v>348.20000000000005</v>
      </c>
      <c r="N919" s="16">
        <f ca="1">SUM($M$9:M919)/A919</f>
        <v>337.32996706915503</v>
      </c>
      <c r="O919" s="6"/>
    </row>
    <row r="920" spans="1:15" x14ac:dyDescent="0.25">
      <c r="A920" s="8">
        <v>912</v>
      </c>
      <c r="B920" s="9">
        <f t="shared" ca="1" si="183"/>
        <v>1741</v>
      </c>
      <c r="C920" s="10">
        <f t="shared" ca="1" si="184"/>
        <v>0</v>
      </c>
      <c r="D920" s="11">
        <f t="shared" ca="1" si="192"/>
        <v>0.98196852957932257</v>
      </c>
      <c r="E920" s="9">
        <f t="shared" ca="1" si="193"/>
        <v>504</v>
      </c>
      <c r="F920" s="9">
        <f t="shared" ca="1" si="185"/>
        <v>1237</v>
      </c>
      <c r="G920" s="12" t="str">
        <f t="shared" ca="1" si="186"/>
        <v>No</v>
      </c>
      <c r="H920" s="12">
        <f t="shared" ca="1" si="194"/>
        <v>0</v>
      </c>
      <c r="I920" s="10">
        <f t="shared" ca="1" si="187"/>
        <v>0</v>
      </c>
      <c r="J920" s="13">
        <f t="shared" ca="1" si="188"/>
        <v>0</v>
      </c>
      <c r="K920" s="14">
        <f t="shared" ca="1" si="189"/>
        <v>247.4</v>
      </c>
      <c r="L920" s="14">
        <f t="shared" ca="1" si="190"/>
        <v>0</v>
      </c>
      <c r="M920" s="15">
        <f t="shared" ca="1" si="191"/>
        <v>247.4</v>
      </c>
      <c r="N920" s="16">
        <f ca="1">SUM($M$9:M920)/A920</f>
        <v>337.23135964912308</v>
      </c>
      <c r="O920" s="6"/>
    </row>
    <row r="921" spans="1:15" x14ac:dyDescent="0.25">
      <c r="A921" s="8">
        <v>913</v>
      </c>
      <c r="B921" s="9">
        <f t="shared" ca="1" si="183"/>
        <v>1237</v>
      </c>
      <c r="C921" s="10">
        <f t="shared" ca="1" si="184"/>
        <v>0</v>
      </c>
      <c r="D921" s="11">
        <f t="shared" ca="1" si="192"/>
        <v>0.34279027316411093</v>
      </c>
      <c r="E921" s="9">
        <f t="shared" ca="1" si="193"/>
        <v>379</v>
      </c>
      <c r="F921" s="9">
        <f t="shared" ca="1" si="185"/>
        <v>858</v>
      </c>
      <c r="G921" s="12" t="str">
        <f t="shared" ca="1" si="186"/>
        <v>Yes</v>
      </c>
      <c r="H921" s="12">
        <f t="shared" ca="1" si="194"/>
        <v>9.8083862738465033E-2</v>
      </c>
      <c r="I921" s="10">
        <f t="shared" ca="1" si="187"/>
        <v>1</v>
      </c>
      <c r="J921" s="13">
        <f t="shared" ca="1" si="188"/>
        <v>300</v>
      </c>
      <c r="K921" s="14">
        <f t="shared" ca="1" si="189"/>
        <v>171.60000000000002</v>
      </c>
      <c r="L921" s="14">
        <f t="shared" ca="1" si="190"/>
        <v>0</v>
      </c>
      <c r="M921" s="15">
        <f t="shared" ca="1" si="191"/>
        <v>471.6</v>
      </c>
      <c r="N921" s="16">
        <f ca="1">SUM($M$9:M921)/A921</f>
        <v>337.37853231106266</v>
      </c>
      <c r="O921" s="6"/>
    </row>
    <row r="922" spans="1:15" x14ac:dyDescent="0.25">
      <c r="A922" s="8">
        <v>914</v>
      </c>
      <c r="B922" s="9">
        <f t="shared" ca="1" si="183"/>
        <v>2658</v>
      </c>
      <c r="C922" s="10">
        <f t="shared" ca="1" si="184"/>
        <v>1800</v>
      </c>
      <c r="D922" s="11">
        <f t="shared" ca="1" si="192"/>
        <v>0.86554717213489651</v>
      </c>
      <c r="E922" s="9">
        <f t="shared" ca="1" si="193"/>
        <v>455</v>
      </c>
      <c r="F922" s="9">
        <f t="shared" ca="1" si="185"/>
        <v>2203</v>
      </c>
      <c r="G922" s="12" t="str">
        <f t="shared" ca="1" si="186"/>
        <v>No</v>
      </c>
      <c r="H922" s="12">
        <f t="shared" ca="1" si="194"/>
        <v>0</v>
      </c>
      <c r="I922" s="10">
        <f t="shared" ca="1" si="187"/>
        <v>0</v>
      </c>
      <c r="J922" s="13">
        <f t="shared" ca="1" si="188"/>
        <v>0</v>
      </c>
      <c r="K922" s="14">
        <f t="shared" ca="1" si="189"/>
        <v>440.6</v>
      </c>
      <c r="L922" s="14">
        <f t="shared" ca="1" si="190"/>
        <v>0</v>
      </c>
      <c r="M922" s="15">
        <f t="shared" ca="1" si="191"/>
        <v>440.6</v>
      </c>
      <c r="N922" s="16">
        <f ca="1">SUM($M$9:M922)/A922</f>
        <v>337.49146608315118</v>
      </c>
      <c r="O922" s="6"/>
    </row>
    <row r="923" spans="1:15" x14ac:dyDescent="0.25">
      <c r="A923" s="8">
        <v>915</v>
      </c>
      <c r="B923" s="9">
        <f t="shared" ca="1" si="183"/>
        <v>2203</v>
      </c>
      <c r="C923" s="10">
        <f t="shared" ca="1" si="184"/>
        <v>0</v>
      </c>
      <c r="D923" s="11">
        <f t="shared" ca="1" si="192"/>
        <v>0.69920223217812305</v>
      </c>
      <c r="E923" s="9">
        <f t="shared" ca="1" si="193"/>
        <v>426</v>
      </c>
      <c r="F923" s="9">
        <f t="shared" ca="1" si="185"/>
        <v>1777</v>
      </c>
      <c r="G923" s="12" t="str">
        <f t="shared" ca="1" si="186"/>
        <v>No</v>
      </c>
      <c r="H923" s="12">
        <f t="shared" ca="1" si="194"/>
        <v>0</v>
      </c>
      <c r="I923" s="10">
        <f t="shared" ca="1" si="187"/>
        <v>0</v>
      </c>
      <c r="J923" s="13">
        <f t="shared" ca="1" si="188"/>
        <v>0</v>
      </c>
      <c r="K923" s="14">
        <f t="shared" ca="1" si="189"/>
        <v>355.40000000000003</v>
      </c>
      <c r="L923" s="14">
        <f t="shared" ca="1" si="190"/>
        <v>0</v>
      </c>
      <c r="M923" s="15">
        <f t="shared" ca="1" si="191"/>
        <v>355.40000000000003</v>
      </c>
      <c r="N923" s="16">
        <f ca="1">SUM($M$9:M923)/A923</f>
        <v>337.51103825136636</v>
      </c>
      <c r="O923" s="6"/>
    </row>
    <row r="924" spans="1:15" x14ac:dyDescent="0.25">
      <c r="A924" s="8">
        <v>916</v>
      </c>
      <c r="B924" s="9">
        <f t="shared" ca="1" si="183"/>
        <v>1777</v>
      </c>
      <c r="C924" s="10">
        <f t="shared" ca="1" si="184"/>
        <v>0</v>
      </c>
      <c r="D924" s="11">
        <f t="shared" ca="1" si="192"/>
        <v>0.38000663716214356</v>
      </c>
      <c r="E924" s="9">
        <f t="shared" ca="1" si="193"/>
        <v>384</v>
      </c>
      <c r="F924" s="9">
        <f t="shared" ca="1" si="185"/>
        <v>1393</v>
      </c>
      <c r="G924" s="12" t="str">
        <f t="shared" ca="1" si="186"/>
        <v>No</v>
      </c>
      <c r="H924" s="12">
        <f t="shared" ca="1" si="194"/>
        <v>0</v>
      </c>
      <c r="I924" s="10">
        <f t="shared" ca="1" si="187"/>
        <v>0</v>
      </c>
      <c r="J924" s="13">
        <f t="shared" ca="1" si="188"/>
        <v>0</v>
      </c>
      <c r="K924" s="14">
        <f t="shared" ca="1" si="189"/>
        <v>278.60000000000002</v>
      </c>
      <c r="L924" s="14">
        <f t="shared" ca="1" si="190"/>
        <v>0</v>
      </c>
      <c r="M924" s="15">
        <f t="shared" ca="1" si="191"/>
        <v>278.60000000000002</v>
      </c>
      <c r="N924" s="16">
        <f ca="1">SUM($M$9:M924)/A924</f>
        <v>337.4467248908299</v>
      </c>
      <c r="O924" s="6"/>
    </row>
    <row r="925" spans="1:15" x14ac:dyDescent="0.25">
      <c r="A925" s="8">
        <v>917</v>
      </c>
      <c r="B925" s="9">
        <f t="shared" ca="1" si="183"/>
        <v>1393</v>
      </c>
      <c r="C925" s="10">
        <f t="shared" ca="1" si="184"/>
        <v>0</v>
      </c>
      <c r="D925" s="11">
        <f t="shared" ca="1" si="192"/>
        <v>0.47352768534157375</v>
      </c>
      <c r="E925" s="9">
        <f t="shared" ca="1" si="193"/>
        <v>396</v>
      </c>
      <c r="F925" s="9">
        <f t="shared" ca="1" si="185"/>
        <v>997</v>
      </c>
      <c r="G925" s="12" t="str">
        <f t="shared" ca="1" si="186"/>
        <v>Yes</v>
      </c>
      <c r="H925" s="12">
        <f t="shared" ca="1" si="194"/>
        <v>8.8396364461753474E-2</v>
      </c>
      <c r="I925" s="10">
        <f t="shared" ca="1" si="187"/>
        <v>1</v>
      </c>
      <c r="J925" s="13">
        <f t="shared" ca="1" si="188"/>
        <v>300</v>
      </c>
      <c r="K925" s="14">
        <f t="shared" ca="1" si="189"/>
        <v>199.4</v>
      </c>
      <c r="L925" s="14">
        <f t="shared" ca="1" si="190"/>
        <v>0</v>
      </c>
      <c r="M925" s="15">
        <f t="shared" ca="1" si="191"/>
        <v>499.4</v>
      </c>
      <c r="N925" s="16">
        <f ca="1">SUM($M$9:M925)/A925</f>
        <v>337.62333696837538</v>
      </c>
      <c r="O925" s="6"/>
    </row>
    <row r="926" spans="1:15" x14ac:dyDescent="0.25">
      <c r="A926" s="8">
        <v>918</v>
      </c>
      <c r="B926" s="9">
        <f t="shared" ca="1" si="183"/>
        <v>2797</v>
      </c>
      <c r="C926" s="10">
        <f t="shared" ca="1" si="184"/>
        <v>1800</v>
      </c>
      <c r="D926" s="11">
        <f t="shared" ca="1" si="192"/>
        <v>4.9429628507182133E-2</v>
      </c>
      <c r="E926" s="9">
        <f t="shared" ca="1" si="193"/>
        <v>317</v>
      </c>
      <c r="F926" s="9">
        <f t="shared" ca="1" si="185"/>
        <v>2480</v>
      </c>
      <c r="G926" s="12" t="str">
        <f t="shared" ca="1" si="186"/>
        <v>No</v>
      </c>
      <c r="H926" s="12">
        <f t="shared" ca="1" si="194"/>
        <v>0</v>
      </c>
      <c r="I926" s="10">
        <f t="shared" ca="1" si="187"/>
        <v>0</v>
      </c>
      <c r="J926" s="13">
        <f t="shared" ca="1" si="188"/>
        <v>0</v>
      </c>
      <c r="K926" s="14">
        <f t="shared" ca="1" si="189"/>
        <v>496</v>
      </c>
      <c r="L926" s="14">
        <f t="shared" ca="1" si="190"/>
        <v>0</v>
      </c>
      <c r="M926" s="15">
        <f t="shared" ca="1" si="191"/>
        <v>496</v>
      </c>
      <c r="N926" s="16">
        <f ca="1">SUM($M$9:M926)/A926</f>
        <v>337.79586056644905</v>
      </c>
      <c r="O926" s="6"/>
    </row>
    <row r="927" spans="1:15" x14ac:dyDescent="0.25">
      <c r="A927" s="8">
        <v>919</v>
      </c>
      <c r="B927" s="9">
        <f t="shared" ca="1" si="183"/>
        <v>2480</v>
      </c>
      <c r="C927" s="10">
        <f t="shared" ca="1" si="184"/>
        <v>0</v>
      </c>
      <c r="D927" s="11">
        <f t="shared" ca="1" si="192"/>
        <v>0.93791797259809162</v>
      </c>
      <c r="E927" s="9">
        <f t="shared" ca="1" si="193"/>
        <v>476</v>
      </c>
      <c r="F927" s="9">
        <f t="shared" ca="1" si="185"/>
        <v>2004</v>
      </c>
      <c r="G927" s="12" t="str">
        <f t="shared" ca="1" si="186"/>
        <v>No</v>
      </c>
      <c r="H927" s="12">
        <f t="shared" ca="1" si="194"/>
        <v>0</v>
      </c>
      <c r="I927" s="10">
        <f t="shared" ca="1" si="187"/>
        <v>0</v>
      </c>
      <c r="J927" s="13">
        <f t="shared" ca="1" si="188"/>
        <v>0</v>
      </c>
      <c r="K927" s="14">
        <f t="shared" ca="1" si="189"/>
        <v>400.8</v>
      </c>
      <c r="L927" s="14">
        <f t="shared" ca="1" si="190"/>
        <v>0</v>
      </c>
      <c r="M927" s="15">
        <f t="shared" ca="1" si="191"/>
        <v>400.8</v>
      </c>
      <c r="N927" s="16">
        <f ca="1">SUM($M$9:M927)/A927</f>
        <v>337.86441784548441</v>
      </c>
      <c r="O927" s="6"/>
    </row>
    <row r="928" spans="1:15" x14ac:dyDescent="0.25">
      <c r="A928" s="8">
        <v>920</v>
      </c>
      <c r="B928" s="9">
        <f t="shared" ca="1" si="183"/>
        <v>2004</v>
      </c>
      <c r="C928" s="10">
        <f t="shared" ca="1" si="184"/>
        <v>0</v>
      </c>
      <c r="D928" s="11">
        <f t="shared" ca="1" si="192"/>
        <v>0.25409132862293671</v>
      </c>
      <c r="E928" s="9">
        <f t="shared" ca="1" si="193"/>
        <v>366</v>
      </c>
      <c r="F928" s="9">
        <f t="shared" ca="1" si="185"/>
        <v>1638</v>
      </c>
      <c r="G928" s="12" t="str">
        <f t="shared" ca="1" si="186"/>
        <v>No</v>
      </c>
      <c r="H928" s="12">
        <f t="shared" ca="1" si="194"/>
        <v>0</v>
      </c>
      <c r="I928" s="10">
        <f t="shared" ca="1" si="187"/>
        <v>0</v>
      </c>
      <c r="J928" s="13">
        <f t="shared" ca="1" si="188"/>
        <v>0</v>
      </c>
      <c r="K928" s="14">
        <f t="shared" ca="1" si="189"/>
        <v>327.60000000000002</v>
      </c>
      <c r="L928" s="14">
        <f t="shared" ca="1" si="190"/>
        <v>0</v>
      </c>
      <c r="M928" s="15">
        <f t="shared" ca="1" si="191"/>
        <v>327.60000000000002</v>
      </c>
      <c r="N928" s="16">
        <f ca="1">SUM($M$9:M928)/A928</f>
        <v>337.85326086956542</v>
      </c>
      <c r="O928" s="6"/>
    </row>
    <row r="929" spans="1:15" x14ac:dyDescent="0.25">
      <c r="A929" s="8">
        <v>921</v>
      </c>
      <c r="B929" s="9">
        <f t="shared" ca="1" si="183"/>
        <v>1638</v>
      </c>
      <c r="C929" s="10">
        <f t="shared" ca="1" si="184"/>
        <v>0</v>
      </c>
      <c r="D929" s="11">
        <f t="shared" ca="1" si="192"/>
        <v>0.98922262554729867</v>
      </c>
      <c r="E929" s="9">
        <f t="shared" ca="1" si="193"/>
        <v>514</v>
      </c>
      <c r="F929" s="9">
        <f t="shared" ca="1" si="185"/>
        <v>1124</v>
      </c>
      <c r="G929" s="12" t="str">
        <f t="shared" ca="1" si="186"/>
        <v>No</v>
      </c>
      <c r="H929" s="12">
        <f t="shared" ca="1" si="194"/>
        <v>0</v>
      </c>
      <c r="I929" s="10">
        <f t="shared" ca="1" si="187"/>
        <v>0</v>
      </c>
      <c r="J929" s="13">
        <f t="shared" ca="1" si="188"/>
        <v>0</v>
      </c>
      <c r="K929" s="14">
        <f t="shared" ca="1" si="189"/>
        <v>224.8</v>
      </c>
      <c r="L929" s="14">
        <f t="shared" ca="1" si="190"/>
        <v>0</v>
      </c>
      <c r="M929" s="15">
        <f t="shared" ca="1" si="191"/>
        <v>224.8</v>
      </c>
      <c r="N929" s="16">
        <f ca="1">SUM($M$9:M929)/A929</f>
        <v>337.73051031487529</v>
      </c>
      <c r="O929" s="6"/>
    </row>
    <row r="930" spans="1:15" x14ac:dyDescent="0.25">
      <c r="A930" s="8">
        <v>922</v>
      </c>
      <c r="B930" s="9">
        <f t="shared" ca="1" si="183"/>
        <v>1124</v>
      </c>
      <c r="C930" s="10">
        <f t="shared" ca="1" si="184"/>
        <v>0</v>
      </c>
      <c r="D930" s="11">
        <f t="shared" ca="1" si="192"/>
        <v>0.16347969665303153</v>
      </c>
      <c r="E930" s="9">
        <f t="shared" ca="1" si="193"/>
        <v>350</v>
      </c>
      <c r="F930" s="9">
        <f t="shared" ca="1" si="185"/>
        <v>774</v>
      </c>
      <c r="G930" s="12" t="str">
        <f t="shared" ca="1" si="186"/>
        <v>Yes</v>
      </c>
      <c r="H930" s="12">
        <f t="shared" ca="1" si="194"/>
        <v>0.91192635230267316</v>
      </c>
      <c r="I930" s="10">
        <f t="shared" ca="1" si="187"/>
        <v>3</v>
      </c>
      <c r="J930" s="13">
        <f t="shared" ca="1" si="188"/>
        <v>300</v>
      </c>
      <c r="K930" s="14">
        <f t="shared" ca="1" si="189"/>
        <v>154.80000000000001</v>
      </c>
      <c r="L930" s="14">
        <f t="shared" ca="1" si="190"/>
        <v>0</v>
      </c>
      <c r="M930" s="15">
        <f t="shared" ca="1" si="191"/>
        <v>454.8</v>
      </c>
      <c r="N930" s="16">
        <f ca="1">SUM($M$9:M930)/A930</f>
        <v>337.85748373101967</v>
      </c>
      <c r="O930" s="6"/>
    </row>
    <row r="931" spans="1:15" x14ac:dyDescent="0.25">
      <c r="A931" s="8">
        <v>923</v>
      </c>
      <c r="B931" s="9">
        <f t="shared" ca="1" si="183"/>
        <v>774</v>
      </c>
      <c r="C931" s="10">
        <f t="shared" ca="1" si="184"/>
        <v>0</v>
      </c>
      <c r="D931" s="11">
        <f t="shared" ca="1" si="192"/>
        <v>0.87330673491316801</v>
      </c>
      <c r="E931" s="9">
        <f t="shared" ca="1" si="193"/>
        <v>457</v>
      </c>
      <c r="F931" s="9">
        <f t="shared" ca="1" si="185"/>
        <v>317</v>
      </c>
      <c r="G931" s="12" t="str">
        <f t="shared" ca="1" si="186"/>
        <v>No</v>
      </c>
      <c r="H931" s="12">
        <f t="shared" ca="1" si="194"/>
        <v>0</v>
      </c>
      <c r="I931" s="10">
        <f t="shared" ca="1" si="187"/>
        <v>2</v>
      </c>
      <c r="J931" s="13">
        <f t="shared" ca="1" si="188"/>
        <v>0</v>
      </c>
      <c r="K931" s="14">
        <f t="shared" ca="1" si="189"/>
        <v>63.400000000000006</v>
      </c>
      <c r="L931" s="14">
        <f t="shared" ca="1" si="190"/>
        <v>0</v>
      </c>
      <c r="M931" s="15">
        <f t="shared" ca="1" si="191"/>
        <v>63.400000000000006</v>
      </c>
      <c r="N931" s="16">
        <f ca="1">SUM($M$9:M931)/A931</f>
        <v>337.56013001083443</v>
      </c>
      <c r="O931" s="6"/>
    </row>
    <row r="932" spans="1:15" x14ac:dyDescent="0.25">
      <c r="A932" s="8">
        <v>924</v>
      </c>
      <c r="B932" s="9">
        <f t="shared" ca="1" si="183"/>
        <v>317</v>
      </c>
      <c r="C932" s="10">
        <f t="shared" ca="1" si="184"/>
        <v>0</v>
      </c>
      <c r="D932" s="11">
        <f t="shared" ca="1" si="192"/>
        <v>0.40285181121020763</v>
      </c>
      <c r="E932" s="9">
        <f t="shared" ca="1" si="193"/>
        <v>387</v>
      </c>
      <c r="F932" s="9">
        <f t="shared" ca="1" si="185"/>
        <v>0</v>
      </c>
      <c r="G932" s="12" t="str">
        <f t="shared" ca="1" si="186"/>
        <v>No</v>
      </c>
      <c r="H932" s="12">
        <f t="shared" ca="1" si="194"/>
        <v>0</v>
      </c>
      <c r="I932" s="10">
        <f t="shared" ca="1" si="187"/>
        <v>1</v>
      </c>
      <c r="J932" s="13">
        <f t="shared" ca="1" si="188"/>
        <v>0</v>
      </c>
      <c r="K932" s="14">
        <f t="shared" ca="1" si="189"/>
        <v>0</v>
      </c>
      <c r="L932" s="14">
        <f t="shared" ca="1" si="190"/>
        <v>140</v>
      </c>
      <c r="M932" s="15">
        <f t="shared" ca="1" si="191"/>
        <v>140</v>
      </c>
      <c r="N932" s="16">
        <f ca="1">SUM($M$9:M932)/A932</f>
        <v>337.34632034632051</v>
      </c>
      <c r="O932" s="6"/>
    </row>
    <row r="933" spans="1:15" x14ac:dyDescent="0.25">
      <c r="A933" s="8">
        <v>925</v>
      </c>
      <c r="B933" s="9">
        <f t="shared" ca="1" si="183"/>
        <v>1800</v>
      </c>
      <c r="C933" s="10">
        <f t="shared" ca="1" si="184"/>
        <v>1800</v>
      </c>
      <c r="D933" s="11">
        <f t="shared" ca="1" si="192"/>
        <v>0.72393826670715899</v>
      </c>
      <c r="E933" s="9">
        <f t="shared" ca="1" si="193"/>
        <v>429</v>
      </c>
      <c r="F933" s="9">
        <f t="shared" ca="1" si="185"/>
        <v>1371</v>
      </c>
      <c r="G933" s="12" t="str">
        <f t="shared" ca="1" si="186"/>
        <v>No</v>
      </c>
      <c r="H933" s="12">
        <f t="shared" ca="1" si="194"/>
        <v>0</v>
      </c>
      <c r="I933" s="10">
        <f t="shared" ca="1" si="187"/>
        <v>0</v>
      </c>
      <c r="J933" s="13">
        <f t="shared" ca="1" si="188"/>
        <v>0</v>
      </c>
      <c r="K933" s="14">
        <f t="shared" ca="1" si="189"/>
        <v>274.2</v>
      </c>
      <c r="L933" s="14">
        <f t="shared" ca="1" si="190"/>
        <v>0</v>
      </c>
      <c r="M933" s="15">
        <f t="shared" ca="1" si="191"/>
        <v>274.2</v>
      </c>
      <c r="N933" s="16">
        <f ca="1">SUM($M$9:M933)/A933</f>
        <v>337.27805405405428</v>
      </c>
      <c r="O933" s="6"/>
    </row>
    <row r="934" spans="1:15" x14ac:dyDescent="0.25">
      <c r="A934" s="8">
        <v>926</v>
      </c>
      <c r="B934" s="9">
        <f t="shared" ca="1" si="183"/>
        <v>1371</v>
      </c>
      <c r="C934" s="10">
        <f t="shared" ca="1" si="184"/>
        <v>0</v>
      </c>
      <c r="D934" s="11">
        <f t="shared" ca="1" si="192"/>
        <v>0.41158531515207697</v>
      </c>
      <c r="E934" s="9">
        <f t="shared" ca="1" si="193"/>
        <v>388</v>
      </c>
      <c r="F934" s="9">
        <f t="shared" ca="1" si="185"/>
        <v>983</v>
      </c>
      <c r="G934" s="12" t="str">
        <f t="shared" ca="1" si="186"/>
        <v>Yes</v>
      </c>
      <c r="H934" s="12">
        <f t="shared" ca="1" si="194"/>
        <v>0.81577839241785988</v>
      </c>
      <c r="I934" s="10">
        <f t="shared" ca="1" si="187"/>
        <v>2</v>
      </c>
      <c r="J934" s="13">
        <f t="shared" ca="1" si="188"/>
        <v>300</v>
      </c>
      <c r="K934" s="14">
        <f t="shared" ca="1" si="189"/>
        <v>196.60000000000002</v>
      </c>
      <c r="L934" s="14">
        <f t="shared" ca="1" si="190"/>
        <v>0</v>
      </c>
      <c r="M934" s="15">
        <f t="shared" ca="1" si="191"/>
        <v>496.6</v>
      </c>
      <c r="N934" s="16">
        <f ca="1">SUM($M$9:M934)/A934</f>
        <v>337.45010799136088</v>
      </c>
      <c r="O934" s="6"/>
    </row>
    <row r="935" spans="1:15" x14ac:dyDescent="0.25">
      <c r="A935" s="8">
        <v>927</v>
      </c>
      <c r="B935" s="9">
        <f t="shared" ca="1" si="183"/>
        <v>983</v>
      </c>
      <c r="C935" s="10">
        <f t="shared" ca="1" si="184"/>
        <v>0</v>
      </c>
      <c r="D935" s="11">
        <f t="shared" ca="1" si="192"/>
        <v>0.34358646487037214</v>
      </c>
      <c r="E935" s="9">
        <f t="shared" ca="1" si="193"/>
        <v>379</v>
      </c>
      <c r="F935" s="9">
        <f t="shared" ca="1" si="185"/>
        <v>604</v>
      </c>
      <c r="G935" s="12" t="str">
        <f t="shared" ca="1" si="186"/>
        <v>No</v>
      </c>
      <c r="H935" s="12">
        <f t="shared" ca="1" si="194"/>
        <v>0</v>
      </c>
      <c r="I935" s="10">
        <f t="shared" ca="1" si="187"/>
        <v>1</v>
      </c>
      <c r="J935" s="13">
        <f t="shared" ca="1" si="188"/>
        <v>0</v>
      </c>
      <c r="K935" s="14">
        <f t="shared" ca="1" si="189"/>
        <v>120.80000000000001</v>
      </c>
      <c r="L935" s="14">
        <f t="shared" ca="1" si="190"/>
        <v>0</v>
      </c>
      <c r="M935" s="15">
        <f t="shared" ca="1" si="191"/>
        <v>120.80000000000001</v>
      </c>
      <c r="N935" s="16">
        <f ca="1">SUM($M$9:M935)/A935</f>
        <v>337.21639697950394</v>
      </c>
      <c r="O935" s="6"/>
    </row>
    <row r="936" spans="1:15" x14ac:dyDescent="0.25">
      <c r="A936" s="8">
        <v>928</v>
      </c>
      <c r="B936" s="9">
        <f t="shared" ca="1" si="183"/>
        <v>2404</v>
      </c>
      <c r="C936" s="10">
        <f t="shared" ca="1" si="184"/>
        <v>1800</v>
      </c>
      <c r="D936" s="11">
        <f t="shared" ca="1" si="192"/>
        <v>0.52174991652282254</v>
      </c>
      <c r="E936" s="9">
        <f t="shared" ca="1" si="193"/>
        <v>402</v>
      </c>
      <c r="F936" s="9">
        <f t="shared" ca="1" si="185"/>
        <v>2002</v>
      </c>
      <c r="G936" s="12" t="str">
        <f t="shared" ca="1" si="186"/>
        <v>No</v>
      </c>
      <c r="H936" s="12">
        <f t="shared" ca="1" si="194"/>
        <v>0</v>
      </c>
      <c r="I936" s="10">
        <f t="shared" ca="1" si="187"/>
        <v>0</v>
      </c>
      <c r="J936" s="13">
        <f t="shared" ca="1" si="188"/>
        <v>0</v>
      </c>
      <c r="K936" s="14">
        <f t="shared" ca="1" si="189"/>
        <v>400.40000000000003</v>
      </c>
      <c r="L936" s="14">
        <f t="shared" ca="1" si="190"/>
        <v>0</v>
      </c>
      <c r="M936" s="15">
        <f t="shared" ca="1" si="191"/>
        <v>400.40000000000003</v>
      </c>
      <c r="N936" s="16">
        <f ca="1">SUM($M$9:M936)/A936</f>
        <v>337.28448275862087</v>
      </c>
      <c r="O936" s="6"/>
    </row>
    <row r="937" spans="1:15" x14ac:dyDescent="0.25">
      <c r="A937" s="8">
        <v>929</v>
      </c>
      <c r="B937" s="9">
        <f t="shared" ca="1" si="183"/>
        <v>2002</v>
      </c>
      <c r="C937" s="10">
        <f t="shared" ca="1" si="184"/>
        <v>0</v>
      </c>
      <c r="D937" s="11">
        <f t="shared" ca="1" si="192"/>
        <v>0.33391428497201048</v>
      </c>
      <c r="E937" s="9">
        <f t="shared" ca="1" si="193"/>
        <v>378</v>
      </c>
      <c r="F937" s="9">
        <f t="shared" ca="1" si="185"/>
        <v>1624</v>
      </c>
      <c r="G937" s="12" t="str">
        <f t="shared" ca="1" si="186"/>
        <v>No</v>
      </c>
      <c r="H937" s="12">
        <f t="shared" ca="1" si="194"/>
        <v>0</v>
      </c>
      <c r="I937" s="10">
        <f t="shared" ca="1" si="187"/>
        <v>0</v>
      </c>
      <c r="J937" s="13">
        <f t="shared" ca="1" si="188"/>
        <v>0</v>
      </c>
      <c r="K937" s="14">
        <f t="shared" ca="1" si="189"/>
        <v>324.8</v>
      </c>
      <c r="L937" s="14">
        <f t="shared" ca="1" si="190"/>
        <v>0</v>
      </c>
      <c r="M937" s="15">
        <f t="shared" ca="1" si="191"/>
        <v>324.8</v>
      </c>
      <c r="N937" s="16">
        <f ca="1">SUM($M$9:M937)/A937</f>
        <v>337.27104413347701</v>
      </c>
      <c r="O937" s="6"/>
    </row>
    <row r="938" spans="1:15" x14ac:dyDescent="0.25">
      <c r="A938" s="8">
        <v>930</v>
      </c>
      <c r="B938" s="9">
        <f t="shared" ca="1" si="183"/>
        <v>1624</v>
      </c>
      <c r="C938" s="10">
        <f t="shared" ca="1" si="184"/>
        <v>0</v>
      </c>
      <c r="D938" s="11">
        <f t="shared" ca="1" si="192"/>
        <v>0.48765431995508701</v>
      </c>
      <c r="E938" s="9">
        <f t="shared" ca="1" si="193"/>
        <v>398</v>
      </c>
      <c r="F938" s="9">
        <f t="shared" ca="1" si="185"/>
        <v>1226</v>
      </c>
      <c r="G938" s="12" t="str">
        <f t="shared" ca="1" si="186"/>
        <v>No</v>
      </c>
      <c r="H938" s="12">
        <f t="shared" ca="1" si="194"/>
        <v>0</v>
      </c>
      <c r="I938" s="10">
        <f t="shared" ca="1" si="187"/>
        <v>0</v>
      </c>
      <c r="J938" s="13">
        <f t="shared" ca="1" si="188"/>
        <v>0</v>
      </c>
      <c r="K938" s="14">
        <f t="shared" ca="1" si="189"/>
        <v>245.20000000000002</v>
      </c>
      <c r="L938" s="14">
        <f t="shared" ca="1" si="190"/>
        <v>0</v>
      </c>
      <c r="M938" s="15">
        <f t="shared" ca="1" si="191"/>
        <v>245.20000000000002</v>
      </c>
      <c r="N938" s="16">
        <f ca="1">SUM($M$9:M938)/A938</f>
        <v>337.17204301075287</v>
      </c>
      <c r="O938" s="6"/>
    </row>
    <row r="939" spans="1:15" x14ac:dyDescent="0.25">
      <c r="A939" s="8">
        <v>931</v>
      </c>
      <c r="B939" s="9">
        <f t="shared" ca="1" si="183"/>
        <v>1226</v>
      </c>
      <c r="C939" s="10">
        <f t="shared" ca="1" si="184"/>
        <v>0</v>
      </c>
      <c r="D939" s="11">
        <f t="shared" ca="1" si="192"/>
        <v>0.72501537474296807</v>
      </c>
      <c r="E939" s="9">
        <f t="shared" ca="1" si="193"/>
        <v>429</v>
      </c>
      <c r="F939" s="9">
        <f t="shared" ca="1" si="185"/>
        <v>797</v>
      </c>
      <c r="G939" s="12" t="str">
        <f t="shared" ca="1" si="186"/>
        <v>Yes</v>
      </c>
      <c r="H939" s="12">
        <f t="shared" ca="1" si="194"/>
        <v>7.6798968867492601E-2</v>
      </c>
      <c r="I939" s="10">
        <f t="shared" ca="1" si="187"/>
        <v>1</v>
      </c>
      <c r="J939" s="13">
        <f t="shared" ca="1" si="188"/>
        <v>300</v>
      </c>
      <c r="K939" s="14">
        <f t="shared" ca="1" si="189"/>
        <v>159.4</v>
      </c>
      <c r="L939" s="14">
        <f t="shared" ca="1" si="190"/>
        <v>0</v>
      </c>
      <c r="M939" s="15">
        <f t="shared" ca="1" si="191"/>
        <v>459.4</v>
      </c>
      <c r="N939" s="16">
        <f ca="1">SUM($M$9:M939)/A939</f>
        <v>337.30332975295403</v>
      </c>
      <c r="O939" s="6"/>
    </row>
    <row r="940" spans="1:15" x14ac:dyDescent="0.25">
      <c r="A940" s="8">
        <v>932</v>
      </c>
      <c r="B940" s="9">
        <f t="shared" ca="1" si="183"/>
        <v>2597</v>
      </c>
      <c r="C940" s="10">
        <f t="shared" ca="1" si="184"/>
        <v>1800</v>
      </c>
      <c r="D940" s="11">
        <f t="shared" ca="1" si="192"/>
        <v>0.21940314642667169</v>
      </c>
      <c r="E940" s="9">
        <f t="shared" ca="1" si="193"/>
        <v>361</v>
      </c>
      <c r="F940" s="9">
        <f t="shared" ca="1" si="185"/>
        <v>2236</v>
      </c>
      <c r="G940" s="12" t="str">
        <f t="shared" ca="1" si="186"/>
        <v>No</v>
      </c>
      <c r="H940" s="12">
        <f t="shared" ca="1" si="194"/>
        <v>0</v>
      </c>
      <c r="I940" s="10">
        <f t="shared" ca="1" si="187"/>
        <v>0</v>
      </c>
      <c r="J940" s="13">
        <f t="shared" ca="1" si="188"/>
        <v>0</v>
      </c>
      <c r="K940" s="14">
        <f t="shared" ca="1" si="189"/>
        <v>447.20000000000005</v>
      </c>
      <c r="L940" s="14">
        <f t="shared" ca="1" si="190"/>
        <v>0</v>
      </c>
      <c r="M940" s="15">
        <f t="shared" ca="1" si="191"/>
        <v>447.20000000000005</v>
      </c>
      <c r="N940" s="16">
        <f ca="1">SUM($M$9:M940)/A940</f>
        <v>337.42124463519337</v>
      </c>
      <c r="O940" s="6"/>
    </row>
    <row r="941" spans="1:15" x14ac:dyDescent="0.25">
      <c r="A941" s="8">
        <v>933</v>
      </c>
      <c r="B941" s="9">
        <f t="shared" ca="1" si="183"/>
        <v>2236</v>
      </c>
      <c r="C941" s="10">
        <f t="shared" ca="1" si="184"/>
        <v>0</v>
      </c>
      <c r="D941" s="11">
        <f t="shared" ca="1" si="192"/>
        <v>0.9003120297452526</v>
      </c>
      <c r="E941" s="9">
        <f t="shared" ca="1" si="193"/>
        <v>464</v>
      </c>
      <c r="F941" s="9">
        <f t="shared" ca="1" si="185"/>
        <v>1772</v>
      </c>
      <c r="G941" s="12" t="str">
        <f t="shared" ca="1" si="186"/>
        <v>No</v>
      </c>
      <c r="H941" s="12">
        <f t="shared" ca="1" si="194"/>
        <v>0</v>
      </c>
      <c r="I941" s="10">
        <f t="shared" ca="1" si="187"/>
        <v>0</v>
      </c>
      <c r="J941" s="13">
        <f t="shared" ca="1" si="188"/>
        <v>0</v>
      </c>
      <c r="K941" s="14">
        <f t="shared" ca="1" si="189"/>
        <v>354.40000000000003</v>
      </c>
      <c r="L941" s="14">
        <f t="shared" ca="1" si="190"/>
        <v>0</v>
      </c>
      <c r="M941" s="15">
        <f t="shared" ca="1" si="191"/>
        <v>354.40000000000003</v>
      </c>
      <c r="N941" s="16">
        <f ca="1">SUM($M$9:M941)/A941</f>
        <v>337.43944265809245</v>
      </c>
      <c r="O941" s="6"/>
    </row>
    <row r="942" spans="1:15" x14ac:dyDescent="0.25">
      <c r="A942" s="8">
        <v>934</v>
      </c>
      <c r="B942" s="9">
        <f t="shared" ca="1" si="183"/>
        <v>1772</v>
      </c>
      <c r="C942" s="10">
        <f t="shared" ca="1" si="184"/>
        <v>0</v>
      </c>
      <c r="D942" s="11">
        <f t="shared" ca="1" si="192"/>
        <v>0.72925520262576726</v>
      </c>
      <c r="E942" s="9">
        <f t="shared" ca="1" si="193"/>
        <v>430</v>
      </c>
      <c r="F942" s="9">
        <f t="shared" ca="1" si="185"/>
        <v>1342</v>
      </c>
      <c r="G942" s="12" t="str">
        <f t="shared" ca="1" si="186"/>
        <v>No</v>
      </c>
      <c r="H942" s="12">
        <f t="shared" ca="1" si="194"/>
        <v>0</v>
      </c>
      <c r="I942" s="10">
        <f t="shared" ca="1" si="187"/>
        <v>0</v>
      </c>
      <c r="J942" s="13">
        <f t="shared" ca="1" si="188"/>
        <v>0</v>
      </c>
      <c r="K942" s="14">
        <f t="shared" ca="1" si="189"/>
        <v>268.40000000000003</v>
      </c>
      <c r="L942" s="14">
        <f t="shared" ca="1" si="190"/>
        <v>0</v>
      </c>
      <c r="M942" s="15">
        <f t="shared" ca="1" si="191"/>
        <v>268.40000000000003</v>
      </c>
      <c r="N942" s="16">
        <f ca="1">SUM($M$9:M942)/A942</f>
        <v>337.36552462526794</v>
      </c>
      <c r="O942" s="6"/>
    </row>
    <row r="943" spans="1:15" x14ac:dyDescent="0.25">
      <c r="A943" s="8">
        <v>935</v>
      </c>
      <c r="B943" s="9">
        <f t="shared" ca="1" si="183"/>
        <v>1342</v>
      </c>
      <c r="C943" s="10">
        <f t="shared" ca="1" si="184"/>
        <v>0</v>
      </c>
      <c r="D943" s="11">
        <f t="shared" ca="1" si="192"/>
        <v>0.23704297067296043</v>
      </c>
      <c r="E943" s="9">
        <f t="shared" ca="1" si="193"/>
        <v>364</v>
      </c>
      <c r="F943" s="9">
        <f t="shared" ca="1" si="185"/>
        <v>978</v>
      </c>
      <c r="G943" s="12" t="str">
        <f t="shared" ca="1" si="186"/>
        <v>Yes</v>
      </c>
      <c r="H943" s="12">
        <f t="shared" ca="1" si="194"/>
        <v>0.58517344056779275</v>
      </c>
      <c r="I943" s="10">
        <f t="shared" ca="1" si="187"/>
        <v>1</v>
      </c>
      <c r="J943" s="13">
        <f t="shared" ca="1" si="188"/>
        <v>300</v>
      </c>
      <c r="K943" s="14">
        <f t="shared" ca="1" si="189"/>
        <v>195.60000000000002</v>
      </c>
      <c r="L943" s="14">
        <f t="shared" ca="1" si="190"/>
        <v>0</v>
      </c>
      <c r="M943" s="15">
        <f t="shared" ca="1" si="191"/>
        <v>495.6</v>
      </c>
      <c r="N943" s="16">
        <f ca="1">SUM($M$9:M943)/A943</f>
        <v>337.53475935828902</v>
      </c>
      <c r="O943" s="6"/>
    </row>
    <row r="944" spans="1:15" x14ac:dyDescent="0.25">
      <c r="A944" s="8">
        <v>936</v>
      </c>
      <c r="B944" s="9">
        <f t="shared" ca="1" si="183"/>
        <v>2778</v>
      </c>
      <c r="C944" s="10">
        <f t="shared" ca="1" si="184"/>
        <v>1800</v>
      </c>
      <c r="D944" s="11">
        <f t="shared" ca="1" si="192"/>
        <v>0.65601253214662258</v>
      </c>
      <c r="E944" s="9">
        <f t="shared" ca="1" si="193"/>
        <v>420</v>
      </c>
      <c r="F944" s="9">
        <f t="shared" ca="1" si="185"/>
        <v>2358</v>
      </c>
      <c r="G944" s="12" t="str">
        <f t="shared" ca="1" si="186"/>
        <v>No</v>
      </c>
      <c r="H944" s="12">
        <f t="shared" ca="1" si="194"/>
        <v>0</v>
      </c>
      <c r="I944" s="10">
        <f t="shared" ca="1" si="187"/>
        <v>0</v>
      </c>
      <c r="J944" s="13">
        <f t="shared" ca="1" si="188"/>
        <v>0</v>
      </c>
      <c r="K944" s="14">
        <f t="shared" ca="1" si="189"/>
        <v>471.6</v>
      </c>
      <c r="L944" s="14">
        <f t="shared" ca="1" si="190"/>
        <v>0</v>
      </c>
      <c r="M944" s="15">
        <f t="shared" ca="1" si="191"/>
        <v>471.6</v>
      </c>
      <c r="N944" s="16">
        <f ca="1">SUM($M$9:M944)/A944</f>
        <v>337.67799145299171</v>
      </c>
      <c r="O944" s="6"/>
    </row>
    <row r="945" spans="1:15" x14ac:dyDescent="0.25">
      <c r="A945" s="8">
        <v>937</v>
      </c>
      <c r="B945" s="9">
        <f t="shared" ca="1" si="183"/>
        <v>2358</v>
      </c>
      <c r="C945" s="10">
        <f t="shared" ca="1" si="184"/>
        <v>0</v>
      </c>
      <c r="D945" s="11">
        <f t="shared" ca="1" si="192"/>
        <v>8.7769369019999322E-2</v>
      </c>
      <c r="E945" s="9">
        <f t="shared" ca="1" si="193"/>
        <v>332</v>
      </c>
      <c r="F945" s="9">
        <f t="shared" ca="1" si="185"/>
        <v>2026</v>
      </c>
      <c r="G945" s="12" t="str">
        <f t="shared" ca="1" si="186"/>
        <v>No</v>
      </c>
      <c r="H945" s="12">
        <f t="shared" ca="1" si="194"/>
        <v>0</v>
      </c>
      <c r="I945" s="10">
        <f t="shared" ca="1" si="187"/>
        <v>0</v>
      </c>
      <c r="J945" s="13">
        <f t="shared" ca="1" si="188"/>
        <v>0</v>
      </c>
      <c r="K945" s="14">
        <f t="shared" ca="1" si="189"/>
        <v>405.20000000000005</v>
      </c>
      <c r="L945" s="14">
        <f t="shared" ca="1" si="190"/>
        <v>0</v>
      </c>
      <c r="M945" s="15">
        <f t="shared" ca="1" si="191"/>
        <v>405.20000000000005</v>
      </c>
      <c r="N945" s="16">
        <f ca="1">SUM($M$9:M945)/A945</f>
        <v>337.75005336179322</v>
      </c>
      <c r="O945" s="6"/>
    </row>
    <row r="946" spans="1:15" x14ac:dyDescent="0.25">
      <c r="A946" s="8">
        <v>938</v>
      </c>
      <c r="B946" s="9">
        <f t="shared" ca="1" si="183"/>
        <v>2026</v>
      </c>
      <c r="C946" s="10">
        <f t="shared" ca="1" si="184"/>
        <v>0</v>
      </c>
      <c r="D946" s="11">
        <f t="shared" ca="1" si="192"/>
        <v>0.55343117144132603</v>
      </c>
      <c r="E946" s="9">
        <f t="shared" ca="1" si="193"/>
        <v>406</v>
      </c>
      <c r="F946" s="9">
        <f t="shared" ca="1" si="185"/>
        <v>1620</v>
      </c>
      <c r="G946" s="12" t="str">
        <f t="shared" ca="1" si="186"/>
        <v>No</v>
      </c>
      <c r="H946" s="12">
        <f t="shared" ca="1" si="194"/>
        <v>0</v>
      </c>
      <c r="I946" s="10">
        <f t="shared" ca="1" si="187"/>
        <v>0</v>
      </c>
      <c r="J946" s="13">
        <f t="shared" ca="1" si="188"/>
        <v>0</v>
      </c>
      <c r="K946" s="14">
        <f t="shared" ca="1" si="189"/>
        <v>324</v>
      </c>
      <c r="L946" s="14">
        <f t="shared" ca="1" si="190"/>
        <v>0</v>
      </c>
      <c r="M946" s="15">
        <f t="shared" ca="1" si="191"/>
        <v>324</v>
      </c>
      <c r="N946" s="16">
        <f ca="1">SUM($M$9:M946)/A946</f>
        <v>337.73539445629024</v>
      </c>
      <c r="O946" s="6"/>
    </row>
    <row r="947" spans="1:15" x14ac:dyDescent="0.25">
      <c r="A947" s="8">
        <v>939</v>
      </c>
      <c r="B947" s="9">
        <f t="shared" ca="1" si="183"/>
        <v>1620</v>
      </c>
      <c r="C947" s="10">
        <f t="shared" ca="1" si="184"/>
        <v>0</v>
      </c>
      <c r="D947" s="11">
        <f t="shared" ca="1" si="192"/>
        <v>0.54152612725819393</v>
      </c>
      <c r="E947" s="9">
        <f t="shared" ca="1" si="193"/>
        <v>405</v>
      </c>
      <c r="F947" s="9">
        <f t="shared" ca="1" si="185"/>
        <v>1215</v>
      </c>
      <c r="G947" s="12" t="str">
        <f t="shared" ca="1" si="186"/>
        <v>No</v>
      </c>
      <c r="H947" s="12">
        <f t="shared" ca="1" si="194"/>
        <v>0</v>
      </c>
      <c r="I947" s="10">
        <f t="shared" ca="1" si="187"/>
        <v>0</v>
      </c>
      <c r="J947" s="13">
        <f t="shared" ca="1" si="188"/>
        <v>0</v>
      </c>
      <c r="K947" s="14">
        <f t="shared" ca="1" si="189"/>
        <v>243</v>
      </c>
      <c r="L947" s="14">
        <f t="shared" ca="1" si="190"/>
        <v>0</v>
      </c>
      <c r="M947" s="15">
        <f t="shared" ca="1" si="191"/>
        <v>243</v>
      </c>
      <c r="N947" s="16">
        <f ca="1">SUM($M$9:M947)/A947</f>
        <v>337.63450479233251</v>
      </c>
      <c r="O947" s="6"/>
    </row>
    <row r="948" spans="1:15" x14ac:dyDescent="0.25">
      <c r="A948" s="8">
        <v>940</v>
      </c>
      <c r="B948" s="9">
        <f t="shared" ca="1" si="183"/>
        <v>1215</v>
      </c>
      <c r="C948" s="10">
        <f t="shared" ca="1" si="184"/>
        <v>0</v>
      </c>
      <c r="D948" s="11">
        <f t="shared" ca="1" si="192"/>
        <v>0.51764134274484541</v>
      </c>
      <c r="E948" s="9">
        <f t="shared" ca="1" si="193"/>
        <v>402</v>
      </c>
      <c r="F948" s="9">
        <f t="shared" ca="1" si="185"/>
        <v>813</v>
      </c>
      <c r="G948" s="12" t="str">
        <f t="shared" ca="1" si="186"/>
        <v>Yes</v>
      </c>
      <c r="H948" s="12">
        <f t="shared" ca="1" si="194"/>
        <v>7.7442094222324176E-4</v>
      </c>
      <c r="I948" s="10">
        <f t="shared" ca="1" si="187"/>
        <v>1</v>
      </c>
      <c r="J948" s="13">
        <f t="shared" ca="1" si="188"/>
        <v>300</v>
      </c>
      <c r="K948" s="14">
        <f t="shared" ca="1" si="189"/>
        <v>162.60000000000002</v>
      </c>
      <c r="L948" s="14">
        <f t="shared" ca="1" si="190"/>
        <v>0</v>
      </c>
      <c r="M948" s="15">
        <f t="shared" ca="1" si="191"/>
        <v>462.6</v>
      </c>
      <c r="N948" s="16">
        <f ca="1">SUM($M$9:M948)/A948</f>
        <v>337.76744680851084</v>
      </c>
      <c r="O948" s="6"/>
    </row>
    <row r="949" spans="1:15" x14ac:dyDescent="0.25">
      <c r="A949" s="8">
        <v>941</v>
      </c>
      <c r="B949" s="9">
        <f t="shared" ca="1" si="183"/>
        <v>2613</v>
      </c>
      <c r="C949" s="10">
        <f t="shared" ca="1" si="184"/>
        <v>1800</v>
      </c>
      <c r="D949" s="11">
        <f t="shared" ca="1" si="192"/>
        <v>0.1062808966532931</v>
      </c>
      <c r="E949" s="9">
        <f t="shared" ca="1" si="193"/>
        <v>337</v>
      </c>
      <c r="F949" s="9">
        <f t="shared" ca="1" si="185"/>
        <v>2276</v>
      </c>
      <c r="G949" s="12" t="str">
        <f t="shared" ca="1" si="186"/>
        <v>No</v>
      </c>
      <c r="H949" s="12">
        <f t="shared" ca="1" si="194"/>
        <v>0</v>
      </c>
      <c r="I949" s="10">
        <f t="shared" ca="1" si="187"/>
        <v>0</v>
      </c>
      <c r="J949" s="13">
        <f t="shared" ca="1" si="188"/>
        <v>0</v>
      </c>
      <c r="K949" s="14">
        <f t="shared" ca="1" si="189"/>
        <v>455.20000000000005</v>
      </c>
      <c r="L949" s="14">
        <f t="shared" ca="1" si="190"/>
        <v>0</v>
      </c>
      <c r="M949" s="15">
        <f t="shared" ca="1" si="191"/>
        <v>455.20000000000005</v>
      </c>
      <c r="N949" s="16">
        <f ca="1">SUM($M$9:M949)/A949</f>
        <v>337.89224229543061</v>
      </c>
      <c r="O949" s="6"/>
    </row>
    <row r="950" spans="1:15" x14ac:dyDescent="0.25">
      <c r="A950" s="8">
        <v>942</v>
      </c>
      <c r="B950" s="9">
        <f t="shared" ca="1" si="183"/>
        <v>2276</v>
      </c>
      <c r="C950" s="10">
        <f t="shared" ca="1" si="184"/>
        <v>0</v>
      </c>
      <c r="D950" s="11">
        <f t="shared" ca="1" si="192"/>
        <v>0.65074632770596907</v>
      </c>
      <c r="E950" s="9">
        <f t="shared" ca="1" si="193"/>
        <v>419</v>
      </c>
      <c r="F950" s="9">
        <f t="shared" ca="1" si="185"/>
        <v>1857</v>
      </c>
      <c r="G950" s="12" t="str">
        <f t="shared" ca="1" si="186"/>
        <v>No</v>
      </c>
      <c r="H950" s="12">
        <f t="shared" ca="1" si="194"/>
        <v>0</v>
      </c>
      <c r="I950" s="10">
        <f t="shared" ca="1" si="187"/>
        <v>0</v>
      </c>
      <c r="J950" s="13">
        <f t="shared" ca="1" si="188"/>
        <v>0</v>
      </c>
      <c r="K950" s="14">
        <f t="shared" ca="1" si="189"/>
        <v>371.40000000000003</v>
      </c>
      <c r="L950" s="14">
        <f t="shared" ca="1" si="190"/>
        <v>0</v>
      </c>
      <c r="M950" s="15">
        <f t="shared" ca="1" si="191"/>
        <v>371.40000000000003</v>
      </c>
      <c r="N950" s="16">
        <f ca="1">SUM($M$9:M950)/A950</f>
        <v>337.9278131634822</v>
      </c>
      <c r="O950" s="6"/>
    </row>
    <row r="951" spans="1:15" x14ac:dyDescent="0.25">
      <c r="A951" s="8">
        <v>943</v>
      </c>
      <c r="B951" s="9">
        <f t="shared" ca="1" si="183"/>
        <v>1857</v>
      </c>
      <c r="C951" s="10">
        <f t="shared" ca="1" si="184"/>
        <v>0</v>
      </c>
      <c r="D951" s="11">
        <f t="shared" ca="1" si="192"/>
        <v>0.42247870525168307</v>
      </c>
      <c r="E951" s="9">
        <f t="shared" ca="1" si="193"/>
        <v>390</v>
      </c>
      <c r="F951" s="9">
        <f t="shared" ca="1" si="185"/>
        <v>1467</v>
      </c>
      <c r="G951" s="12" t="str">
        <f t="shared" ca="1" si="186"/>
        <v>No</v>
      </c>
      <c r="H951" s="12">
        <f t="shared" ca="1" si="194"/>
        <v>0</v>
      </c>
      <c r="I951" s="10">
        <f t="shared" ca="1" si="187"/>
        <v>0</v>
      </c>
      <c r="J951" s="13">
        <f t="shared" ca="1" si="188"/>
        <v>0</v>
      </c>
      <c r="K951" s="14">
        <f t="shared" ca="1" si="189"/>
        <v>293.40000000000003</v>
      </c>
      <c r="L951" s="14">
        <f t="shared" ca="1" si="190"/>
        <v>0</v>
      </c>
      <c r="M951" s="15">
        <f t="shared" ca="1" si="191"/>
        <v>293.40000000000003</v>
      </c>
      <c r="N951" s="16">
        <f ca="1">SUM($M$9:M951)/A951</f>
        <v>337.88059384941704</v>
      </c>
      <c r="O951" s="6"/>
    </row>
    <row r="952" spans="1:15" x14ac:dyDescent="0.25">
      <c r="A952" s="8">
        <v>944</v>
      </c>
      <c r="B952" s="9">
        <f t="shared" ca="1" si="183"/>
        <v>1467</v>
      </c>
      <c r="C952" s="10">
        <f t="shared" ca="1" si="184"/>
        <v>0</v>
      </c>
      <c r="D952" s="11">
        <f t="shared" ca="1" si="192"/>
        <v>0.90023639980555148</v>
      </c>
      <c r="E952" s="9">
        <f t="shared" ca="1" si="193"/>
        <v>464</v>
      </c>
      <c r="F952" s="9">
        <f t="shared" ca="1" si="185"/>
        <v>1003</v>
      </c>
      <c r="G952" s="12" t="str">
        <f t="shared" ca="1" si="186"/>
        <v>No</v>
      </c>
      <c r="H952" s="12">
        <f t="shared" ca="1" si="194"/>
        <v>0</v>
      </c>
      <c r="I952" s="10">
        <f t="shared" ca="1" si="187"/>
        <v>0</v>
      </c>
      <c r="J952" s="13">
        <f t="shared" ca="1" si="188"/>
        <v>0</v>
      </c>
      <c r="K952" s="14">
        <f t="shared" ca="1" si="189"/>
        <v>200.60000000000002</v>
      </c>
      <c r="L952" s="14">
        <f t="shared" ca="1" si="190"/>
        <v>0</v>
      </c>
      <c r="M952" s="15">
        <f t="shared" ca="1" si="191"/>
        <v>200.60000000000002</v>
      </c>
      <c r="N952" s="16">
        <f ca="1">SUM($M$9:M952)/A952</f>
        <v>337.73516949152565</v>
      </c>
      <c r="O952" s="6"/>
    </row>
    <row r="953" spans="1:15" x14ac:dyDescent="0.25">
      <c r="A953" s="8">
        <v>945</v>
      </c>
      <c r="B953" s="9">
        <f t="shared" ca="1" si="183"/>
        <v>1003</v>
      </c>
      <c r="C953" s="10">
        <f t="shared" ca="1" si="184"/>
        <v>0</v>
      </c>
      <c r="D953" s="11">
        <f t="shared" ca="1" si="192"/>
        <v>0.70816160750492241</v>
      </c>
      <c r="E953" s="9">
        <f t="shared" ca="1" si="193"/>
        <v>427</v>
      </c>
      <c r="F953" s="9">
        <f t="shared" ca="1" si="185"/>
        <v>576</v>
      </c>
      <c r="G953" s="12" t="str">
        <f t="shared" ca="1" si="186"/>
        <v>Yes</v>
      </c>
      <c r="H953" s="12">
        <f t="shared" ca="1" si="194"/>
        <v>0.51428378680138243</v>
      </c>
      <c r="I953" s="10">
        <f t="shared" ca="1" si="187"/>
        <v>1</v>
      </c>
      <c r="J953" s="13">
        <f t="shared" ca="1" si="188"/>
        <v>300</v>
      </c>
      <c r="K953" s="14">
        <f t="shared" ca="1" si="189"/>
        <v>115.2</v>
      </c>
      <c r="L953" s="14">
        <f t="shared" ca="1" si="190"/>
        <v>0</v>
      </c>
      <c r="M953" s="15">
        <f t="shared" ca="1" si="191"/>
        <v>415.2</v>
      </c>
      <c r="N953" s="16">
        <f ca="1">SUM($M$9:M953)/A953</f>
        <v>337.8171428571431</v>
      </c>
      <c r="O953" s="6"/>
    </row>
    <row r="954" spans="1:15" x14ac:dyDescent="0.25">
      <c r="A954" s="8">
        <v>946</v>
      </c>
      <c r="B954" s="9">
        <f t="shared" ca="1" si="183"/>
        <v>2376</v>
      </c>
      <c r="C954" s="10">
        <f t="shared" ca="1" si="184"/>
        <v>1800</v>
      </c>
      <c r="D954" s="11">
        <f t="shared" ca="1" si="192"/>
        <v>1.0888374014696556E-2</v>
      </c>
      <c r="E954" s="9">
        <f t="shared" ca="1" si="193"/>
        <v>285</v>
      </c>
      <c r="F954" s="9">
        <f t="shared" ca="1" si="185"/>
        <v>2091</v>
      </c>
      <c r="G954" s="12" t="str">
        <f t="shared" ca="1" si="186"/>
        <v>No</v>
      </c>
      <c r="H954" s="12">
        <f t="shared" ca="1" si="194"/>
        <v>0</v>
      </c>
      <c r="I954" s="10">
        <f t="shared" ca="1" si="187"/>
        <v>0</v>
      </c>
      <c r="J954" s="13">
        <f t="shared" ca="1" si="188"/>
        <v>0</v>
      </c>
      <c r="K954" s="14">
        <f t="shared" ca="1" si="189"/>
        <v>418.20000000000005</v>
      </c>
      <c r="L954" s="14">
        <f t="shared" ca="1" si="190"/>
        <v>0</v>
      </c>
      <c r="M954" s="15">
        <f t="shared" ca="1" si="191"/>
        <v>418.20000000000005</v>
      </c>
      <c r="N954" s="16">
        <f ca="1">SUM($M$9:M954)/A954</f>
        <v>337.90211416490513</v>
      </c>
      <c r="O954" s="6"/>
    </row>
    <row r="955" spans="1:15" x14ac:dyDescent="0.25">
      <c r="A955" s="8">
        <v>947</v>
      </c>
      <c r="B955" s="9">
        <f t="shared" ca="1" si="183"/>
        <v>2091</v>
      </c>
      <c r="C955" s="10">
        <f t="shared" ca="1" si="184"/>
        <v>0</v>
      </c>
      <c r="D955" s="11">
        <f t="shared" ca="1" si="192"/>
        <v>0.45474094689847355</v>
      </c>
      <c r="E955" s="9">
        <f t="shared" ca="1" si="193"/>
        <v>394</v>
      </c>
      <c r="F955" s="9">
        <f t="shared" ca="1" si="185"/>
        <v>1697</v>
      </c>
      <c r="G955" s="12" t="str">
        <f t="shared" ca="1" si="186"/>
        <v>No</v>
      </c>
      <c r="H955" s="12">
        <f t="shared" ca="1" si="194"/>
        <v>0</v>
      </c>
      <c r="I955" s="10">
        <f t="shared" ca="1" si="187"/>
        <v>0</v>
      </c>
      <c r="J955" s="13">
        <f t="shared" ca="1" si="188"/>
        <v>0</v>
      </c>
      <c r="K955" s="14">
        <f t="shared" ca="1" si="189"/>
        <v>339.40000000000003</v>
      </c>
      <c r="L955" s="14">
        <f t="shared" ca="1" si="190"/>
        <v>0</v>
      </c>
      <c r="M955" s="15">
        <f t="shared" ca="1" si="191"/>
        <v>339.40000000000003</v>
      </c>
      <c r="N955" s="16">
        <f ca="1">SUM($M$9:M955)/A955</f>
        <v>337.90369588173206</v>
      </c>
      <c r="O955" s="6"/>
    </row>
    <row r="956" spans="1:15" x14ac:dyDescent="0.25">
      <c r="A956" s="8">
        <v>948</v>
      </c>
      <c r="B956" s="9">
        <f t="shared" ca="1" si="183"/>
        <v>1697</v>
      </c>
      <c r="C956" s="10">
        <f t="shared" ca="1" si="184"/>
        <v>0</v>
      </c>
      <c r="D956" s="11">
        <f t="shared" ca="1" si="192"/>
        <v>0.52570061517591515</v>
      </c>
      <c r="E956" s="9">
        <f t="shared" ca="1" si="193"/>
        <v>403</v>
      </c>
      <c r="F956" s="9">
        <f t="shared" ca="1" si="185"/>
        <v>1294</v>
      </c>
      <c r="G956" s="12" t="str">
        <f t="shared" ca="1" si="186"/>
        <v>No</v>
      </c>
      <c r="H956" s="12">
        <f t="shared" ca="1" si="194"/>
        <v>0</v>
      </c>
      <c r="I956" s="10">
        <f t="shared" ca="1" si="187"/>
        <v>0</v>
      </c>
      <c r="J956" s="13">
        <f t="shared" ca="1" si="188"/>
        <v>0</v>
      </c>
      <c r="K956" s="14">
        <f t="shared" ca="1" si="189"/>
        <v>258.8</v>
      </c>
      <c r="L956" s="14">
        <f t="shared" ca="1" si="190"/>
        <v>0</v>
      </c>
      <c r="M956" s="15">
        <f t="shared" ca="1" si="191"/>
        <v>258.8</v>
      </c>
      <c r="N956" s="16">
        <f ca="1">SUM($M$9:M956)/A956</f>
        <v>337.82025316455724</v>
      </c>
      <c r="O956" s="6"/>
    </row>
    <row r="957" spans="1:15" x14ac:dyDescent="0.25">
      <c r="A957" s="8">
        <v>949</v>
      </c>
      <c r="B957" s="9">
        <f t="shared" ref="B957:B1020" ca="1" si="195">IF(I956=1,F956+Quantity,F956)</f>
        <v>1294</v>
      </c>
      <c r="C957" s="10">
        <f t="shared" ref="C957:C1020" ca="1" si="196">IF(I956=1,Quantity,0)</f>
        <v>0</v>
      </c>
      <c r="D957" s="11">
        <f t="shared" ca="1" si="192"/>
        <v>0.98974492848337414</v>
      </c>
      <c r="E957" s="9">
        <f t="shared" ca="1" si="193"/>
        <v>515</v>
      </c>
      <c r="F957" s="9">
        <f t="shared" ref="F957:F1020" ca="1" si="197">IF(B957+C957-E957&lt;0,0,B957-E957)</f>
        <v>779</v>
      </c>
      <c r="G957" s="12" t="str">
        <f t="shared" ref="G957:G1020" ca="1" si="198">IF(B957&lt;Point,IF(I956=0,"Yes","No"),"No")</f>
        <v>Yes</v>
      </c>
      <c r="H957" s="12">
        <f t="shared" ca="1" si="194"/>
        <v>0.29517277023337485</v>
      </c>
      <c r="I957" s="10">
        <f t="shared" ref="I957:I1020" ca="1" si="199">IF(I956&gt;0,I956-1,(IF(G957="Yes",(VLOOKUP(H957,LTD,3)),0)))</f>
        <v>1</v>
      </c>
      <c r="J957" s="13">
        <f t="shared" ref="J957:J1020" ca="1" si="200">IF(G957="Yes",Order_Cost,0)</f>
        <v>300</v>
      </c>
      <c r="K957" s="14">
        <f t="shared" ref="K957:K1020" ca="1" si="201">F957*Holding_Cost</f>
        <v>155.80000000000001</v>
      </c>
      <c r="L957" s="14">
        <f t="shared" ref="L957:L1020" ca="1" si="202">IF(B957+C957&lt;E957,Shortage_Cost*(E957-B957-C957),0)</f>
        <v>0</v>
      </c>
      <c r="M957" s="15">
        <f t="shared" ref="M957:M1020" ca="1" si="203">SUM(J957:L957)</f>
        <v>455.8</v>
      </c>
      <c r="N957" s="16">
        <f ca="1">SUM($M$9:M957)/A957</f>
        <v>337.94457323498449</v>
      </c>
      <c r="O957" s="6"/>
    </row>
    <row r="958" spans="1:15" x14ac:dyDescent="0.25">
      <c r="A958" s="8">
        <v>950</v>
      </c>
      <c r="B958" s="9">
        <f t="shared" ca="1" si="195"/>
        <v>2579</v>
      </c>
      <c r="C958" s="10">
        <f t="shared" ca="1" si="196"/>
        <v>1800</v>
      </c>
      <c r="D958" s="11">
        <f t="shared" ca="1" si="192"/>
        <v>8.2417435477628143E-2</v>
      </c>
      <c r="E958" s="9">
        <f t="shared" ca="1" si="193"/>
        <v>330</v>
      </c>
      <c r="F958" s="9">
        <f t="shared" ca="1" si="197"/>
        <v>2249</v>
      </c>
      <c r="G958" s="12" t="str">
        <f t="shared" ca="1" si="198"/>
        <v>No</v>
      </c>
      <c r="H958" s="12">
        <f t="shared" ca="1" si="194"/>
        <v>0</v>
      </c>
      <c r="I958" s="10">
        <f t="shared" ca="1" si="199"/>
        <v>0</v>
      </c>
      <c r="J958" s="13">
        <f t="shared" ca="1" si="200"/>
        <v>0</v>
      </c>
      <c r="K958" s="14">
        <f t="shared" ca="1" si="201"/>
        <v>449.8</v>
      </c>
      <c r="L958" s="14">
        <f t="shared" ca="1" si="202"/>
        <v>0</v>
      </c>
      <c r="M958" s="15">
        <f t="shared" ca="1" si="203"/>
        <v>449.8</v>
      </c>
      <c r="N958" s="16">
        <f ca="1">SUM($M$9:M958)/A958</f>
        <v>338.06231578947393</v>
      </c>
      <c r="O958" s="6"/>
    </row>
    <row r="959" spans="1:15" x14ac:dyDescent="0.25">
      <c r="A959" s="8">
        <v>951</v>
      </c>
      <c r="B959" s="9">
        <f t="shared" ca="1" si="195"/>
        <v>2249</v>
      </c>
      <c r="C959" s="10">
        <f t="shared" ca="1" si="196"/>
        <v>0</v>
      </c>
      <c r="D959" s="11">
        <f t="shared" ca="1" si="192"/>
        <v>0.93835793782994981</v>
      </c>
      <c r="E959" s="9">
        <f t="shared" ca="1" si="193"/>
        <v>477</v>
      </c>
      <c r="F959" s="9">
        <f t="shared" ca="1" si="197"/>
        <v>1772</v>
      </c>
      <c r="G959" s="12" t="str">
        <f t="shared" ca="1" si="198"/>
        <v>No</v>
      </c>
      <c r="H959" s="12">
        <f t="shared" ca="1" si="194"/>
        <v>0</v>
      </c>
      <c r="I959" s="10">
        <f t="shared" ca="1" si="199"/>
        <v>0</v>
      </c>
      <c r="J959" s="13">
        <f t="shared" ca="1" si="200"/>
        <v>0</v>
      </c>
      <c r="K959" s="14">
        <f t="shared" ca="1" si="201"/>
        <v>354.40000000000003</v>
      </c>
      <c r="L959" s="14">
        <f t="shared" ca="1" si="202"/>
        <v>0</v>
      </c>
      <c r="M959" s="15">
        <f t="shared" ca="1" si="203"/>
        <v>354.40000000000003</v>
      </c>
      <c r="N959" s="16">
        <f ca="1">SUM($M$9:M959)/A959</f>
        <v>338.07949526813906</v>
      </c>
      <c r="O959" s="6"/>
    </row>
    <row r="960" spans="1:15" x14ac:dyDescent="0.25">
      <c r="A960" s="8">
        <v>952</v>
      </c>
      <c r="B960" s="9">
        <f t="shared" ca="1" si="195"/>
        <v>1772</v>
      </c>
      <c r="C960" s="10">
        <f t="shared" ca="1" si="196"/>
        <v>0</v>
      </c>
      <c r="D960" s="11">
        <f t="shared" ca="1" si="192"/>
        <v>0.11194987822843683</v>
      </c>
      <c r="E960" s="9">
        <f t="shared" ca="1" si="193"/>
        <v>339</v>
      </c>
      <c r="F960" s="9">
        <f t="shared" ca="1" si="197"/>
        <v>1433</v>
      </c>
      <c r="G960" s="12" t="str">
        <f t="shared" ca="1" si="198"/>
        <v>No</v>
      </c>
      <c r="H960" s="12">
        <f t="shared" ca="1" si="194"/>
        <v>0</v>
      </c>
      <c r="I960" s="10">
        <f t="shared" ca="1" si="199"/>
        <v>0</v>
      </c>
      <c r="J960" s="13">
        <f t="shared" ca="1" si="200"/>
        <v>0</v>
      </c>
      <c r="K960" s="14">
        <f t="shared" ca="1" si="201"/>
        <v>286.60000000000002</v>
      </c>
      <c r="L960" s="14">
        <f t="shared" ca="1" si="202"/>
        <v>0</v>
      </c>
      <c r="M960" s="15">
        <f t="shared" ca="1" si="203"/>
        <v>286.60000000000002</v>
      </c>
      <c r="N960" s="16">
        <f ca="1">SUM($M$9:M960)/A960</f>
        <v>338.02542016806746</v>
      </c>
      <c r="O960" s="6"/>
    </row>
    <row r="961" spans="1:15" x14ac:dyDescent="0.25">
      <c r="A961" s="8">
        <v>953</v>
      </c>
      <c r="B961" s="9">
        <f t="shared" ca="1" si="195"/>
        <v>1433</v>
      </c>
      <c r="C961" s="10">
        <f t="shared" ca="1" si="196"/>
        <v>0</v>
      </c>
      <c r="D961" s="11">
        <f t="shared" ca="1" si="192"/>
        <v>0.57604884352925101</v>
      </c>
      <c r="E961" s="9">
        <f t="shared" ca="1" si="193"/>
        <v>409</v>
      </c>
      <c r="F961" s="9">
        <f t="shared" ca="1" si="197"/>
        <v>1024</v>
      </c>
      <c r="G961" s="12" t="str">
        <f t="shared" ca="1" si="198"/>
        <v>No</v>
      </c>
      <c r="H961" s="12">
        <f t="shared" ca="1" si="194"/>
        <v>0</v>
      </c>
      <c r="I961" s="10">
        <f t="shared" ca="1" si="199"/>
        <v>0</v>
      </c>
      <c r="J961" s="13">
        <f t="shared" ca="1" si="200"/>
        <v>0</v>
      </c>
      <c r="K961" s="14">
        <f t="shared" ca="1" si="201"/>
        <v>204.8</v>
      </c>
      <c r="L961" s="14">
        <f t="shared" ca="1" si="202"/>
        <v>0</v>
      </c>
      <c r="M961" s="15">
        <f t="shared" ca="1" si="203"/>
        <v>204.8</v>
      </c>
      <c r="N961" s="16">
        <f ca="1">SUM($M$9:M961)/A961</f>
        <v>337.88562434417651</v>
      </c>
      <c r="O961" s="6"/>
    </row>
    <row r="962" spans="1:15" x14ac:dyDescent="0.25">
      <c r="A962" s="8">
        <v>954</v>
      </c>
      <c r="B962" s="9">
        <f t="shared" ca="1" si="195"/>
        <v>1024</v>
      </c>
      <c r="C962" s="10">
        <f t="shared" ca="1" si="196"/>
        <v>0</v>
      </c>
      <c r="D962" s="11">
        <f t="shared" ca="1" si="192"/>
        <v>0.24053539371670785</v>
      </c>
      <c r="E962" s="9">
        <f t="shared" ca="1" si="193"/>
        <v>364</v>
      </c>
      <c r="F962" s="9">
        <f t="shared" ca="1" si="197"/>
        <v>660</v>
      </c>
      <c r="G962" s="12" t="str">
        <f t="shared" ca="1" si="198"/>
        <v>Yes</v>
      </c>
      <c r="H962" s="12">
        <f t="shared" ca="1" si="194"/>
        <v>0.99571306177516017</v>
      </c>
      <c r="I962" s="10">
        <f t="shared" ca="1" si="199"/>
        <v>3</v>
      </c>
      <c r="J962" s="13">
        <f t="shared" ca="1" si="200"/>
        <v>300</v>
      </c>
      <c r="K962" s="14">
        <f t="shared" ca="1" si="201"/>
        <v>132</v>
      </c>
      <c r="L962" s="14">
        <f t="shared" ca="1" si="202"/>
        <v>0</v>
      </c>
      <c r="M962" s="15">
        <f t="shared" ca="1" si="203"/>
        <v>432</v>
      </c>
      <c r="N962" s="16">
        <f ca="1">SUM($M$9:M962)/A962</f>
        <v>337.98427672956001</v>
      </c>
      <c r="O962" s="6"/>
    </row>
    <row r="963" spans="1:15" x14ac:dyDescent="0.25">
      <c r="A963" s="8">
        <v>955</v>
      </c>
      <c r="B963" s="9">
        <f t="shared" ca="1" si="195"/>
        <v>660</v>
      </c>
      <c r="C963" s="10">
        <f t="shared" ca="1" si="196"/>
        <v>0</v>
      </c>
      <c r="D963" s="11">
        <f t="shared" ca="1" si="192"/>
        <v>0.6890337150804785</v>
      </c>
      <c r="E963" s="9">
        <f t="shared" ca="1" si="193"/>
        <v>424</v>
      </c>
      <c r="F963" s="9">
        <f t="shared" ca="1" si="197"/>
        <v>236</v>
      </c>
      <c r="G963" s="12" t="str">
        <f t="shared" ca="1" si="198"/>
        <v>No</v>
      </c>
      <c r="H963" s="12">
        <f t="shared" ca="1" si="194"/>
        <v>0</v>
      </c>
      <c r="I963" s="10">
        <f t="shared" ca="1" si="199"/>
        <v>2</v>
      </c>
      <c r="J963" s="13">
        <f t="shared" ca="1" si="200"/>
        <v>0</v>
      </c>
      <c r="K963" s="14">
        <f t="shared" ca="1" si="201"/>
        <v>47.2</v>
      </c>
      <c r="L963" s="14">
        <f t="shared" ca="1" si="202"/>
        <v>0</v>
      </c>
      <c r="M963" s="15">
        <f t="shared" ca="1" si="203"/>
        <v>47.2</v>
      </c>
      <c r="N963" s="16">
        <f ca="1">SUM($M$9:M963)/A963</f>
        <v>337.67979057591651</v>
      </c>
      <c r="O963" s="6"/>
    </row>
    <row r="964" spans="1:15" x14ac:dyDescent="0.25">
      <c r="A964" s="8">
        <v>956</v>
      </c>
      <c r="B964" s="9">
        <f t="shared" ca="1" si="195"/>
        <v>236</v>
      </c>
      <c r="C964" s="10">
        <f t="shared" ca="1" si="196"/>
        <v>0</v>
      </c>
      <c r="D964" s="11">
        <f t="shared" ca="1" si="192"/>
        <v>0.45926908100799846</v>
      </c>
      <c r="E964" s="9">
        <f t="shared" ca="1" si="193"/>
        <v>394</v>
      </c>
      <c r="F964" s="9">
        <f t="shared" ca="1" si="197"/>
        <v>0</v>
      </c>
      <c r="G964" s="12" t="str">
        <f t="shared" ca="1" si="198"/>
        <v>No</v>
      </c>
      <c r="H964" s="12">
        <f t="shared" ca="1" si="194"/>
        <v>0</v>
      </c>
      <c r="I964" s="10">
        <f t="shared" ca="1" si="199"/>
        <v>1</v>
      </c>
      <c r="J964" s="13">
        <f t="shared" ca="1" si="200"/>
        <v>0</v>
      </c>
      <c r="K964" s="14">
        <f t="shared" ca="1" si="201"/>
        <v>0</v>
      </c>
      <c r="L964" s="14">
        <f t="shared" ca="1" si="202"/>
        <v>316</v>
      </c>
      <c r="M964" s="15">
        <f t="shared" ca="1" si="203"/>
        <v>316</v>
      </c>
      <c r="N964" s="16">
        <f ca="1">SUM($M$9:M964)/A964</f>
        <v>337.65711297071158</v>
      </c>
      <c r="O964" s="6"/>
    </row>
    <row r="965" spans="1:15" x14ac:dyDescent="0.25">
      <c r="A965" s="8">
        <v>957</v>
      </c>
      <c r="B965" s="9">
        <f t="shared" ca="1" si="195"/>
        <v>1800</v>
      </c>
      <c r="C965" s="10">
        <f t="shared" ca="1" si="196"/>
        <v>1800</v>
      </c>
      <c r="D965" s="11">
        <f t="shared" ca="1" si="192"/>
        <v>0.32947371546375581</v>
      </c>
      <c r="E965" s="9">
        <f t="shared" ca="1" si="193"/>
        <v>377</v>
      </c>
      <c r="F965" s="9">
        <f t="shared" ca="1" si="197"/>
        <v>1423</v>
      </c>
      <c r="G965" s="12" t="str">
        <f t="shared" ca="1" si="198"/>
        <v>No</v>
      </c>
      <c r="H965" s="12">
        <f t="shared" ca="1" si="194"/>
        <v>0</v>
      </c>
      <c r="I965" s="10">
        <f t="shared" ca="1" si="199"/>
        <v>0</v>
      </c>
      <c r="J965" s="13">
        <f t="shared" ca="1" si="200"/>
        <v>0</v>
      </c>
      <c r="K965" s="14">
        <f t="shared" ca="1" si="201"/>
        <v>284.60000000000002</v>
      </c>
      <c r="L965" s="14">
        <f t="shared" ca="1" si="202"/>
        <v>0</v>
      </c>
      <c r="M965" s="15">
        <f t="shared" ca="1" si="203"/>
        <v>284.60000000000002</v>
      </c>
      <c r="N965" s="16">
        <f ca="1">SUM($M$9:M965)/A965</f>
        <v>337.60167189132727</v>
      </c>
      <c r="O965" s="6"/>
    </row>
    <row r="966" spans="1:15" x14ac:dyDescent="0.25">
      <c r="A966" s="8">
        <v>958</v>
      </c>
      <c r="B966" s="9">
        <f t="shared" ca="1" si="195"/>
        <v>1423</v>
      </c>
      <c r="C966" s="10">
        <f t="shared" ca="1" si="196"/>
        <v>0</v>
      </c>
      <c r="D966" s="11">
        <f t="shared" ca="1" si="192"/>
        <v>0.23965680323884186</v>
      </c>
      <c r="E966" s="9">
        <f t="shared" ca="1" si="193"/>
        <v>364</v>
      </c>
      <c r="F966" s="9">
        <f t="shared" ca="1" si="197"/>
        <v>1059</v>
      </c>
      <c r="G966" s="12" t="str">
        <f t="shared" ca="1" si="198"/>
        <v>No</v>
      </c>
      <c r="H966" s="12">
        <f t="shared" ca="1" si="194"/>
        <v>0</v>
      </c>
      <c r="I966" s="10">
        <f t="shared" ca="1" si="199"/>
        <v>0</v>
      </c>
      <c r="J966" s="13">
        <f t="shared" ca="1" si="200"/>
        <v>0</v>
      </c>
      <c r="K966" s="14">
        <f t="shared" ca="1" si="201"/>
        <v>211.8</v>
      </c>
      <c r="L966" s="14">
        <f t="shared" ca="1" si="202"/>
        <v>0</v>
      </c>
      <c r="M966" s="15">
        <f t="shared" ca="1" si="203"/>
        <v>211.8</v>
      </c>
      <c r="N966" s="16">
        <f ca="1">SUM($M$9:M966)/A966</f>
        <v>337.47035490605452</v>
      </c>
      <c r="O966" s="6"/>
    </row>
    <row r="967" spans="1:15" x14ac:dyDescent="0.25">
      <c r="A967" s="8">
        <v>959</v>
      </c>
      <c r="B967" s="9">
        <f t="shared" ca="1" si="195"/>
        <v>1059</v>
      </c>
      <c r="C967" s="10">
        <f t="shared" ca="1" si="196"/>
        <v>0</v>
      </c>
      <c r="D967" s="11">
        <f t="shared" ca="1" si="192"/>
        <v>0.31637245737599473</v>
      </c>
      <c r="E967" s="9">
        <f t="shared" ca="1" si="193"/>
        <v>376</v>
      </c>
      <c r="F967" s="9">
        <f t="shared" ca="1" si="197"/>
        <v>683</v>
      </c>
      <c r="G967" s="12" t="str">
        <f t="shared" ca="1" si="198"/>
        <v>Yes</v>
      </c>
      <c r="H967" s="12">
        <f t="shared" ca="1" si="194"/>
        <v>0.39339223965470704</v>
      </c>
      <c r="I967" s="10">
        <f t="shared" ca="1" si="199"/>
        <v>1</v>
      </c>
      <c r="J967" s="13">
        <f t="shared" ca="1" si="200"/>
        <v>300</v>
      </c>
      <c r="K967" s="14">
        <f t="shared" ca="1" si="201"/>
        <v>136.6</v>
      </c>
      <c r="L967" s="14">
        <f t="shared" ca="1" si="202"/>
        <v>0</v>
      </c>
      <c r="M967" s="15">
        <f t="shared" ca="1" si="203"/>
        <v>436.6</v>
      </c>
      <c r="N967" s="16">
        <f ca="1">SUM($M$9:M967)/A967</f>
        <v>337.57372262773742</v>
      </c>
      <c r="O967" s="6"/>
    </row>
    <row r="968" spans="1:15" x14ac:dyDescent="0.25">
      <c r="A968" s="8">
        <v>960</v>
      </c>
      <c r="B968" s="9">
        <f t="shared" ca="1" si="195"/>
        <v>2483</v>
      </c>
      <c r="C968" s="10">
        <f t="shared" ca="1" si="196"/>
        <v>1800</v>
      </c>
      <c r="D968" s="11">
        <f t="shared" ca="1" si="192"/>
        <v>0.25978354561120554</v>
      </c>
      <c r="E968" s="9">
        <f t="shared" ca="1" si="193"/>
        <v>367</v>
      </c>
      <c r="F968" s="9">
        <f t="shared" ca="1" si="197"/>
        <v>2116</v>
      </c>
      <c r="G968" s="12" t="str">
        <f t="shared" ca="1" si="198"/>
        <v>No</v>
      </c>
      <c r="H968" s="12">
        <f t="shared" ca="1" si="194"/>
        <v>0</v>
      </c>
      <c r="I968" s="10">
        <f t="shared" ca="1" si="199"/>
        <v>0</v>
      </c>
      <c r="J968" s="13">
        <f t="shared" ca="1" si="200"/>
        <v>0</v>
      </c>
      <c r="K968" s="14">
        <f t="shared" ca="1" si="201"/>
        <v>423.20000000000005</v>
      </c>
      <c r="L968" s="14">
        <f t="shared" ca="1" si="202"/>
        <v>0</v>
      </c>
      <c r="M968" s="15">
        <f t="shared" ca="1" si="203"/>
        <v>423.20000000000005</v>
      </c>
      <c r="N968" s="16">
        <f ca="1">SUM($M$9:M968)/A968</f>
        <v>337.66291666666689</v>
      </c>
      <c r="O968" s="6"/>
    </row>
    <row r="969" spans="1:15" x14ac:dyDescent="0.25">
      <c r="A969" s="8">
        <v>961</v>
      </c>
      <c r="B969" s="9">
        <f t="shared" ca="1" si="195"/>
        <v>2116</v>
      </c>
      <c r="C969" s="10">
        <f t="shared" ca="1" si="196"/>
        <v>0</v>
      </c>
      <c r="D969" s="11">
        <f t="shared" ca="1" si="192"/>
        <v>0.27933248436560554</v>
      </c>
      <c r="E969" s="9">
        <f t="shared" ca="1" si="193"/>
        <v>370</v>
      </c>
      <c r="F969" s="9">
        <f t="shared" ca="1" si="197"/>
        <v>1746</v>
      </c>
      <c r="G969" s="12" t="str">
        <f t="shared" ca="1" si="198"/>
        <v>No</v>
      </c>
      <c r="H969" s="12">
        <f t="shared" ca="1" si="194"/>
        <v>0</v>
      </c>
      <c r="I969" s="10">
        <f t="shared" ca="1" si="199"/>
        <v>0</v>
      </c>
      <c r="J969" s="13">
        <f t="shared" ca="1" si="200"/>
        <v>0</v>
      </c>
      <c r="K969" s="14">
        <f t="shared" ca="1" si="201"/>
        <v>349.20000000000005</v>
      </c>
      <c r="L969" s="14">
        <f t="shared" ca="1" si="202"/>
        <v>0</v>
      </c>
      <c r="M969" s="15">
        <f t="shared" ca="1" si="203"/>
        <v>349.20000000000005</v>
      </c>
      <c r="N969" s="16">
        <f ca="1">SUM($M$9:M969)/A969</f>
        <v>337.67492195629575</v>
      </c>
      <c r="O969" s="6"/>
    </row>
    <row r="970" spans="1:15" x14ac:dyDescent="0.25">
      <c r="A970" s="8">
        <v>962</v>
      </c>
      <c r="B970" s="9">
        <f t="shared" ca="1" si="195"/>
        <v>1746</v>
      </c>
      <c r="C970" s="10">
        <f t="shared" ca="1" si="196"/>
        <v>0</v>
      </c>
      <c r="D970" s="11">
        <f t="shared" ref="D970:D1033" ca="1" si="204">RAND()</f>
        <v>0.12223160893490503</v>
      </c>
      <c r="E970" s="9">
        <f t="shared" ref="E970:E1033" ca="1" si="205">INT(NORMINV(D970,D_Mean,D_StdDev))</f>
        <v>341</v>
      </c>
      <c r="F970" s="9">
        <f t="shared" ca="1" si="197"/>
        <v>1405</v>
      </c>
      <c r="G970" s="12" t="str">
        <f t="shared" ca="1" si="198"/>
        <v>No</v>
      </c>
      <c r="H970" s="12">
        <f t="shared" ref="H970:H1033" ca="1" si="206">IF(G970="Yes",RAND(),0)</f>
        <v>0</v>
      </c>
      <c r="I970" s="10">
        <f t="shared" ca="1" si="199"/>
        <v>0</v>
      </c>
      <c r="J970" s="13">
        <f t="shared" ca="1" si="200"/>
        <v>0</v>
      </c>
      <c r="K970" s="14">
        <f t="shared" ca="1" si="201"/>
        <v>281</v>
      </c>
      <c r="L970" s="14">
        <f t="shared" ca="1" si="202"/>
        <v>0</v>
      </c>
      <c r="M970" s="15">
        <f t="shared" ca="1" si="203"/>
        <v>281</v>
      </c>
      <c r="N970" s="16">
        <f ca="1">SUM($M$9:M970)/A970</f>
        <v>337.61600831600856</v>
      </c>
      <c r="O970" s="6"/>
    </row>
    <row r="971" spans="1:15" x14ac:dyDescent="0.25">
      <c r="A971" s="8">
        <v>963</v>
      </c>
      <c r="B971" s="9">
        <f t="shared" ca="1" si="195"/>
        <v>1405</v>
      </c>
      <c r="C971" s="10">
        <f t="shared" ca="1" si="196"/>
        <v>0</v>
      </c>
      <c r="D971" s="11">
        <f t="shared" ca="1" si="204"/>
        <v>0.80114870655405246</v>
      </c>
      <c r="E971" s="9">
        <f t="shared" ca="1" si="205"/>
        <v>442</v>
      </c>
      <c r="F971" s="9">
        <f t="shared" ca="1" si="197"/>
        <v>963</v>
      </c>
      <c r="G971" s="12" t="str">
        <f t="shared" ca="1" si="198"/>
        <v>No</v>
      </c>
      <c r="H971" s="12">
        <f t="shared" ca="1" si="206"/>
        <v>0</v>
      </c>
      <c r="I971" s="10">
        <f t="shared" ca="1" si="199"/>
        <v>0</v>
      </c>
      <c r="J971" s="13">
        <f t="shared" ca="1" si="200"/>
        <v>0</v>
      </c>
      <c r="K971" s="14">
        <f t="shared" ca="1" si="201"/>
        <v>192.60000000000002</v>
      </c>
      <c r="L971" s="14">
        <f t="shared" ca="1" si="202"/>
        <v>0</v>
      </c>
      <c r="M971" s="15">
        <f t="shared" ca="1" si="203"/>
        <v>192.60000000000002</v>
      </c>
      <c r="N971" s="16">
        <f ca="1">SUM($M$9:M971)/A971</f>
        <v>337.46542056074787</v>
      </c>
      <c r="O971" s="6"/>
    </row>
    <row r="972" spans="1:15" x14ac:dyDescent="0.25">
      <c r="A972" s="8">
        <v>964</v>
      </c>
      <c r="B972" s="9">
        <f t="shared" ca="1" si="195"/>
        <v>963</v>
      </c>
      <c r="C972" s="10">
        <f t="shared" ca="1" si="196"/>
        <v>0</v>
      </c>
      <c r="D972" s="11">
        <f t="shared" ca="1" si="204"/>
        <v>0.63456340404201927</v>
      </c>
      <c r="E972" s="9">
        <f t="shared" ca="1" si="205"/>
        <v>417</v>
      </c>
      <c r="F972" s="9">
        <f t="shared" ca="1" si="197"/>
        <v>546</v>
      </c>
      <c r="G972" s="12" t="str">
        <f t="shared" ca="1" si="198"/>
        <v>Yes</v>
      </c>
      <c r="H972" s="12">
        <f t="shared" ca="1" si="206"/>
        <v>0.89724565433491954</v>
      </c>
      <c r="I972" s="10">
        <f t="shared" ca="1" si="199"/>
        <v>2</v>
      </c>
      <c r="J972" s="13">
        <f t="shared" ca="1" si="200"/>
        <v>300</v>
      </c>
      <c r="K972" s="14">
        <f t="shared" ca="1" si="201"/>
        <v>109.2</v>
      </c>
      <c r="L972" s="14">
        <f t="shared" ca="1" si="202"/>
        <v>0</v>
      </c>
      <c r="M972" s="15">
        <f t="shared" ca="1" si="203"/>
        <v>409.2</v>
      </c>
      <c r="N972" s="16">
        <f ca="1">SUM($M$9:M972)/A972</f>
        <v>337.53983402489649</v>
      </c>
      <c r="O972" s="6"/>
    </row>
    <row r="973" spans="1:15" x14ac:dyDescent="0.25">
      <c r="A973" s="8">
        <v>965</v>
      </c>
      <c r="B973" s="9">
        <f t="shared" ca="1" si="195"/>
        <v>546</v>
      </c>
      <c r="C973" s="10">
        <f t="shared" ca="1" si="196"/>
        <v>0</v>
      </c>
      <c r="D973" s="11">
        <f t="shared" ca="1" si="204"/>
        <v>4.4314513136268996E-2</v>
      </c>
      <c r="E973" s="9">
        <f t="shared" ca="1" si="205"/>
        <v>314</v>
      </c>
      <c r="F973" s="9">
        <f t="shared" ca="1" si="197"/>
        <v>232</v>
      </c>
      <c r="G973" s="12" t="str">
        <f t="shared" ca="1" si="198"/>
        <v>No</v>
      </c>
      <c r="H973" s="12">
        <f t="shared" ca="1" si="206"/>
        <v>0</v>
      </c>
      <c r="I973" s="10">
        <f t="shared" ca="1" si="199"/>
        <v>1</v>
      </c>
      <c r="J973" s="13">
        <f t="shared" ca="1" si="200"/>
        <v>0</v>
      </c>
      <c r="K973" s="14">
        <f t="shared" ca="1" si="201"/>
        <v>46.400000000000006</v>
      </c>
      <c r="L973" s="14">
        <f t="shared" ca="1" si="202"/>
        <v>0</v>
      </c>
      <c r="M973" s="15">
        <f t="shared" ca="1" si="203"/>
        <v>46.400000000000006</v>
      </c>
      <c r="N973" s="16">
        <f ca="1">SUM($M$9:M973)/A973</f>
        <v>337.23813471502615</v>
      </c>
      <c r="O973" s="6"/>
    </row>
    <row r="974" spans="1:15" x14ac:dyDescent="0.25">
      <c r="A974" s="8">
        <v>966</v>
      </c>
      <c r="B974" s="9">
        <f t="shared" ca="1" si="195"/>
        <v>2032</v>
      </c>
      <c r="C974" s="10">
        <f t="shared" ca="1" si="196"/>
        <v>1800</v>
      </c>
      <c r="D974" s="11">
        <f t="shared" ca="1" si="204"/>
        <v>0.67160885400540316</v>
      </c>
      <c r="E974" s="9">
        <f t="shared" ca="1" si="205"/>
        <v>422</v>
      </c>
      <c r="F974" s="9">
        <f t="shared" ca="1" si="197"/>
        <v>1610</v>
      </c>
      <c r="G974" s="12" t="str">
        <f t="shared" ca="1" si="198"/>
        <v>No</v>
      </c>
      <c r="H974" s="12">
        <f t="shared" ca="1" si="206"/>
        <v>0</v>
      </c>
      <c r="I974" s="10">
        <f t="shared" ca="1" si="199"/>
        <v>0</v>
      </c>
      <c r="J974" s="13">
        <f t="shared" ca="1" si="200"/>
        <v>0</v>
      </c>
      <c r="K974" s="14">
        <f t="shared" ca="1" si="201"/>
        <v>322</v>
      </c>
      <c r="L974" s="14">
        <f t="shared" ca="1" si="202"/>
        <v>0</v>
      </c>
      <c r="M974" s="15">
        <f t="shared" ca="1" si="203"/>
        <v>322</v>
      </c>
      <c r="N974" s="16">
        <f ca="1">SUM($M$9:M974)/A974</f>
        <v>337.22236024844744</v>
      </c>
      <c r="O974" s="6"/>
    </row>
    <row r="975" spans="1:15" x14ac:dyDescent="0.25">
      <c r="A975" s="8">
        <v>967</v>
      </c>
      <c r="B975" s="9">
        <f t="shared" ca="1" si="195"/>
        <v>1610</v>
      </c>
      <c r="C975" s="10">
        <f t="shared" ca="1" si="196"/>
        <v>0</v>
      </c>
      <c r="D975" s="11">
        <f t="shared" ca="1" si="204"/>
        <v>1.4889718597061896E-2</v>
      </c>
      <c r="E975" s="9">
        <f t="shared" ca="1" si="205"/>
        <v>291</v>
      </c>
      <c r="F975" s="9">
        <f t="shared" ca="1" si="197"/>
        <v>1319</v>
      </c>
      <c r="G975" s="12" t="str">
        <f t="shared" ca="1" si="198"/>
        <v>No</v>
      </c>
      <c r="H975" s="12">
        <f t="shared" ca="1" si="206"/>
        <v>0</v>
      </c>
      <c r="I975" s="10">
        <f t="shared" ca="1" si="199"/>
        <v>0</v>
      </c>
      <c r="J975" s="13">
        <f t="shared" ca="1" si="200"/>
        <v>0</v>
      </c>
      <c r="K975" s="14">
        <f t="shared" ca="1" si="201"/>
        <v>263.8</v>
      </c>
      <c r="L975" s="14">
        <f t="shared" ca="1" si="202"/>
        <v>0</v>
      </c>
      <c r="M975" s="15">
        <f t="shared" ca="1" si="203"/>
        <v>263.8</v>
      </c>
      <c r="N975" s="16">
        <f ca="1">SUM($M$9:M975)/A975</f>
        <v>337.14643226473652</v>
      </c>
      <c r="O975" s="6"/>
    </row>
    <row r="976" spans="1:15" x14ac:dyDescent="0.25">
      <c r="A976" s="8">
        <v>968</v>
      </c>
      <c r="B976" s="9">
        <f t="shared" ca="1" si="195"/>
        <v>1319</v>
      </c>
      <c r="C976" s="10">
        <f t="shared" ca="1" si="196"/>
        <v>0</v>
      </c>
      <c r="D976" s="11">
        <f t="shared" ca="1" si="204"/>
        <v>0.27143045336261507</v>
      </c>
      <c r="E976" s="9">
        <f t="shared" ca="1" si="205"/>
        <v>369</v>
      </c>
      <c r="F976" s="9">
        <f t="shared" ca="1" si="197"/>
        <v>950</v>
      </c>
      <c r="G976" s="12" t="str">
        <f t="shared" ca="1" si="198"/>
        <v>Yes</v>
      </c>
      <c r="H976" s="12">
        <f t="shared" ca="1" si="206"/>
        <v>0.59520900932248078</v>
      </c>
      <c r="I976" s="10">
        <f t="shared" ca="1" si="199"/>
        <v>1</v>
      </c>
      <c r="J976" s="13">
        <f t="shared" ca="1" si="200"/>
        <v>300</v>
      </c>
      <c r="K976" s="14">
        <f t="shared" ca="1" si="201"/>
        <v>190</v>
      </c>
      <c r="L976" s="14">
        <f t="shared" ca="1" si="202"/>
        <v>0</v>
      </c>
      <c r="M976" s="15">
        <f t="shared" ca="1" si="203"/>
        <v>490</v>
      </c>
      <c r="N976" s="16">
        <f ca="1">SUM($M$9:M976)/A976</f>
        <v>337.30433884297543</v>
      </c>
      <c r="O976" s="6"/>
    </row>
    <row r="977" spans="1:15" x14ac:dyDescent="0.25">
      <c r="A977" s="8">
        <v>969</v>
      </c>
      <c r="B977" s="9">
        <f t="shared" ca="1" si="195"/>
        <v>2750</v>
      </c>
      <c r="C977" s="10">
        <f t="shared" ca="1" si="196"/>
        <v>1800</v>
      </c>
      <c r="D977" s="11">
        <f t="shared" ca="1" si="204"/>
        <v>8.8915339819378159E-2</v>
      </c>
      <c r="E977" s="9">
        <f t="shared" ca="1" si="205"/>
        <v>332</v>
      </c>
      <c r="F977" s="9">
        <f t="shared" ca="1" si="197"/>
        <v>2418</v>
      </c>
      <c r="G977" s="12" t="str">
        <f t="shared" ca="1" si="198"/>
        <v>No</v>
      </c>
      <c r="H977" s="12">
        <f t="shared" ca="1" si="206"/>
        <v>0</v>
      </c>
      <c r="I977" s="10">
        <f t="shared" ca="1" si="199"/>
        <v>0</v>
      </c>
      <c r="J977" s="13">
        <f t="shared" ca="1" si="200"/>
        <v>0</v>
      </c>
      <c r="K977" s="14">
        <f t="shared" ca="1" si="201"/>
        <v>483.6</v>
      </c>
      <c r="L977" s="14">
        <f t="shared" ca="1" si="202"/>
        <v>0</v>
      </c>
      <c r="M977" s="15">
        <f t="shared" ca="1" si="203"/>
        <v>483.6</v>
      </c>
      <c r="N977" s="16">
        <f ca="1">SUM($M$9:M977)/A977</f>
        <v>337.45531475748214</v>
      </c>
      <c r="O977" s="6"/>
    </row>
    <row r="978" spans="1:15" x14ac:dyDescent="0.25">
      <c r="A978" s="8">
        <v>970</v>
      </c>
      <c r="B978" s="9">
        <f t="shared" ca="1" si="195"/>
        <v>2418</v>
      </c>
      <c r="C978" s="10">
        <f t="shared" ca="1" si="196"/>
        <v>0</v>
      </c>
      <c r="D978" s="11">
        <f t="shared" ca="1" si="204"/>
        <v>0.30606543407316278</v>
      </c>
      <c r="E978" s="9">
        <f t="shared" ca="1" si="205"/>
        <v>374</v>
      </c>
      <c r="F978" s="9">
        <f t="shared" ca="1" si="197"/>
        <v>2044</v>
      </c>
      <c r="G978" s="12" t="str">
        <f t="shared" ca="1" si="198"/>
        <v>No</v>
      </c>
      <c r="H978" s="12">
        <f t="shared" ca="1" si="206"/>
        <v>0</v>
      </c>
      <c r="I978" s="10">
        <f t="shared" ca="1" si="199"/>
        <v>0</v>
      </c>
      <c r="J978" s="13">
        <f t="shared" ca="1" si="200"/>
        <v>0</v>
      </c>
      <c r="K978" s="14">
        <f t="shared" ca="1" si="201"/>
        <v>408.8</v>
      </c>
      <c r="L978" s="14">
        <f t="shared" ca="1" si="202"/>
        <v>0</v>
      </c>
      <c r="M978" s="15">
        <f t="shared" ca="1" si="203"/>
        <v>408.8</v>
      </c>
      <c r="N978" s="16">
        <f ca="1">SUM($M$9:M978)/A978</f>
        <v>337.52886597938164</v>
      </c>
      <c r="O978" s="6"/>
    </row>
    <row r="979" spans="1:15" x14ac:dyDescent="0.25">
      <c r="A979" s="8">
        <v>971</v>
      </c>
      <c r="B979" s="9">
        <f t="shared" ca="1" si="195"/>
        <v>2044</v>
      </c>
      <c r="C979" s="10">
        <f t="shared" ca="1" si="196"/>
        <v>0</v>
      </c>
      <c r="D979" s="11">
        <f t="shared" ca="1" si="204"/>
        <v>0.78657643711236502</v>
      </c>
      <c r="E979" s="9">
        <f t="shared" ca="1" si="205"/>
        <v>439</v>
      </c>
      <c r="F979" s="9">
        <f t="shared" ca="1" si="197"/>
        <v>1605</v>
      </c>
      <c r="G979" s="12" t="str">
        <f t="shared" ca="1" si="198"/>
        <v>No</v>
      </c>
      <c r="H979" s="12">
        <f t="shared" ca="1" si="206"/>
        <v>0</v>
      </c>
      <c r="I979" s="10">
        <f t="shared" ca="1" si="199"/>
        <v>0</v>
      </c>
      <c r="J979" s="13">
        <f t="shared" ca="1" si="200"/>
        <v>0</v>
      </c>
      <c r="K979" s="14">
        <f t="shared" ca="1" si="201"/>
        <v>321</v>
      </c>
      <c r="L979" s="14">
        <f t="shared" ca="1" si="202"/>
        <v>0</v>
      </c>
      <c r="M979" s="15">
        <f t="shared" ca="1" si="203"/>
        <v>321</v>
      </c>
      <c r="N979" s="16">
        <f ca="1">SUM($M$9:M979)/A979</f>
        <v>337.51184346035035</v>
      </c>
      <c r="O979" s="6"/>
    </row>
    <row r="980" spans="1:15" x14ac:dyDescent="0.25">
      <c r="A980" s="8">
        <v>972</v>
      </c>
      <c r="B980" s="9">
        <f t="shared" ca="1" si="195"/>
        <v>1605</v>
      </c>
      <c r="C980" s="10">
        <f t="shared" ca="1" si="196"/>
        <v>0</v>
      </c>
      <c r="D980" s="11">
        <f t="shared" ca="1" si="204"/>
        <v>2.3131130689559853E-2</v>
      </c>
      <c r="E980" s="9">
        <f t="shared" ca="1" si="205"/>
        <v>300</v>
      </c>
      <c r="F980" s="9">
        <f t="shared" ca="1" si="197"/>
        <v>1305</v>
      </c>
      <c r="G980" s="12" t="str">
        <f t="shared" ca="1" si="198"/>
        <v>No</v>
      </c>
      <c r="H980" s="12">
        <f t="shared" ca="1" si="206"/>
        <v>0</v>
      </c>
      <c r="I980" s="10">
        <f t="shared" ca="1" si="199"/>
        <v>0</v>
      </c>
      <c r="J980" s="13">
        <f t="shared" ca="1" si="200"/>
        <v>0</v>
      </c>
      <c r="K980" s="14">
        <f t="shared" ca="1" si="201"/>
        <v>261</v>
      </c>
      <c r="L980" s="14">
        <f t="shared" ca="1" si="202"/>
        <v>0</v>
      </c>
      <c r="M980" s="15">
        <f t="shared" ca="1" si="203"/>
        <v>261</v>
      </c>
      <c r="N980" s="16">
        <f ca="1">SUM($M$9:M980)/A980</f>
        <v>337.43312757201664</v>
      </c>
      <c r="O980" s="6"/>
    </row>
    <row r="981" spans="1:15" x14ac:dyDescent="0.25">
      <c r="A981" s="8">
        <v>973</v>
      </c>
      <c r="B981" s="9">
        <f t="shared" ca="1" si="195"/>
        <v>1305</v>
      </c>
      <c r="C981" s="10">
        <f t="shared" ca="1" si="196"/>
        <v>0</v>
      </c>
      <c r="D981" s="11">
        <f t="shared" ca="1" si="204"/>
        <v>0.62600904583271899</v>
      </c>
      <c r="E981" s="9">
        <f t="shared" ca="1" si="205"/>
        <v>416</v>
      </c>
      <c r="F981" s="9">
        <f t="shared" ca="1" si="197"/>
        <v>889</v>
      </c>
      <c r="G981" s="12" t="str">
        <f t="shared" ca="1" si="198"/>
        <v>Yes</v>
      </c>
      <c r="H981" s="12">
        <f t="shared" ca="1" si="206"/>
        <v>0.66307403960377109</v>
      </c>
      <c r="I981" s="10">
        <f t="shared" ca="1" si="199"/>
        <v>1</v>
      </c>
      <c r="J981" s="13">
        <f t="shared" ca="1" si="200"/>
        <v>300</v>
      </c>
      <c r="K981" s="14">
        <f t="shared" ca="1" si="201"/>
        <v>177.8</v>
      </c>
      <c r="L981" s="14">
        <f t="shared" ca="1" si="202"/>
        <v>0</v>
      </c>
      <c r="M981" s="15">
        <f t="shared" ca="1" si="203"/>
        <v>477.8</v>
      </c>
      <c r="N981" s="16">
        <f ca="1">SUM($M$9:M981)/A981</f>
        <v>337.57738951695802</v>
      </c>
      <c r="O981" s="6"/>
    </row>
    <row r="982" spans="1:15" x14ac:dyDescent="0.25">
      <c r="A982" s="8">
        <v>974</v>
      </c>
      <c r="B982" s="9">
        <f t="shared" ca="1" si="195"/>
        <v>2689</v>
      </c>
      <c r="C982" s="10">
        <f t="shared" ca="1" si="196"/>
        <v>1800</v>
      </c>
      <c r="D982" s="11">
        <f t="shared" ca="1" si="204"/>
        <v>0.80972285091335772</v>
      </c>
      <c r="E982" s="9">
        <f t="shared" ca="1" si="205"/>
        <v>443</v>
      </c>
      <c r="F982" s="9">
        <f t="shared" ca="1" si="197"/>
        <v>2246</v>
      </c>
      <c r="G982" s="12" t="str">
        <f t="shared" ca="1" si="198"/>
        <v>No</v>
      </c>
      <c r="H982" s="12">
        <f t="shared" ca="1" si="206"/>
        <v>0</v>
      </c>
      <c r="I982" s="10">
        <f t="shared" ca="1" si="199"/>
        <v>0</v>
      </c>
      <c r="J982" s="13">
        <f t="shared" ca="1" si="200"/>
        <v>0</v>
      </c>
      <c r="K982" s="14">
        <f t="shared" ca="1" si="201"/>
        <v>449.20000000000005</v>
      </c>
      <c r="L982" s="14">
        <f t="shared" ca="1" si="202"/>
        <v>0</v>
      </c>
      <c r="M982" s="15">
        <f t="shared" ca="1" si="203"/>
        <v>449.20000000000005</v>
      </c>
      <c r="N982" s="16">
        <f ca="1">SUM($M$9:M982)/A982</f>
        <v>337.69199178644783</v>
      </c>
      <c r="O982" s="6"/>
    </row>
    <row r="983" spans="1:15" x14ac:dyDescent="0.25">
      <c r="A983" s="8">
        <v>975</v>
      </c>
      <c r="B983" s="9">
        <f t="shared" ca="1" si="195"/>
        <v>2246</v>
      </c>
      <c r="C983" s="10">
        <f t="shared" ca="1" si="196"/>
        <v>0</v>
      </c>
      <c r="D983" s="11">
        <f t="shared" ca="1" si="204"/>
        <v>0.17795525967943315</v>
      </c>
      <c r="E983" s="9">
        <f t="shared" ca="1" si="205"/>
        <v>353</v>
      </c>
      <c r="F983" s="9">
        <f t="shared" ca="1" si="197"/>
        <v>1893</v>
      </c>
      <c r="G983" s="12" t="str">
        <f t="shared" ca="1" si="198"/>
        <v>No</v>
      </c>
      <c r="H983" s="12">
        <f t="shared" ca="1" si="206"/>
        <v>0</v>
      </c>
      <c r="I983" s="10">
        <f t="shared" ca="1" si="199"/>
        <v>0</v>
      </c>
      <c r="J983" s="13">
        <f t="shared" ca="1" si="200"/>
        <v>0</v>
      </c>
      <c r="K983" s="14">
        <f t="shared" ca="1" si="201"/>
        <v>378.6</v>
      </c>
      <c r="L983" s="14">
        <f t="shared" ca="1" si="202"/>
        <v>0</v>
      </c>
      <c r="M983" s="15">
        <f t="shared" ca="1" si="203"/>
        <v>378.6</v>
      </c>
      <c r="N983" s="16">
        <f ca="1">SUM($M$9:M983)/A983</f>
        <v>337.73394871794886</v>
      </c>
      <c r="O983" s="6"/>
    </row>
    <row r="984" spans="1:15" x14ac:dyDescent="0.25">
      <c r="A984" s="8">
        <v>976</v>
      </c>
      <c r="B984" s="9">
        <f t="shared" ca="1" si="195"/>
        <v>1893</v>
      </c>
      <c r="C984" s="10">
        <f t="shared" ca="1" si="196"/>
        <v>0</v>
      </c>
      <c r="D984" s="11">
        <f t="shared" ca="1" si="204"/>
        <v>0.51322224983865539</v>
      </c>
      <c r="E984" s="9">
        <f t="shared" ca="1" si="205"/>
        <v>401</v>
      </c>
      <c r="F984" s="9">
        <f t="shared" ca="1" si="197"/>
        <v>1492</v>
      </c>
      <c r="G984" s="12" t="str">
        <f t="shared" ca="1" si="198"/>
        <v>No</v>
      </c>
      <c r="H984" s="12">
        <f t="shared" ca="1" si="206"/>
        <v>0</v>
      </c>
      <c r="I984" s="10">
        <f t="shared" ca="1" si="199"/>
        <v>0</v>
      </c>
      <c r="J984" s="13">
        <f t="shared" ca="1" si="200"/>
        <v>0</v>
      </c>
      <c r="K984" s="14">
        <f t="shared" ca="1" si="201"/>
        <v>298.40000000000003</v>
      </c>
      <c r="L984" s="14">
        <f t="shared" ca="1" si="202"/>
        <v>0</v>
      </c>
      <c r="M984" s="15">
        <f t="shared" ca="1" si="203"/>
        <v>298.40000000000003</v>
      </c>
      <c r="N984" s="16">
        <f ca="1">SUM($M$9:M984)/A984</f>
        <v>337.69364754098376</v>
      </c>
      <c r="O984" s="6"/>
    </row>
    <row r="985" spans="1:15" x14ac:dyDescent="0.25">
      <c r="A985" s="8">
        <v>977</v>
      </c>
      <c r="B985" s="9">
        <f t="shared" ca="1" si="195"/>
        <v>1492</v>
      </c>
      <c r="C985" s="10">
        <f t="shared" ca="1" si="196"/>
        <v>0</v>
      </c>
      <c r="D985" s="11">
        <f t="shared" ca="1" si="204"/>
        <v>0.38514373028531124</v>
      </c>
      <c r="E985" s="9">
        <f t="shared" ca="1" si="205"/>
        <v>385</v>
      </c>
      <c r="F985" s="9">
        <f t="shared" ca="1" si="197"/>
        <v>1107</v>
      </c>
      <c r="G985" s="12" t="str">
        <f t="shared" ca="1" si="198"/>
        <v>No</v>
      </c>
      <c r="H985" s="12">
        <f t="shared" ca="1" si="206"/>
        <v>0</v>
      </c>
      <c r="I985" s="10">
        <f t="shared" ca="1" si="199"/>
        <v>0</v>
      </c>
      <c r="J985" s="13">
        <f t="shared" ca="1" si="200"/>
        <v>0</v>
      </c>
      <c r="K985" s="14">
        <f t="shared" ca="1" si="201"/>
        <v>221.4</v>
      </c>
      <c r="L985" s="14">
        <f t="shared" ca="1" si="202"/>
        <v>0</v>
      </c>
      <c r="M985" s="15">
        <f t="shared" ca="1" si="203"/>
        <v>221.4</v>
      </c>
      <c r="N985" s="16">
        <f ca="1">SUM($M$9:M985)/A985</f>
        <v>337.57461617195514</v>
      </c>
      <c r="O985" s="6"/>
    </row>
    <row r="986" spans="1:15" x14ac:dyDescent="0.25">
      <c r="A986" s="8">
        <v>978</v>
      </c>
      <c r="B986" s="9">
        <f t="shared" ca="1" si="195"/>
        <v>1107</v>
      </c>
      <c r="C986" s="10">
        <f t="shared" ca="1" si="196"/>
        <v>0</v>
      </c>
      <c r="D986" s="11">
        <f t="shared" ca="1" si="204"/>
        <v>0.15227303443891116</v>
      </c>
      <c r="E986" s="9">
        <f t="shared" ca="1" si="205"/>
        <v>348</v>
      </c>
      <c r="F986" s="9">
        <f t="shared" ca="1" si="197"/>
        <v>759</v>
      </c>
      <c r="G986" s="12" t="str">
        <f t="shared" ca="1" si="198"/>
        <v>Yes</v>
      </c>
      <c r="H986" s="12">
        <f t="shared" ca="1" si="206"/>
        <v>0.7755225917468348</v>
      </c>
      <c r="I986" s="10">
        <f t="shared" ca="1" si="199"/>
        <v>2</v>
      </c>
      <c r="J986" s="13">
        <f t="shared" ca="1" si="200"/>
        <v>300</v>
      </c>
      <c r="K986" s="14">
        <f t="shared" ca="1" si="201"/>
        <v>151.80000000000001</v>
      </c>
      <c r="L986" s="14">
        <f t="shared" ca="1" si="202"/>
        <v>0</v>
      </c>
      <c r="M986" s="15">
        <f t="shared" ca="1" si="203"/>
        <v>451.8</v>
      </c>
      <c r="N986" s="16">
        <f ca="1">SUM($M$9:M986)/A986</f>
        <v>337.69141104294499</v>
      </c>
      <c r="O986" s="6"/>
    </row>
    <row r="987" spans="1:15" x14ac:dyDescent="0.25">
      <c r="A987" s="8">
        <v>979</v>
      </c>
      <c r="B987" s="9">
        <f t="shared" ca="1" si="195"/>
        <v>759</v>
      </c>
      <c r="C987" s="10">
        <f t="shared" ca="1" si="196"/>
        <v>0</v>
      </c>
      <c r="D987" s="11">
        <f t="shared" ca="1" si="204"/>
        <v>0.35453620403657415</v>
      </c>
      <c r="E987" s="9">
        <f t="shared" ca="1" si="205"/>
        <v>381</v>
      </c>
      <c r="F987" s="9">
        <f t="shared" ca="1" si="197"/>
        <v>378</v>
      </c>
      <c r="G987" s="12" t="str">
        <f t="shared" ca="1" si="198"/>
        <v>No</v>
      </c>
      <c r="H987" s="12">
        <f t="shared" ca="1" si="206"/>
        <v>0</v>
      </c>
      <c r="I987" s="10">
        <f t="shared" ca="1" si="199"/>
        <v>1</v>
      </c>
      <c r="J987" s="13">
        <f t="shared" ca="1" si="200"/>
        <v>0</v>
      </c>
      <c r="K987" s="14">
        <f t="shared" ca="1" si="201"/>
        <v>75.600000000000009</v>
      </c>
      <c r="L987" s="14">
        <f t="shared" ca="1" si="202"/>
        <v>0</v>
      </c>
      <c r="M987" s="15">
        <f t="shared" ca="1" si="203"/>
        <v>75.600000000000009</v>
      </c>
      <c r="N987" s="16">
        <f ca="1">SUM($M$9:M987)/A987</f>
        <v>337.42369765066411</v>
      </c>
      <c r="O987" s="6"/>
    </row>
    <row r="988" spans="1:15" x14ac:dyDescent="0.25">
      <c r="A988" s="8">
        <v>980</v>
      </c>
      <c r="B988" s="9">
        <f t="shared" ca="1" si="195"/>
        <v>2178</v>
      </c>
      <c r="C988" s="10">
        <f t="shared" ca="1" si="196"/>
        <v>1800</v>
      </c>
      <c r="D988" s="11">
        <f t="shared" ca="1" si="204"/>
        <v>0.51288385892877519</v>
      </c>
      <c r="E988" s="9">
        <f t="shared" ca="1" si="205"/>
        <v>401</v>
      </c>
      <c r="F988" s="9">
        <f t="shared" ca="1" si="197"/>
        <v>1777</v>
      </c>
      <c r="G988" s="12" t="str">
        <f t="shared" ca="1" si="198"/>
        <v>No</v>
      </c>
      <c r="H988" s="12">
        <f t="shared" ca="1" si="206"/>
        <v>0</v>
      </c>
      <c r="I988" s="10">
        <f t="shared" ca="1" si="199"/>
        <v>0</v>
      </c>
      <c r="J988" s="13">
        <f t="shared" ca="1" si="200"/>
        <v>0</v>
      </c>
      <c r="K988" s="14">
        <f t="shared" ca="1" si="201"/>
        <v>355.40000000000003</v>
      </c>
      <c r="L988" s="14">
        <f t="shared" ca="1" si="202"/>
        <v>0</v>
      </c>
      <c r="M988" s="15">
        <f t="shared" ca="1" si="203"/>
        <v>355.40000000000003</v>
      </c>
      <c r="N988" s="16">
        <f ca="1">SUM($M$9:M988)/A988</f>
        <v>337.44204081632671</v>
      </c>
      <c r="O988" s="6"/>
    </row>
    <row r="989" spans="1:15" x14ac:dyDescent="0.25">
      <c r="A989" s="8">
        <v>981</v>
      </c>
      <c r="B989" s="9">
        <f t="shared" ca="1" si="195"/>
        <v>1777</v>
      </c>
      <c r="C989" s="10">
        <f t="shared" ca="1" si="196"/>
        <v>0</v>
      </c>
      <c r="D989" s="11">
        <f t="shared" ca="1" si="204"/>
        <v>0.32576159396088655</v>
      </c>
      <c r="E989" s="9">
        <f t="shared" ca="1" si="205"/>
        <v>377</v>
      </c>
      <c r="F989" s="9">
        <f t="shared" ca="1" si="197"/>
        <v>1400</v>
      </c>
      <c r="G989" s="12" t="str">
        <f t="shared" ca="1" si="198"/>
        <v>No</v>
      </c>
      <c r="H989" s="12">
        <f t="shared" ca="1" si="206"/>
        <v>0</v>
      </c>
      <c r="I989" s="10">
        <f t="shared" ca="1" si="199"/>
        <v>0</v>
      </c>
      <c r="J989" s="13">
        <f t="shared" ca="1" si="200"/>
        <v>0</v>
      </c>
      <c r="K989" s="14">
        <f t="shared" ca="1" si="201"/>
        <v>280</v>
      </c>
      <c r="L989" s="14">
        <f t="shared" ca="1" si="202"/>
        <v>0</v>
      </c>
      <c r="M989" s="15">
        <f t="shared" ca="1" si="203"/>
        <v>280</v>
      </c>
      <c r="N989" s="16">
        <f ca="1">SUM($M$9:M989)/A989</f>
        <v>337.38348623853233</v>
      </c>
      <c r="O989" s="6"/>
    </row>
    <row r="990" spans="1:15" x14ac:dyDescent="0.25">
      <c r="A990" s="8">
        <v>982</v>
      </c>
      <c r="B990" s="9">
        <f t="shared" ca="1" si="195"/>
        <v>1400</v>
      </c>
      <c r="C990" s="10">
        <f t="shared" ca="1" si="196"/>
        <v>0</v>
      </c>
      <c r="D990" s="11">
        <f t="shared" ca="1" si="204"/>
        <v>4.7474426936810032E-2</v>
      </c>
      <c r="E990" s="9">
        <f t="shared" ca="1" si="205"/>
        <v>316</v>
      </c>
      <c r="F990" s="9">
        <f t="shared" ca="1" si="197"/>
        <v>1084</v>
      </c>
      <c r="G990" s="12" t="str">
        <f t="shared" ca="1" si="198"/>
        <v>No</v>
      </c>
      <c r="H990" s="12">
        <f t="shared" ca="1" si="206"/>
        <v>0</v>
      </c>
      <c r="I990" s="10">
        <f t="shared" ca="1" si="199"/>
        <v>0</v>
      </c>
      <c r="J990" s="13">
        <f t="shared" ca="1" si="200"/>
        <v>0</v>
      </c>
      <c r="K990" s="14">
        <f t="shared" ca="1" si="201"/>
        <v>216.8</v>
      </c>
      <c r="L990" s="14">
        <f t="shared" ca="1" si="202"/>
        <v>0</v>
      </c>
      <c r="M990" s="15">
        <f t="shared" ca="1" si="203"/>
        <v>216.8</v>
      </c>
      <c r="N990" s="16">
        <f ca="1">SUM($M$9:M990)/A990</f>
        <v>337.26069246435861</v>
      </c>
      <c r="O990" s="6"/>
    </row>
    <row r="991" spans="1:15" x14ac:dyDescent="0.25">
      <c r="A991" s="8">
        <v>983</v>
      </c>
      <c r="B991" s="9">
        <f t="shared" ca="1" si="195"/>
        <v>1084</v>
      </c>
      <c r="C991" s="10">
        <f t="shared" ca="1" si="196"/>
        <v>0</v>
      </c>
      <c r="D991" s="11">
        <f t="shared" ca="1" si="204"/>
        <v>5.1261215222836332E-2</v>
      </c>
      <c r="E991" s="9">
        <f t="shared" ca="1" si="205"/>
        <v>318</v>
      </c>
      <c r="F991" s="9">
        <f t="shared" ca="1" si="197"/>
        <v>766</v>
      </c>
      <c r="G991" s="12" t="str">
        <f t="shared" ca="1" si="198"/>
        <v>Yes</v>
      </c>
      <c r="H991" s="12">
        <f t="shared" ca="1" si="206"/>
        <v>0.10651395679745668</v>
      </c>
      <c r="I991" s="10">
        <f t="shared" ca="1" si="199"/>
        <v>1</v>
      </c>
      <c r="J991" s="13">
        <f t="shared" ca="1" si="200"/>
        <v>300</v>
      </c>
      <c r="K991" s="14">
        <f t="shared" ca="1" si="201"/>
        <v>153.20000000000002</v>
      </c>
      <c r="L991" s="14">
        <f t="shared" ca="1" si="202"/>
        <v>0</v>
      </c>
      <c r="M991" s="15">
        <f t="shared" ca="1" si="203"/>
        <v>453.20000000000005</v>
      </c>
      <c r="N991" s="16">
        <f ca="1">SUM($M$9:M991)/A991</f>
        <v>337.37863682604291</v>
      </c>
      <c r="O991" s="6"/>
    </row>
    <row r="992" spans="1:15" x14ac:dyDescent="0.25">
      <c r="A992" s="8">
        <v>984</v>
      </c>
      <c r="B992" s="9">
        <f t="shared" ca="1" si="195"/>
        <v>2566</v>
      </c>
      <c r="C992" s="10">
        <f t="shared" ca="1" si="196"/>
        <v>1800</v>
      </c>
      <c r="D992" s="11">
        <f t="shared" ca="1" si="204"/>
        <v>1.2124719142340923E-2</v>
      </c>
      <c r="E992" s="9">
        <f t="shared" ca="1" si="205"/>
        <v>287</v>
      </c>
      <c r="F992" s="9">
        <f t="shared" ca="1" si="197"/>
        <v>2279</v>
      </c>
      <c r="G992" s="12" t="str">
        <f t="shared" ca="1" si="198"/>
        <v>No</v>
      </c>
      <c r="H992" s="12">
        <f t="shared" ca="1" si="206"/>
        <v>0</v>
      </c>
      <c r="I992" s="10">
        <f t="shared" ca="1" si="199"/>
        <v>0</v>
      </c>
      <c r="J992" s="13">
        <f t="shared" ca="1" si="200"/>
        <v>0</v>
      </c>
      <c r="K992" s="14">
        <f t="shared" ca="1" si="201"/>
        <v>455.8</v>
      </c>
      <c r="L992" s="14">
        <f t="shared" ca="1" si="202"/>
        <v>0</v>
      </c>
      <c r="M992" s="15">
        <f t="shared" ca="1" si="203"/>
        <v>455.8</v>
      </c>
      <c r="N992" s="16">
        <f ca="1">SUM($M$9:M992)/A992</f>
        <v>337.49898373983757</v>
      </c>
      <c r="O992" s="6"/>
    </row>
    <row r="993" spans="1:15" x14ac:dyDescent="0.25">
      <c r="A993" s="8">
        <v>985</v>
      </c>
      <c r="B993" s="9">
        <f t="shared" ca="1" si="195"/>
        <v>2279</v>
      </c>
      <c r="C993" s="10">
        <f t="shared" ca="1" si="196"/>
        <v>0</v>
      </c>
      <c r="D993" s="11">
        <f t="shared" ca="1" si="204"/>
        <v>0.81564802925208579</v>
      </c>
      <c r="E993" s="9">
        <f t="shared" ca="1" si="205"/>
        <v>444</v>
      </c>
      <c r="F993" s="9">
        <f t="shared" ca="1" si="197"/>
        <v>1835</v>
      </c>
      <c r="G993" s="12" t="str">
        <f t="shared" ca="1" si="198"/>
        <v>No</v>
      </c>
      <c r="H993" s="12">
        <f t="shared" ca="1" si="206"/>
        <v>0</v>
      </c>
      <c r="I993" s="10">
        <f t="shared" ca="1" si="199"/>
        <v>0</v>
      </c>
      <c r="J993" s="13">
        <f t="shared" ca="1" si="200"/>
        <v>0</v>
      </c>
      <c r="K993" s="14">
        <f t="shared" ca="1" si="201"/>
        <v>367</v>
      </c>
      <c r="L993" s="14">
        <f t="shared" ca="1" si="202"/>
        <v>0</v>
      </c>
      <c r="M993" s="15">
        <f t="shared" ca="1" si="203"/>
        <v>367</v>
      </c>
      <c r="N993" s="16">
        <f ca="1">SUM($M$9:M993)/A993</f>
        <v>337.52893401015245</v>
      </c>
      <c r="O993" s="6"/>
    </row>
    <row r="994" spans="1:15" x14ac:dyDescent="0.25">
      <c r="A994" s="8">
        <v>986</v>
      </c>
      <c r="B994" s="9">
        <f t="shared" ca="1" si="195"/>
        <v>1835</v>
      </c>
      <c r="C994" s="10">
        <f t="shared" ca="1" si="196"/>
        <v>0</v>
      </c>
      <c r="D994" s="11">
        <f t="shared" ca="1" si="204"/>
        <v>0.8983897571265419</v>
      </c>
      <c r="E994" s="9">
        <f t="shared" ca="1" si="205"/>
        <v>463</v>
      </c>
      <c r="F994" s="9">
        <f t="shared" ca="1" si="197"/>
        <v>1372</v>
      </c>
      <c r="G994" s="12" t="str">
        <f t="shared" ca="1" si="198"/>
        <v>No</v>
      </c>
      <c r="H994" s="12">
        <f t="shared" ca="1" si="206"/>
        <v>0</v>
      </c>
      <c r="I994" s="10">
        <f t="shared" ca="1" si="199"/>
        <v>0</v>
      </c>
      <c r="J994" s="13">
        <f t="shared" ca="1" si="200"/>
        <v>0</v>
      </c>
      <c r="K994" s="14">
        <f t="shared" ca="1" si="201"/>
        <v>274.40000000000003</v>
      </c>
      <c r="L994" s="14">
        <f t="shared" ca="1" si="202"/>
        <v>0</v>
      </c>
      <c r="M994" s="15">
        <f t="shared" ca="1" si="203"/>
        <v>274.40000000000003</v>
      </c>
      <c r="N994" s="16">
        <f ca="1">SUM($M$9:M994)/A994</f>
        <v>337.46490872210973</v>
      </c>
      <c r="O994" s="6"/>
    </row>
    <row r="995" spans="1:15" x14ac:dyDescent="0.25">
      <c r="A995" s="8">
        <v>987</v>
      </c>
      <c r="B995" s="9">
        <f t="shared" ca="1" si="195"/>
        <v>1372</v>
      </c>
      <c r="C995" s="10">
        <f t="shared" ca="1" si="196"/>
        <v>0</v>
      </c>
      <c r="D995" s="11">
        <f t="shared" ca="1" si="204"/>
        <v>0.5213905481534119</v>
      </c>
      <c r="E995" s="9">
        <f t="shared" ca="1" si="205"/>
        <v>402</v>
      </c>
      <c r="F995" s="9">
        <f t="shared" ca="1" si="197"/>
        <v>970</v>
      </c>
      <c r="G995" s="12" t="str">
        <f t="shared" ca="1" si="198"/>
        <v>Yes</v>
      </c>
      <c r="H995" s="12">
        <f t="shared" ca="1" si="206"/>
        <v>0.29809719060150708</v>
      </c>
      <c r="I995" s="10">
        <f t="shared" ca="1" si="199"/>
        <v>1</v>
      </c>
      <c r="J995" s="13">
        <f t="shared" ca="1" si="200"/>
        <v>300</v>
      </c>
      <c r="K995" s="14">
        <f t="shared" ca="1" si="201"/>
        <v>194</v>
      </c>
      <c r="L995" s="14">
        <f t="shared" ca="1" si="202"/>
        <v>0</v>
      </c>
      <c r="M995" s="15">
        <f t="shared" ca="1" si="203"/>
        <v>494</v>
      </c>
      <c r="N995" s="16">
        <f ca="1">SUM($M$9:M995)/A995</f>
        <v>337.62350557244196</v>
      </c>
      <c r="O995" s="6"/>
    </row>
    <row r="996" spans="1:15" x14ac:dyDescent="0.25">
      <c r="A996" s="8">
        <v>988</v>
      </c>
      <c r="B996" s="9">
        <f t="shared" ca="1" si="195"/>
        <v>2770</v>
      </c>
      <c r="C996" s="10">
        <f t="shared" ca="1" si="196"/>
        <v>1800</v>
      </c>
      <c r="D996" s="11">
        <f t="shared" ca="1" si="204"/>
        <v>0.67544808140481039</v>
      </c>
      <c r="E996" s="9">
        <f t="shared" ca="1" si="205"/>
        <v>422</v>
      </c>
      <c r="F996" s="9">
        <f t="shared" ca="1" si="197"/>
        <v>2348</v>
      </c>
      <c r="G996" s="12" t="str">
        <f t="shared" ca="1" si="198"/>
        <v>No</v>
      </c>
      <c r="H996" s="12">
        <f t="shared" ca="1" si="206"/>
        <v>0</v>
      </c>
      <c r="I996" s="10">
        <f t="shared" ca="1" si="199"/>
        <v>0</v>
      </c>
      <c r="J996" s="13">
        <f t="shared" ca="1" si="200"/>
        <v>0</v>
      </c>
      <c r="K996" s="14">
        <f t="shared" ca="1" si="201"/>
        <v>469.6</v>
      </c>
      <c r="L996" s="14">
        <f t="shared" ca="1" si="202"/>
        <v>0</v>
      </c>
      <c r="M996" s="15">
        <f t="shared" ca="1" si="203"/>
        <v>469.6</v>
      </c>
      <c r="N996" s="16">
        <f ca="1">SUM($M$9:M996)/A996</f>
        <v>337.7570850202431</v>
      </c>
      <c r="O996" s="6"/>
    </row>
    <row r="997" spans="1:15" x14ac:dyDescent="0.25">
      <c r="A997" s="8">
        <v>989</v>
      </c>
      <c r="B997" s="9">
        <f t="shared" ca="1" si="195"/>
        <v>2348</v>
      </c>
      <c r="C997" s="10">
        <f t="shared" ca="1" si="196"/>
        <v>0</v>
      </c>
      <c r="D997" s="11">
        <f t="shared" ca="1" si="204"/>
        <v>0.46204455794568766</v>
      </c>
      <c r="E997" s="9">
        <f t="shared" ca="1" si="205"/>
        <v>395</v>
      </c>
      <c r="F997" s="9">
        <f t="shared" ca="1" si="197"/>
        <v>1953</v>
      </c>
      <c r="G997" s="12" t="str">
        <f t="shared" ca="1" si="198"/>
        <v>No</v>
      </c>
      <c r="H997" s="12">
        <f t="shared" ca="1" si="206"/>
        <v>0</v>
      </c>
      <c r="I997" s="10">
        <f t="shared" ca="1" si="199"/>
        <v>0</v>
      </c>
      <c r="J997" s="13">
        <f t="shared" ca="1" si="200"/>
        <v>0</v>
      </c>
      <c r="K997" s="14">
        <f t="shared" ca="1" si="201"/>
        <v>390.6</v>
      </c>
      <c r="L997" s="14">
        <f t="shared" ca="1" si="202"/>
        <v>0</v>
      </c>
      <c r="M997" s="15">
        <f t="shared" ca="1" si="203"/>
        <v>390.6</v>
      </c>
      <c r="N997" s="16">
        <f ca="1">SUM($M$9:M997)/A997</f>
        <v>337.81051567239649</v>
      </c>
      <c r="O997" s="6"/>
    </row>
    <row r="998" spans="1:15" x14ac:dyDescent="0.25">
      <c r="A998" s="8">
        <v>990</v>
      </c>
      <c r="B998" s="9">
        <f t="shared" ca="1" si="195"/>
        <v>1953</v>
      </c>
      <c r="C998" s="10">
        <f t="shared" ca="1" si="196"/>
        <v>0</v>
      </c>
      <c r="D998" s="11">
        <f t="shared" ca="1" si="204"/>
        <v>0.3389659457071883</v>
      </c>
      <c r="E998" s="9">
        <f t="shared" ca="1" si="205"/>
        <v>379</v>
      </c>
      <c r="F998" s="9">
        <f t="shared" ca="1" si="197"/>
        <v>1574</v>
      </c>
      <c r="G998" s="12" t="str">
        <f t="shared" ca="1" si="198"/>
        <v>No</v>
      </c>
      <c r="H998" s="12">
        <f t="shared" ca="1" si="206"/>
        <v>0</v>
      </c>
      <c r="I998" s="10">
        <f t="shared" ca="1" si="199"/>
        <v>0</v>
      </c>
      <c r="J998" s="13">
        <f t="shared" ca="1" si="200"/>
        <v>0</v>
      </c>
      <c r="K998" s="14">
        <f t="shared" ca="1" si="201"/>
        <v>314.8</v>
      </c>
      <c r="L998" s="14">
        <f t="shared" ca="1" si="202"/>
        <v>0</v>
      </c>
      <c r="M998" s="15">
        <f t="shared" ca="1" si="203"/>
        <v>314.8</v>
      </c>
      <c r="N998" s="16">
        <f ca="1">SUM($M$9:M998)/A998</f>
        <v>337.78727272727286</v>
      </c>
      <c r="O998" s="6"/>
    </row>
    <row r="999" spans="1:15" x14ac:dyDescent="0.25">
      <c r="A999" s="8">
        <v>991</v>
      </c>
      <c r="B999" s="9">
        <f t="shared" ca="1" si="195"/>
        <v>1574</v>
      </c>
      <c r="C999" s="10">
        <f t="shared" ca="1" si="196"/>
        <v>0</v>
      </c>
      <c r="D999" s="11">
        <f t="shared" ca="1" si="204"/>
        <v>0.98382602426964716</v>
      </c>
      <c r="E999" s="9">
        <f t="shared" ca="1" si="205"/>
        <v>507</v>
      </c>
      <c r="F999" s="9">
        <f t="shared" ca="1" si="197"/>
        <v>1067</v>
      </c>
      <c r="G999" s="12" t="str">
        <f t="shared" ca="1" si="198"/>
        <v>No</v>
      </c>
      <c r="H999" s="12">
        <f t="shared" ca="1" si="206"/>
        <v>0</v>
      </c>
      <c r="I999" s="10">
        <f t="shared" ca="1" si="199"/>
        <v>0</v>
      </c>
      <c r="J999" s="13">
        <f t="shared" ca="1" si="200"/>
        <v>0</v>
      </c>
      <c r="K999" s="14">
        <f t="shared" ca="1" si="201"/>
        <v>213.4</v>
      </c>
      <c r="L999" s="14">
        <f t="shared" ca="1" si="202"/>
        <v>0</v>
      </c>
      <c r="M999" s="15">
        <f t="shared" ca="1" si="203"/>
        <v>213.4</v>
      </c>
      <c r="N999" s="16">
        <f ca="1">SUM($M$9:M999)/A999</f>
        <v>337.66175580222017</v>
      </c>
      <c r="O999" s="6"/>
    </row>
    <row r="1000" spans="1:15" x14ac:dyDescent="0.25">
      <c r="A1000" s="8">
        <v>992</v>
      </c>
      <c r="B1000" s="9">
        <f t="shared" ca="1" si="195"/>
        <v>1067</v>
      </c>
      <c r="C1000" s="10">
        <f t="shared" ca="1" si="196"/>
        <v>0</v>
      </c>
      <c r="D1000" s="11">
        <f t="shared" ca="1" si="204"/>
        <v>0.21889310709486764</v>
      </c>
      <c r="E1000" s="9">
        <f t="shared" ca="1" si="205"/>
        <v>361</v>
      </c>
      <c r="F1000" s="9">
        <f t="shared" ca="1" si="197"/>
        <v>706</v>
      </c>
      <c r="G1000" s="12" t="str">
        <f t="shared" ca="1" si="198"/>
        <v>Yes</v>
      </c>
      <c r="H1000" s="12">
        <f t="shared" ca="1" si="206"/>
        <v>0.39763240373845199</v>
      </c>
      <c r="I1000" s="10">
        <f t="shared" ca="1" si="199"/>
        <v>1</v>
      </c>
      <c r="J1000" s="13">
        <f t="shared" ca="1" si="200"/>
        <v>300</v>
      </c>
      <c r="K1000" s="14">
        <f t="shared" ca="1" si="201"/>
        <v>141.20000000000002</v>
      </c>
      <c r="L1000" s="14">
        <f t="shared" ca="1" si="202"/>
        <v>0</v>
      </c>
      <c r="M1000" s="15">
        <f t="shared" ca="1" si="203"/>
        <v>441.20000000000005</v>
      </c>
      <c r="N1000" s="16">
        <f ca="1">SUM($M$9:M1000)/A1000</f>
        <v>337.76612903225822</v>
      </c>
      <c r="O1000" s="6"/>
    </row>
    <row r="1001" spans="1:15" x14ac:dyDescent="0.25">
      <c r="A1001" s="8">
        <v>993</v>
      </c>
      <c r="B1001" s="9">
        <f t="shared" ca="1" si="195"/>
        <v>2506</v>
      </c>
      <c r="C1001" s="10">
        <f t="shared" ca="1" si="196"/>
        <v>1800</v>
      </c>
      <c r="D1001" s="11">
        <f t="shared" ca="1" si="204"/>
        <v>3.6317260745998614E-2</v>
      </c>
      <c r="E1001" s="9">
        <f t="shared" ca="1" si="205"/>
        <v>310</v>
      </c>
      <c r="F1001" s="9">
        <f t="shared" ca="1" si="197"/>
        <v>2196</v>
      </c>
      <c r="G1001" s="12" t="str">
        <f t="shared" ca="1" si="198"/>
        <v>No</v>
      </c>
      <c r="H1001" s="12">
        <f t="shared" ca="1" si="206"/>
        <v>0</v>
      </c>
      <c r="I1001" s="10">
        <f t="shared" ca="1" si="199"/>
        <v>0</v>
      </c>
      <c r="J1001" s="13">
        <f t="shared" ca="1" si="200"/>
        <v>0</v>
      </c>
      <c r="K1001" s="14">
        <f t="shared" ca="1" si="201"/>
        <v>439.20000000000005</v>
      </c>
      <c r="L1001" s="14">
        <f t="shared" ca="1" si="202"/>
        <v>0</v>
      </c>
      <c r="M1001" s="15">
        <f t="shared" ca="1" si="203"/>
        <v>439.20000000000005</v>
      </c>
      <c r="N1001" s="16">
        <f ca="1">SUM($M$9:M1001)/A1001</f>
        <v>337.86827794561952</v>
      </c>
      <c r="O1001" s="6"/>
    </row>
    <row r="1002" spans="1:15" x14ac:dyDescent="0.25">
      <c r="A1002" s="8">
        <v>994</v>
      </c>
      <c r="B1002" s="9">
        <f t="shared" ca="1" si="195"/>
        <v>2196</v>
      </c>
      <c r="C1002" s="10">
        <f t="shared" ca="1" si="196"/>
        <v>0</v>
      </c>
      <c r="D1002" s="11">
        <f t="shared" ca="1" si="204"/>
        <v>0.12038395512446742</v>
      </c>
      <c r="E1002" s="9">
        <f t="shared" ca="1" si="205"/>
        <v>341</v>
      </c>
      <c r="F1002" s="9">
        <f t="shared" ca="1" si="197"/>
        <v>1855</v>
      </c>
      <c r="G1002" s="12" t="str">
        <f t="shared" ca="1" si="198"/>
        <v>No</v>
      </c>
      <c r="H1002" s="12">
        <f t="shared" ca="1" si="206"/>
        <v>0</v>
      </c>
      <c r="I1002" s="10">
        <f t="shared" ca="1" si="199"/>
        <v>0</v>
      </c>
      <c r="J1002" s="13">
        <f t="shared" ca="1" si="200"/>
        <v>0</v>
      </c>
      <c r="K1002" s="14">
        <f t="shared" ca="1" si="201"/>
        <v>371</v>
      </c>
      <c r="L1002" s="14">
        <f t="shared" ca="1" si="202"/>
        <v>0</v>
      </c>
      <c r="M1002" s="15">
        <f t="shared" ca="1" si="203"/>
        <v>371</v>
      </c>
      <c r="N1002" s="16">
        <f ca="1">SUM($M$9:M1002)/A1002</f>
        <v>337.90160965794786</v>
      </c>
      <c r="O1002" s="6"/>
    </row>
    <row r="1003" spans="1:15" x14ac:dyDescent="0.25">
      <c r="A1003" s="8">
        <v>995</v>
      </c>
      <c r="B1003" s="9">
        <f t="shared" ca="1" si="195"/>
        <v>1855</v>
      </c>
      <c r="C1003" s="10">
        <f t="shared" ca="1" si="196"/>
        <v>0</v>
      </c>
      <c r="D1003" s="11">
        <f t="shared" ca="1" si="204"/>
        <v>0.71048706656686267</v>
      </c>
      <c r="E1003" s="9">
        <f t="shared" ca="1" si="205"/>
        <v>427</v>
      </c>
      <c r="F1003" s="9">
        <f t="shared" ca="1" si="197"/>
        <v>1428</v>
      </c>
      <c r="G1003" s="12" t="str">
        <f t="shared" ca="1" si="198"/>
        <v>No</v>
      </c>
      <c r="H1003" s="12">
        <f t="shared" ca="1" si="206"/>
        <v>0</v>
      </c>
      <c r="I1003" s="10">
        <f t="shared" ca="1" si="199"/>
        <v>0</v>
      </c>
      <c r="J1003" s="13">
        <f t="shared" ca="1" si="200"/>
        <v>0</v>
      </c>
      <c r="K1003" s="14">
        <f t="shared" ca="1" si="201"/>
        <v>285.60000000000002</v>
      </c>
      <c r="L1003" s="14">
        <f t="shared" ca="1" si="202"/>
        <v>0</v>
      </c>
      <c r="M1003" s="15">
        <f t="shared" ca="1" si="203"/>
        <v>285.60000000000002</v>
      </c>
      <c r="N1003" s="16">
        <f ca="1">SUM($M$9:M1003)/A1003</f>
        <v>337.84904522613084</v>
      </c>
      <c r="O1003" s="6"/>
    </row>
    <row r="1004" spans="1:15" x14ac:dyDescent="0.25">
      <c r="A1004" s="8">
        <v>996</v>
      </c>
      <c r="B1004" s="9">
        <f t="shared" ca="1" si="195"/>
        <v>1428</v>
      </c>
      <c r="C1004" s="10">
        <f t="shared" ca="1" si="196"/>
        <v>0</v>
      </c>
      <c r="D1004" s="11">
        <f t="shared" ca="1" si="204"/>
        <v>0.33649602364008091</v>
      </c>
      <c r="E1004" s="9">
        <f t="shared" ca="1" si="205"/>
        <v>378</v>
      </c>
      <c r="F1004" s="9">
        <f t="shared" ca="1" si="197"/>
        <v>1050</v>
      </c>
      <c r="G1004" s="12" t="str">
        <f t="shared" ca="1" si="198"/>
        <v>No</v>
      </c>
      <c r="H1004" s="12">
        <f t="shared" ca="1" si="206"/>
        <v>0</v>
      </c>
      <c r="I1004" s="10">
        <f t="shared" ca="1" si="199"/>
        <v>0</v>
      </c>
      <c r="J1004" s="13">
        <f t="shared" ca="1" si="200"/>
        <v>0</v>
      </c>
      <c r="K1004" s="14">
        <f t="shared" ca="1" si="201"/>
        <v>210</v>
      </c>
      <c r="L1004" s="14">
        <f t="shared" ca="1" si="202"/>
        <v>0</v>
      </c>
      <c r="M1004" s="15">
        <f t="shared" ca="1" si="203"/>
        <v>210</v>
      </c>
      <c r="N1004" s="16">
        <f ca="1">SUM($M$9:M1004)/A1004</f>
        <v>337.72068273092384</v>
      </c>
      <c r="O1004" s="6"/>
    </row>
    <row r="1005" spans="1:15" x14ac:dyDescent="0.25">
      <c r="A1005" s="8">
        <v>997</v>
      </c>
      <c r="B1005" s="9">
        <f t="shared" ca="1" si="195"/>
        <v>1050</v>
      </c>
      <c r="C1005" s="10">
        <f t="shared" ca="1" si="196"/>
        <v>0</v>
      </c>
      <c r="D1005" s="11">
        <f t="shared" ca="1" si="204"/>
        <v>0.84113821211067252</v>
      </c>
      <c r="E1005" s="9">
        <f t="shared" ca="1" si="205"/>
        <v>449</v>
      </c>
      <c r="F1005" s="9">
        <f t="shared" ca="1" si="197"/>
        <v>601</v>
      </c>
      <c r="G1005" s="12" t="str">
        <f t="shared" ca="1" si="198"/>
        <v>Yes</v>
      </c>
      <c r="H1005" s="12">
        <f t="shared" ca="1" si="206"/>
        <v>0.62535466448780863</v>
      </c>
      <c r="I1005" s="10">
        <f t="shared" ca="1" si="199"/>
        <v>1</v>
      </c>
      <c r="J1005" s="13">
        <f t="shared" ca="1" si="200"/>
        <v>300</v>
      </c>
      <c r="K1005" s="14">
        <f t="shared" ca="1" si="201"/>
        <v>120.2</v>
      </c>
      <c r="L1005" s="14">
        <f t="shared" ca="1" si="202"/>
        <v>0</v>
      </c>
      <c r="M1005" s="15">
        <f t="shared" ca="1" si="203"/>
        <v>420.2</v>
      </c>
      <c r="N1005" s="16">
        <f ca="1">SUM($M$9:M1005)/A1005</f>
        <v>337.80341023069224</v>
      </c>
      <c r="O1005" s="6"/>
    </row>
    <row r="1006" spans="1:15" x14ac:dyDescent="0.25">
      <c r="A1006" s="8">
        <v>998</v>
      </c>
      <c r="B1006" s="9">
        <f t="shared" ca="1" si="195"/>
        <v>2401</v>
      </c>
      <c r="C1006" s="10">
        <f t="shared" ca="1" si="196"/>
        <v>1800</v>
      </c>
      <c r="D1006" s="11">
        <f t="shared" ca="1" si="204"/>
        <v>5.7838522933877701E-2</v>
      </c>
      <c r="E1006" s="9">
        <f t="shared" ca="1" si="205"/>
        <v>321</v>
      </c>
      <c r="F1006" s="9">
        <f t="shared" ca="1" si="197"/>
        <v>2080</v>
      </c>
      <c r="G1006" s="12" t="str">
        <f t="shared" ca="1" si="198"/>
        <v>No</v>
      </c>
      <c r="H1006" s="12">
        <f t="shared" ca="1" si="206"/>
        <v>0</v>
      </c>
      <c r="I1006" s="10">
        <f t="shared" ca="1" si="199"/>
        <v>0</v>
      </c>
      <c r="J1006" s="13">
        <f t="shared" ca="1" si="200"/>
        <v>0</v>
      </c>
      <c r="K1006" s="14">
        <f t="shared" ca="1" si="201"/>
        <v>416</v>
      </c>
      <c r="L1006" s="14">
        <f t="shared" ca="1" si="202"/>
        <v>0</v>
      </c>
      <c r="M1006" s="15">
        <f t="shared" ca="1" si="203"/>
        <v>416</v>
      </c>
      <c r="N1006" s="16">
        <f ca="1">SUM($M$9:M1006)/A1006</f>
        <v>337.88176352705426</v>
      </c>
      <c r="O1006" s="6"/>
    </row>
    <row r="1007" spans="1:15" x14ac:dyDescent="0.25">
      <c r="A1007" s="8">
        <v>999</v>
      </c>
      <c r="B1007" s="9">
        <f t="shared" ca="1" si="195"/>
        <v>2080</v>
      </c>
      <c r="C1007" s="10">
        <f t="shared" ca="1" si="196"/>
        <v>0</v>
      </c>
      <c r="D1007" s="11">
        <f t="shared" ca="1" si="204"/>
        <v>0.39869024637758643</v>
      </c>
      <c r="E1007" s="9">
        <f t="shared" ca="1" si="205"/>
        <v>387</v>
      </c>
      <c r="F1007" s="9">
        <f t="shared" ca="1" si="197"/>
        <v>1693</v>
      </c>
      <c r="G1007" s="12" t="str">
        <f t="shared" ca="1" si="198"/>
        <v>No</v>
      </c>
      <c r="H1007" s="12">
        <f t="shared" ca="1" si="206"/>
        <v>0</v>
      </c>
      <c r="I1007" s="10">
        <f t="shared" ca="1" si="199"/>
        <v>0</v>
      </c>
      <c r="J1007" s="13">
        <f t="shared" ca="1" si="200"/>
        <v>0</v>
      </c>
      <c r="K1007" s="14">
        <f t="shared" ca="1" si="201"/>
        <v>338.6</v>
      </c>
      <c r="L1007" s="14">
        <f t="shared" ca="1" si="202"/>
        <v>0</v>
      </c>
      <c r="M1007" s="15">
        <f t="shared" ca="1" si="203"/>
        <v>338.6</v>
      </c>
      <c r="N1007" s="16">
        <f ca="1">SUM($M$9:M1007)/A1007</f>
        <v>337.88248248248266</v>
      </c>
      <c r="O1007" s="6"/>
    </row>
    <row r="1008" spans="1:15" x14ac:dyDescent="0.25">
      <c r="A1008" s="8">
        <v>1000</v>
      </c>
      <c r="B1008" s="9">
        <f t="shared" ca="1" si="195"/>
        <v>1693</v>
      </c>
      <c r="C1008" s="10">
        <f t="shared" ca="1" si="196"/>
        <v>0</v>
      </c>
      <c r="D1008" s="11">
        <f t="shared" ca="1" si="204"/>
        <v>0.54272519841569133</v>
      </c>
      <c r="E1008" s="9">
        <f t="shared" ca="1" si="205"/>
        <v>405</v>
      </c>
      <c r="F1008" s="9">
        <f t="shared" ca="1" si="197"/>
        <v>1288</v>
      </c>
      <c r="G1008" s="12" t="str">
        <f t="shared" ca="1" si="198"/>
        <v>No</v>
      </c>
      <c r="H1008" s="12">
        <f t="shared" ca="1" si="206"/>
        <v>0</v>
      </c>
      <c r="I1008" s="10">
        <f t="shared" ca="1" si="199"/>
        <v>0</v>
      </c>
      <c r="J1008" s="13">
        <f t="shared" ca="1" si="200"/>
        <v>0</v>
      </c>
      <c r="K1008" s="14">
        <f t="shared" ca="1" si="201"/>
        <v>257.60000000000002</v>
      </c>
      <c r="L1008" s="14">
        <f t="shared" ca="1" si="202"/>
        <v>0</v>
      </c>
      <c r="M1008" s="15">
        <f t="shared" ca="1" si="203"/>
        <v>257.60000000000002</v>
      </c>
      <c r="N1008" s="16">
        <f ca="1">SUM($M$9:M1008)/A1008</f>
        <v>337.80220000000014</v>
      </c>
      <c r="O1008" s="6"/>
    </row>
    <row r="1009" spans="1:15" x14ac:dyDescent="0.25">
      <c r="A1009" s="8">
        <v>1001</v>
      </c>
      <c r="B1009" s="9">
        <f t="shared" ca="1" si="195"/>
        <v>1288</v>
      </c>
      <c r="C1009" s="10">
        <f t="shared" ca="1" si="196"/>
        <v>0</v>
      </c>
      <c r="D1009" s="11">
        <f t="shared" ca="1" si="204"/>
        <v>0.22540036313924672</v>
      </c>
      <c r="E1009" s="9">
        <f t="shared" ca="1" si="205"/>
        <v>362</v>
      </c>
      <c r="F1009" s="9">
        <f t="shared" ca="1" si="197"/>
        <v>926</v>
      </c>
      <c r="G1009" s="12" t="str">
        <f t="shared" ca="1" si="198"/>
        <v>Yes</v>
      </c>
      <c r="H1009" s="12">
        <f t="shared" ca="1" si="206"/>
        <v>0.42498372600733902</v>
      </c>
      <c r="I1009" s="10">
        <f t="shared" ca="1" si="199"/>
        <v>1</v>
      </c>
      <c r="J1009" s="13">
        <f t="shared" ca="1" si="200"/>
        <v>300</v>
      </c>
      <c r="K1009" s="14">
        <f t="shared" ca="1" si="201"/>
        <v>185.20000000000002</v>
      </c>
      <c r="L1009" s="14">
        <f t="shared" ca="1" si="202"/>
        <v>0</v>
      </c>
      <c r="M1009" s="15">
        <f t="shared" ca="1" si="203"/>
        <v>485.20000000000005</v>
      </c>
      <c r="N1009" s="16">
        <f ca="1">SUM($M$9:M1009)/A1009</f>
        <v>337.94945054945072</v>
      </c>
      <c r="O1009" s="6"/>
    </row>
    <row r="1010" spans="1:15" x14ac:dyDescent="0.25">
      <c r="A1010" s="8">
        <v>1002</v>
      </c>
      <c r="B1010" s="9">
        <f t="shared" ca="1" si="195"/>
        <v>2726</v>
      </c>
      <c r="C1010" s="10">
        <f t="shared" ca="1" si="196"/>
        <v>1800</v>
      </c>
      <c r="D1010" s="11">
        <f t="shared" ca="1" si="204"/>
        <v>0.60751369058612059</v>
      </c>
      <c r="E1010" s="9">
        <f t="shared" ca="1" si="205"/>
        <v>413</v>
      </c>
      <c r="F1010" s="9">
        <f t="shared" ca="1" si="197"/>
        <v>2313</v>
      </c>
      <c r="G1010" s="12" t="str">
        <f t="shared" ca="1" si="198"/>
        <v>No</v>
      </c>
      <c r="H1010" s="12">
        <f t="shared" ca="1" si="206"/>
        <v>0</v>
      </c>
      <c r="I1010" s="10">
        <f t="shared" ca="1" si="199"/>
        <v>0</v>
      </c>
      <c r="J1010" s="13">
        <f t="shared" ca="1" si="200"/>
        <v>0</v>
      </c>
      <c r="K1010" s="14">
        <f t="shared" ca="1" si="201"/>
        <v>462.6</v>
      </c>
      <c r="L1010" s="14">
        <f t="shared" ca="1" si="202"/>
        <v>0</v>
      </c>
      <c r="M1010" s="15">
        <f t="shared" ca="1" si="203"/>
        <v>462.6</v>
      </c>
      <c r="N1010" s="16">
        <f ca="1">SUM($M$9:M1010)/A1010</f>
        <v>338.07385229540932</v>
      </c>
      <c r="O1010" s="6"/>
    </row>
    <row r="1011" spans="1:15" x14ac:dyDescent="0.25">
      <c r="A1011" s="8">
        <v>1003</v>
      </c>
      <c r="B1011" s="9">
        <f t="shared" ca="1" si="195"/>
        <v>2313</v>
      </c>
      <c r="C1011" s="10">
        <f t="shared" ca="1" si="196"/>
        <v>0</v>
      </c>
      <c r="D1011" s="11">
        <f t="shared" ca="1" si="204"/>
        <v>0.43178097208921773</v>
      </c>
      <c r="E1011" s="9">
        <f t="shared" ca="1" si="205"/>
        <v>391</v>
      </c>
      <c r="F1011" s="9">
        <f t="shared" ca="1" si="197"/>
        <v>1922</v>
      </c>
      <c r="G1011" s="12" t="str">
        <f t="shared" ca="1" si="198"/>
        <v>No</v>
      </c>
      <c r="H1011" s="12">
        <f t="shared" ca="1" si="206"/>
        <v>0</v>
      </c>
      <c r="I1011" s="10">
        <f t="shared" ca="1" si="199"/>
        <v>0</v>
      </c>
      <c r="J1011" s="13">
        <f t="shared" ca="1" si="200"/>
        <v>0</v>
      </c>
      <c r="K1011" s="14">
        <f t="shared" ca="1" si="201"/>
        <v>384.40000000000003</v>
      </c>
      <c r="L1011" s="14">
        <f t="shared" ca="1" si="202"/>
        <v>0</v>
      </c>
      <c r="M1011" s="15">
        <f t="shared" ca="1" si="203"/>
        <v>384.40000000000003</v>
      </c>
      <c r="N1011" s="16">
        <f ca="1">SUM($M$9:M1011)/A1011</f>
        <v>338.12003988035906</v>
      </c>
      <c r="O1011" s="6"/>
    </row>
    <row r="1012" spans="1:15" x14ac:dyDescent="0.25">
      <c r="A1012" s="8">
        <v>1004</v>
      </c>
      <c r="B1012" s="9">
        <f t="shared" ca="1" si="195"/>
        <v>1922</v>
      </c>
      <c r="C1012" s="10">
        <f t="shared" ca="1" si="196"/>
        <v>0</v>
      </c>
      <c r="D1012" s="11">
        <f t="shared" ca="1" si="204"/>
        <v>0.48523130015553073</v>
      </c>
      <c r="E1012" s="9">
        <f t="shared" ca="1" si="205"/>
        <v>398</v>
      </c>
      <c r="F1012" s="9">
        <f t="shared" ca="1" si="197"/>
        <v>1524</v>
      </c>
      <c r="G1012" s="12" t="str">
        <f t="shared" ca="1" si="198"/>
        <v>No</v>
      </c>
      <c r="H1012" s="12">
        <f t="shared" ca="1" si="206"/>
        <v>0</v>
      </c>
      <c r="I1012" s="10">
        <f t="shared" ca="1" si="199"/>
        <v>0</v>
      </c>
      <c r="J1012" s="13">
        <f t="shared" ca="1" si="200"/>
        <v>0</v>
      </c>
      <c r="K1012" s="14">
        <f t="shared" ca="1" si="201"/>
        <v>304.8</v>
      </c>
      <c r="L1012" s="14">
        <f t="shared" ca="1" si="202"/>
        <v>0</v>
      </c>
      <c r="M1012" s="15">
        <f t="shared" ca="1" si="203"/>
        <v>304.8</v>
      </c>
      <c r="N1012" s="16">
        <f ca="1">SUM($M$9:M1012)/A1012</f>
        <v>338.08685258964158</v>
      </c>
      <c r="O1012" s="6"/>
    </row>
    <row r="1013" spans="1:15" x14ac:dyDescent="0.25">
      <c r="A1013" s="8">
        <v>1005</v>
      </c>
      <c r="B1013" s="9">
        <f t="shared" ca="1" si="195"/>
        <v>1524</v>
      </c>
      <c r="C1013" s="10">
        <f t="shared" ca="1" si="196"/>
        <v>0</v>
      </c>
      <c r="D1013" s="11">
        <f t="shared" ca="1" si="204"/>
        <v>0.44193339598885517</v>
      </c>
      <c r="E1013" s="9">
        <f t="shared" ca="1" si="205"/>
        <v>392</v>
      </c>
      <c r="F1013" s="9">
        <f t="shared" ca="1" si="197"/>
        <v>1132</v>
      </c>
      <c r="G1013" s="12" t="str">
        <f t="shared" ca="1" si="198"/>
        <v>No</v>
      </c>
      <c r="H1013" s="12">
        <f t="shared" ca="1" si="206"/>
        <v>0</v>
      </c>
      <c r="I1013" s="10">
        <f t="shared" ca="1" si="199"/>
        <v>0</v>
      </c>
      <c r="J1013" s="13">
        <f t="shared" ca="1" si="200"/>
        <v>0</v>
      </c>
      <c r="K1013" s="14">
        <f t="shared" ca="1" si="201"/>
        <v>226.4</v>
      </c>
      <c r="L1013" s="14">
        <f t="shared" ca="1" si="202"/>
        <v>0</v>
      </c>
      <c r="M1013" s="15">
        <f t="shared" ca="1" si="203"/>
        <v>226.4</v>
      </c>
      <c r="N1013" s="16">
        <f ca="1">SUM($M$9:M1013)/A1013</f>
        <v>337.97572139303497</v>
      </c>
      <c r="O1013" s="6"/>
    </row>
    <row r="1014" spans="1:15" x14ac:dyDescent="0.25">
      <c r="A1014" s="8">
        <v>1006</v>
      </c>
      <c r="B1014" s="9">
        <f t="shared" ca="1" si="195"/>
        <v>1132</v>
      </c>
      <c r="C1014" s="10">
        <f t="shared" ca="1" si="196"/>
        <v>0</v>
      </c>
      <c r="D1014" s="11">
        <f t="shared" ca="1" si="204"/>
        <v>0.2402508891973375</v>
      </c>
      <c r="E1014" s="9">
        <f t="shared" ca="1" si="205"/>
        <v>364</v>
      </c>
      <c r="F1014" s="9">
        <f t="shared" ca="1" si="197"/>
        <v>768</v>
      </c>
      <c r="G1014" s="12" t="str">
        <f t="shared" ca="1" si="198"/>
        <v>Yes</v>
      </c>
      <c r="H1014" s="12">
        <f t="shared" ca="1" si="206"/>
        <v>0.18330314793485314</v>
      </c>
      <c r="I1014" s="10">
        <f t="shared" ca="1" si="199"/>
        <v>1</v>
      </c>
      <c r="J1014" s="13">
        <f t="shared" ca="1" si="200"/>
        <v>300</v>
      </c>
      <c r="K1014" s="14">
        <f t="shared" ca="1" si="201"/>
        <v>153.60000000000002</v>
      </c>
      <c r="L1014" s="14">
        <f t="shared" ca="1" si="202"/>
        <v>0</v>
      </c>
      <c r="M1014" s="15">
        <f t="shared" ca="1" si="203"/>
        <v>453.6</v>
      </c>
      <c r="N1014" s="16">
        <f ca="1">SUM($M$9:M1014)/A1014</f>
        <v>338.09065606361844</v>
      </c>
      <c r="O1014" s="6"/>
    </row>
    <row r="1015" spans="1:15" x14ac:dyDescent="0.25">
      <c r="A1015" s="8">
        <v>1007</v>
      </c>
      <c r="B1015" s="9">
        <f t="shared" ca="1" si="195"/>
        <v>2568</v>
      </c>
      <c r="C1015" s="10">
        <f t="shared" ca="1" si="196"/>
        <v>1800</v>
      </c>
      <c r="D1015" s="11">
        <f t="shared" ca="1" si="204"/>
        <v>0.81693402402968429</v>
      </c>
      <c r="E1015" s="9">
        <f t="shared" ca="1" si="205"/>
        <v>445</v>
      </c>
      <c r="F1015" s="9">
        <f t="shared" ca="1" si="197"/>
        <v>2123</v>
      </c>
      <c r="G1015" s="12" t="str">
        <f t="shared" ca="1" si="198"/>
        <v>No</v>
      </c>
      <c r="H1015" s="12">
        <f t="shared" ca="1" si="206"/>
        <v>0</v>
      </c>
      <c r="I1015" s="10">
        <f t="shared" ca="1" si="199"/>
        <v>0</v>
      </c>
      <c r="J1015" s="13">
        <f t="shared" ca="1" si="200"/>
        <v>0</v>
      </c>
      <c r="K1015" s="14">
        <f t="shared" ca="1" si="201"/>
        <v>424.6</v>
      </c>
      <c r="L1015" s="14">
        <f t="shared" ca="1" si="202"/>
        <v>0</v>
      </c>
      <c r="M1015" s="15">
        <f t="shared" ca="1" si="203"/>
        <v>424.6</v>
      </c>
      <c r="N1015" s="16">
        <f ca="1">SUM($M$9:M1015)/A1015</f>
        <v>338.17656405163865</v>
      </c>
      <c r="O1015" s="6"/>
    </row>
    <row r="1016" spans="1:15" x14ac:dyDescent="0.25">
      <c r="A1016" s="8">
        <v>1008</v>
      </c>
      <c r="B1016" s="9">
        <f t="shared" ca="1" si="195"/>
        <v>2123</v>
      </c>
      <c r="C1016" s="10">
        <f t="shared" ca="1" si="196"/>
        <v>0</v>
      </c>
      <c r="D1016" s="11">
        <f t="shared" ca="1" si="204"/>
        <v>0.89648981694541896</v>
      </c>
      <c r="E1016" s="9">
        <f t="shared" ca="1" si="205"/>
        <v>463</v>
      </c>
      <c r="F1016" s="9">
        <f t="shared" ca="1" si="197"/>
        <v>1660</v>
      </c>
      <c r="G1016" s="12" t="str">
        <f t="shared" ca="1" si="198"/>
        <v>No</v>
      </c>
      <c r="H1016" s="12">
        <f t="shared" ca="1" si="206"/>
        <v>0</v>
      </c>
      <c r="I1016" s="10">
        <f t="shared" ca="1" si="199"/>
        <v>0</v>
      </c>
      <c r="J1016" s="13">
        <f t="shared" ca="1" si="200"/>
        <v>0</v>
      </c>
      <c r="K1016" s="14">
        <f t="shared" ca="1" si="201"/>
        <v>332</v>
      </c>
      <c r="L1016" s="14">
        <f t="shared" ca="1" si="202"/>
        <v>0</v>
      </c>
      <c r="M1016" s="15">
        <f t="shared" ca="1" si="203"/>
        <v>332</v>
      </c>
      <c r="N1016" s="16">
        <f ca="1">SUM($M$9:M1016)/A1016</f>
        <v>338.17043650793659</v>
      </c>
      <c r="O1016" s="6"/>
    </row>
    <row r="1017" spans="1:15" x14ac:dyDescent="0.25">
      <c r="A1017" s="8">
        <v>1009</v>
      </c>
      <c r="B1017" s="9">
        <f t="shared" ca="1" si="195"/>
        <v>1660</v>
      </c>
      <c r="C1017" s="10">
        <f t="shared" ca="1" si="196"/>
        <v>0</v>
      </c>
      <c r="D1017" s="11">
        <f t="shared" ca="1" si="204"/>
        <v>0.16648195688013179</v>
      </c>
      <c r="E1017" s="9">
        <f t="shared" ca="1" si="205"/>
        <v>351</v>
      </c>
      <c r="F1017" s="9">
        <f t="shared" ca="1" si="197"/>
        <v>1309</v>
      </c>
      <c r="G1017" s="12" t="str">
        <f t="shared" ca="1" si="198"/>
        <v>No</v>
      </c>
      <c r="H1017" s="12">
        <f t="shared" ca="1" si="206"/>
        <v>0</v>
      </c>
      <c r="I1017" s="10">
        <f t="shared" ca="1" si="199"/>
        <v>0</v>
      </c>
      <c r="J1017" s="13">
        <f t="shared" ca="1" si="200"/>
        <v>0</v>
      </c>
      <c r="K1017" s="14">
        <f t="shared" ca="1" si="201"/>
        <v>261.8</v>
      </c>
      <c r="L1017" s="14">
        <f t="shared" ca="1" si="202"/>
        <v>0</v>
      </c>
      <c r="M1017" s="15">
        <f t="shared" ca="1" si="203"/>
        <v>261.8</v>
      </c>
      <c r="N1017" s="16">
        <f ca="1">SUM($M$9:M1017)/A1017</f>
        <v>338.09474727452931</v>
      </c>
      <c r="O1017" s="6"/>
    </row>
    <row r="1018" spans="1:15" x14ac:dyDescent="0.25">
      <c r="A1018" s="8">
        <v>1010</v>
      </c>
      <c r="B1018" s="9">
        <f t="shared" ca="1" si="195"/>
        <v>1309</v>
      </c>
      <c r="C1018" s="10">
        <f t="shared" ca="1" si="196"/>
        <v>0</v>
      </c>
      <c r="D1018" s="11">
        <f t="shared" ca="1" si="204"/>
        <v>0.72260968864591313</v>
      </c>
      <c r="E1018" s="9">
        <f t="shared" ca="1" si="205"/>
        <v>429</v>
      </c>
      <c r="F1018" s="9">
        <f t="shared" ca="1" si="197"/>
        <v>880</v>
      </c>
      <c r="G1018" s="12" t="str">
        <f t="shared" ca="1" si="198"/>
        <v>Yes</v>
      </c>
      <c r="H1018" s="12">
        <f t="shared" ca="1" si="206"/>
        <v>0.43765308771798095</v>
      </c>
      <c r="I1018" s="10">
        <f t="shared" ca="1" si="199"/>
        <v>1</v>
      </c>
      <c r="J1018" s="13">
        <f t="shared" ca="1" si="200"/>
        <v>300</v>
      </c>
      <c r="K1018" s="14">
        <f t="shared" ca="1" si="201"/>
        <v>176</v>
      </c>
      <c r="L1018" s="14">
        <f t="shared" ca="1" si="202"/>
        <v>0</v>
      </c>
      <c r="M1018" s="15">
        <f t="shared" ca="1" si="203"/>
        <v>476</v>
      </c>
      <c r="N1018" s="16">
        <f ca="1">SUM($M$9:M1018)/A1018</f>
        <v>338.23128712871295</v>
      </c>
      <c r="O1018" s="6"/>
    </row>
    <row r="1019" spans="1:15" x14ac:dyDescent="0.25">
      <c r="A1019" s="8">
        <v>1011</v>
      </c>
      <c r="B1019" s="9">
        <f t="shared" ca="1" si="195"/>
        <v>2680</v>
      </c>
      <c r="C1019" s="10">
        <f t="shared" ca="1" si="196"/>
        <v>1800</v>
      </c>
      <c r="D1019" s="11">
        <f t="shared" ca="1" si="204"/>
        <v>0.15575491464905888</v>
      </c>
      <c r="E1019" s="9">
        <f t="shared" ca="1" si="205"/>
        <v>349</v>
      </c>
      <c r="F1019" s="9">
        <f t="shared" ca="1" si="197"/>
        <v>2331</v>
      </c>
      <c r="G1019" s="12" t="str">
        <f t="shared" ca="1" si="198"/>
        <v>No</v>
      </c>
      <c r="H1019" s="12">
        <f t="shared" ca="1" si="206"/>
        <v>0</v>
      </c>
      <c r="I1019" s="10">
        <f t="shared" ca="1" si="199"/>
        <v>0</v>
      </c>
      <c r="J1019" s="13">
        <f t="shared" ca="1" si="200"/>
        <v>0</v>
      </c>
      <c r="K1019" s="14">
        <f t="shared" ca="1" si="201"/>
        <v>466.20000000000005</v>
      </c>
      <c r="L1019" s="14">
        <f t="shared" ca="1" si="202"/>
        <v>0</v>
      </c>
      <c r="M1019" s="15">
        <f t="shared" ca="1" si="203"/>
        <v>466.20000000000005</v>
      </c>
      <c r="N1019" s="16">
        <f ca="1">SUM($M$9:M1019)/A1019</f>
        <v>338.35786350148379</v>
      </c>
      <c r="O1019" s="6"/>
    </row>
    <row r="1020" spans="1:15" x14ac:dyDescent="0.25">
      <c r="A1020" s="8">
        <v>1012</v>
      </c>
      <c r="B1020" s="9">
        <f t="shared" ca="1" si="195"/>
        <v>2331</v>
      </c>
      <c r="C1020" s="10">
        <f t="shared" ca="1" si="196"/>
        <v>0</v>
      </c>
      <c r="D1020" s="11">
        <f t="shared" ca="1" si="204"/>
        <v>0.69360609579755661</v>
      </c>
      <c r="E1020" s="9">
        <f t="shared" ca="1" si="205"/>
        <v>425</v>
      </c>
      <c r="F1020" s="9">
        <f t="shared" ca="1" si="197"/>
        <v>1906</v>
      </c>
      <c r="G1020" s="12" t="str">
        <f t="shared" ca="1" si="198"/>
        <v>No</v>
      </c>
      <c r="H1020" s="12">
        <f t="shared" ca="1" si="206"/>
        <v>0</v>
      </c>
      <c r="I1020" s="10">
        <f t="shared" ca="1" si="199"/>
        <v>0</v>
      </c>
      <c r="J1020" s="13">
        <f t="shared" ca="1" si="200"/>
        <v>0</v>
      </c>
      <c r="K1020" s="14">
        <f t="shared" ca="1" si="201"/>
        <v>381.20000000000005</v>
      </c>
      <c r="L1020" s="14">
        <f t="shared" ca="1" si="202"/>
        <v>0</v>
      </c>
      <c r="M1020" s="15">
        <f t="shared" ca="1" si="203"/>
        <v>381.20000000000005</v>
      </c>
      <c r="N1020" s="16">
        <f ca="1">SUM($M$9:M1020)/A1020</f>
        <v>338.40019762845861</v>
      </c>
      <c r="O1020" s="6"/>
    </row>
    <row r="1021" spans="1:15" x14ac:dyDescent="0.25">
      <c r="A1021" s="8">
        <v>1013</v>
      </c>
      <c r="B1021" s="9">
        <f t="shared" ref="B1021:B1084" ca="1" si="207">IF(I1020=1,F1020+Quantity,F1020)</f>
        <v>1906</v>
      </c>
      <c r="C1021" s="10">
        <f t="shared" ref="C1021:C1084" ca="1" si="208">IF(I1020=1,Quantity,0)</f>
        <v>0</v>
      </c>
      <c r="D1021" s="11">
        <f t="shared" ca="1" si="204"/>
        <v>0.3680514190263553</v>
      </c>
      <c r="E1021" s="9">
        <f t="shared" ca="1" si="205"/>
        <v>383</v>
      </c>
      <c r="F1021" s="9">
        <f t="shared" ref="F1021:F1084" ca="1" si="209">IF(B1021+C1021-E1021&lt;0,0,B1021-E1021)</f>
        <v>1523</v>
      </c>
      <c r="G1021" s="12" t="str">
        <f t="shared" ref="G1021:G1084" ca="1" si="210">IF(B1021&lt;Point,IF(I1020=0,"Yes","No"),"No")</f>
        <v>No</v>
      </c>
      <c r="H1021" s="12">
        <f t="shared" ca="1" si="206"/>
        <v>0</v>
      </c>
      <c r="I1021" s="10">
        <f t="shared" ref="I1021:I1084" ca="1" si="211">IF(I1020&gt;0,I1020-1,(IF(G1021="Yes",(VLOOKUP(H1021,LTD,3)),0)))</f>
        <v>0</v>
      </c>
      <c r="J1021" s="13">
        <f t="shared" ref="J1021:J1084" ca="1" si="212">IF(G1021="Yes",Order_Cost,0)</f>
        <v>0</v>
      </c>
      <c r="K1021" s="14">
        <f t="shared" ref="K1021:K1084" ca="1" si="213">F1021*Holding_Cost</f>
        <v>304.60000000000002</v>
      </c>
      <c r="L1021" s="14">
        <f t="shared" ref="L1021:L1084" ca="1" si="214">IF(B1021+C1021&lt;E1021,Shortage_Cost*(E1021-B1021-C1021),0)</f>
        <v>0</v>
      </c>
      <c r="M1021" s="15">
        <f t="shared" ref="M1021:M1084" ca="1" si="215">SUM(J1021:L1021)</f>
        <v>304.60000000000002</v>
      </c>
      <c r="N1021" s="16">
        <f ca="1">SUM($M$9:M1021)/A1021</f>
        <v>338.36683119447196</v>
      </c>
      <c r="O1021" s="6"/>
    </row>
    <row r="1022" spans="1:15" x14ac:dyDescent="0.25">
      <c r="A1022" s="8">
        <v>1014</v>
      </c>
      <c r="B1022" s="9">
        <f t="shared" ca="1" si="207"/>
        <v>1523</v>
      </c>
      <c r="C1022" s="10">
        <f t="shared" ca="1" si="208"/>
        <v>0</v>
      </c>
      <c r="D1022" s="11">
        <f t="shared" ca="1" si="204"/>
        <v>0.69403317799214137</v>
      </c>
      <c r="E1022" s="9">
        <f t="shared" ca="1" si="205"/>
        <v>425</v>
      </c>
      <c r="F1022" s="9">
        <f t="shared" ca="1" si="209"/>
        <v>1098</v>
      </c>
      <c r="G1022" s="12" t="str">
        <f t="shared" ca="1" si="210"/>
        <v>No</v>
      </c>
      <c r="H1022" s="12">
        <f t="shared" ca="1" si="206"/>
        <v>0</v>
      </c>
      <c r="I1022" s="10">
        <f t="shared" ca="1" si="211"/>
        <v>0</v>
      </c>
      <c r="J1022" s="13">
        <f t="shared" ca="1" si="212"/>
        <v>0</v>
      </c>
      <c r="K1022" s="14">
        <f t="shared" ca="1" si="213"/>
        <v>219.60000000000002</v>
      </c>
      <c r="L1022" s="14">
        <f t="shared" ca="1" si="214"/>
        <v>0</v>
      </c>
      <c r="M1022" s="15">
        <f t="shared" ca="1" si="215"/>
        <v>219.60000000000002</v>
      </c>
      <c r="N1022" s="16">
        <f ca="1">SUM($M$9:M1022)/A1022</f>
        <v>338.24970414201192</v>
      </c>
      <c r="O1022" s="6"/>
    </row>
    <row r="1023" spans="1:15" x14ac:dyDescent="0.25">
      <c r="A1023" s="8">
        <v>1015</v>
      </c>
      <c r="B1023" s="9">
        <f t="shared" ca="1" si="207"/>
        <v>1098</v>
      </c>
      <c r="C1023" s="10">
        <f t="shared" ca="1" si="208"/>
        <v>0</v>
      </c>
      <c r="D1023" s="11">
        <f t="shared" ca="1" si="204"/>
        <v>9.5730820231709757E-2</v>
      </c>
      <c r="E1023" s="9">
        <f t="shared" ca="1" si="205"/>
        <v>334</v>
      </c>
      <c r="F1023" s="9">
        <f t="shared" ca="1" si="209"/>
        <v>764</v>
      </c>
      <c r="G1023" s="12" t="str">
        <f t="shared" ca="1" si="210"/>
        <v>Yes</v>
      </c>
      <c r="H1023" s="12">
        <f t="shared" ca="1" si="206"/>
        <v>0.58987226135600135</v>
      </c>
      <c r="I1023" s="10">
        <f t="shared" ca="1" si="211"/>
        <v>1</v>
      </c>
      <c r="J1023" s="13">
        <f t="shared" ca="1" si="212"/>
        <v>300</v>
      </c>
      <c r="K1023" s="14">
        <f t="shared" ca="1" si="213"/>
        <v>152.80000000000001</v>
      </c>
      <c r="L1023" s="14">
        <f t="shared" ca="1" si="214"/>
        <v>0</v>
      </c>
      <c r="M1023" s="15">
        <f t="shared" ca="1" si="215"/>
        <v>452.8</v>
      </c>
      <c r="N1023" s="16">
        <f ca="1">SUM($M$9:M1023)/A1023</f>
        <v>338.36256157635472</v>
      </c>
      <c r="O1023" s="6"/>
    </row>
    <row r="1024" spans="1:15" x14ac:dyDescent="0.25">
      <c r="A1024" s="8">
        <v>1016</v>
      </c>
      <c r="B1024" s="9">
        <f t="shared" ca="1" si="207"/>
        <v>2564</v>
      </c>
      <c r="C1024" s="10">
        <f t="shared" ca="1" si="208"/>
        <v>1800</v>
      </c>
      <c r="D1024" s="11">
        <f t="shared" ca="1" si="204"/>
        <v>0.48701314507931415</v>
      </c>
      <c r="E1024" s="9">
        <f t="shared" ca="1" si="205"/>
        <v>398</v>
      </c>
      <c r="F1024" s="9">
        <f t="shared" ca="1" si="209"/>
        <v>2166</v>
      </c>
      <c r="G1024" s="12" t="str">
        <f t="shared" ca="1" si="210"/>
        <v>No</v>
      </c>
      <c r="H1024" s="12">
        <f t="shared" ca="1" si="206"/>
        <v>0</v>
      </c>
      <c r="I1024" s="10">
        <f t="shared" ca="1" si="211"/>
        <v>0</v>
      </c>
      <c r="J1024" s="13">
        <f t="shared" ca="1" si="212"/>
        <v>0</v>
      </c>
      <c r="K1024" s="14">
        <f t="shared" ca="1" si="213"/>
        <v>433.20000000000005</v>
      </c>
      <c r="L1024" s="14">
        <f t="shared" ca="1" si="214"/>
        <v>0</v>
      </c>
      <c r="M1024" s="15">
        <f t="shared" ca="1" si="215"/>
        <v>433.20000000000005</v>
      </c>
      <c r="N1024" s="16">
        <f ca="1">SUM($M$9:M1024)/A1024</f>
        <v>338.45590551181107</v>
      </c>
      <c r="O1024" s="6"/>
    </row>
    <row r="1025" spans="1:15" x14ac:dyDescent="0.25">
      <c r="A1025" s="8">
        <v>1017</v>
      </c>
      <c r="B1025" s="9">
        <f t="shared" ca="1" si="207"/>
        <v>2166</v>
      </c>
      <c r="C1025" s="10">
        <f t="shared" ca="1" si="208"/>
        <v>0</v>
      </c>
      <c r="D1025" s="11">
        <f t="shared" ca="1" si="204"/>
        <v>0.71287682403325303</v>
      </c>
      <c r="E1025" s="9">
        <f t="shared" ca="1" si="205"/>
        <v>428</v>
      </c>
      <c r="F1025" s="9">
        <f t="shared" ca="1" si="209"/>
        <v>1738</v>
      </c>
      <c r="G1025" s="12" t="str">
        <f t="shared" ca="1" si="210"/>
        <v>No</v>
      </c>
      <c r="H1025" s="12">
        <f t="shared" ca="1" si="206"/>
        <v>0</v>
      </c>
      <c r="I1025" s="10">
        <f t="shared" ca="1" si="211"/>
        <v>0</v>
      </c>
      <c r="J1025" s="13">
        <f t="shared" ca="1" si="212"/>
        <v>0</v>
      </c>
      <c r="K1025" s="14">
        <f t="shared" ca="1" si="213"/>
        <v>347.6</v>
      </c>
      <c r="L1025" s="14">
        <f t="shared" ca="1" si="214"/>
        <v>0</v>
      </c>
      <c r="M1025" s="15">
        <f t="shared" ca="1" si="215"/>
        <v>347.6</v>
      </c>
      <c r="N1025" s="16">
        <f ca="1">SUM($M$9:M1025)/A1025</f>
        <v>338.46489675516227</v>
      </c>
      <c r="O1025" s="6"/>
    </row>
    <row r="1026" spans="1:15" x14ac:dyDescent="0.25">
      <c r="A1026" s="8">
        <v>1018</v>
      </c>
      <c r="B1026" s="9">
        <f t="shared" ca="1" si="207"/>
        <v>1738</v>
      </c>
      <c r="C1026" s="10">
        <f t="shared" ca="1" si="208"/>
        <v>0</v>
      </c>
      <c r="D1026" s="11">
        <f t="shared" ca="1" si="204"/>
        <v>0.76969365383376587</v>
      </c>
      <c r="E1026" s="9">
        <f t="shared" ca="1" si="205"/>
        <v>436</v>
      </c>
      <c r="F1026" s="9">
        <f t="shared" ca="1" si="209"/>
        <v>1302</v>
      </c>
      <c r="G1026" s="12" t="str">
        <f t="shared" ca="1" si="210"/>
        <v>No</v>
      </c>
      <c r="H1026" s="12">
        <f t="shared" ca="1" si="206"/>
        <v>0</v>
      </c>
      <c r="I1026" s="10">
        <f t="shared" ca="1" si="211"/>
        <v>0</v>
      </c>
      <c r="J1026" s="13">
        <f t="shared" ca="1" si="212"/>
        <v>0</v>
      </c>
      <c r="K1026" s="14">
        <f t="shared" ca="1" si="213"/>
        <v>260.40000000000003</v>
      </c>
      <c r="L1026" s="14">
        <f t="shared" ca="1" si="214"/>
        <v>0</v>
      </c>
      <c r="M1026" s="15">
        <f t="shared" ca="1" si="215"/>
        <v>260.40000000000003</v>
      </c>
      <c r="N1026" s="16">
        <f ca="1">SUM($M$9:M1026)/A1026</f>
        <v>338.38821218074662</v>
      </c>
      <c r="O1026" s="6"/>
    </row>
    <row r="1027" spans="1:15" x14ac:dyDescent="0.25">
      <c r="A1027" s="8">
        <v>1019</v>
      </c>
      <c r="B1027" s="9">
        <f t="shared" ca="1" si="207"/>
        <v>1302</v>
      </c>
      <c r="C1027" s="10">
        <f t="shared" ca="1" si="208"/>
        <v>0</v>
      </c>
      <c r="D1027" s="11">
        <f t="shared" ca="1" si="204"/>
        <v>9.0182009042695466E-2</v>
      </c>
      <c r="E1027" s="9">
        <f t="shared" ca="1" si="205"/>
        <v>333</v>
      </c>
      <c r="F1027" s="9">
        <f t="shared" ca="1" si="209"/>
        <v>969</v>
      </c>
      <c r="G1027" s="12" t="str">
        <f t="shared" ca="1" si="210"/>
        <v>Yes</v>
      </c>
      <c r="H1027" s="12">
        <f t="shared" ca="1" si="206"/>
        <v>0.50684098036911029</v>
      </c>
      <c r="I1027" s="10">
        <f t="shared" ca="1" si="211"/>
        <v>1</v>
      </c>
      <c r="J1027" s="13">
        <f t="shared" ca="1" si="212"/>
        <v>300</v>
      </c>
      <c r="K1027" s="14">
        <f t="shared" ca="1" si="213"/>
        <v>193.8</v>
      </c>
      <c r="L1027" s="14">
        <f t="shared" ca="1" si="214"/>
        <v>0</v>
      </c>
      <c r="M1027" s="15">
        <f t="shared" ca="1" si="215"/>
        <v>493.8</v>
      </c>
      <c r="N1027" s="16">
        <f ca="1">SUM($M$9:M1027)/A1027</f>
        <v>338.54072620215902</v>
      </c>
      <c r="O1027" s="6"/>
    </row>
    <row r="1028" spans="1:15" x14ac:dyDescent="0.25">
      <c r="A1028" s="8">
        <v>1020</v>
      </c>
      <c r="B1028" s="9">
        <f t="shared" ca="1" si="207"/>
        <v>2769</v>
      </c>
      <c r="C1028" s="10">
        <f t="shared" ca="1" si="208"/>
        <v>1800</v>
      </c>
      <c r="D1028" s="11">
        <f t="shared" ca="1" si="204"/>
        <v>0.75879750897089804</v>
      </c>
      <c r="E1028" s="9">
        <f t="shared" ca="1" si="205"/>
        <v>435</v>
      </c>
      <c r="F1028" s="9">
        <f t="shared" ca="1" si="209"/>
        <v>2334</v>
      </c>
      <c r="G1028" s="12" t="str">
        <f t="shared" ca="1" si="210"/>
        <v>No</v>
      </c>
      <c r="H1028" s="12">
        <f t="shared" ca="1" si="206"/>
        <v>0</v>
      </c>
      <c r="I1028" s="10">
        <f t="shared" ca="1" si="211"/>
        <v>0</v>
      </c>
      <c r="J1028" s="13">
        <f t="shared" ca="1" si="212"/>
        <v>0</v>
      </c>
      <c r="K1028" s="14">
        <f t="shared" ca="1" si="213"/>
        <v>466.8</v>
      </c>
      <c r="L1028" s="14">
        <f t="shared" ca="1" si="214"/>
        <v>0</v>
      </c>
      <c r="M1028" s="15">
        <f t="shared" ca="1" si="215"/>
        <v>466.8</v>
      </c>
      <c r="N1028" s="16">
        <f ca="1">SUM($M$9:M1028)/A1028</f>
        <v>338.66647058823531</v>
      </c>
      <c r="O1028" s="6"/>
    </row>
    <row r="1029" spans="1:15" x14ac:dyDescent="0.25">
      <c r="A1029" s="8">
        <v>1021</v>
      </c>
      <c r="B1029" s="9">
        <f t="shared" ca="1" si="207"/>
        <v>2334</v>
      </c>
      <c r="C1029" s="10">
        <f t="shared" ca="1" si="208"/>
        <v>0</v>
      </c>
      <c r="D1029" s="11">
        <f t="shared" ca="1" si="204"/>
        <v>0.8049154596516751</v>
      </c>
      <c r="E1029" s="9">
        <f t="shared" ca="1" si="205"/>
        <v>442</v>
      </c>
      <c r="F1029" s="9">
        <f t="shared" ca="1" si="209"/>
        <v>1892</v>
      </c>
      <c r="G1029" s="12" t="str">
        <f t="shared" ca="1" si="210"/>
        <v>No</v>
      </c>
      <c r="H1029" s="12">
        <f t="shared" ca="1" si="206"/>
        <v>0</v>
      </c>
      <c r="I1029" s="10">
        <f t="shared" ca="1" si="211"/>
        <v>0</v>
      </c>
      <c r="J1029" s="13">
        <f t="shared" ca="1" si="212"/>
        <v>0</v>
      </c>
      <c r="K1029" s="14">
        <f t="shared" ca="1" si="213"/>
        <v>378.40000000000003</v>
      </c>
      <c r="L1029" s="14">
        <f t="shared" ca="1" si="214"/>
        <v>0</v>
      </c>
      <c r="M1029" s="15">
        <f t="shared" ca="1" si="215"/>
        <v>378.40000000000003</v>
      </c>
      <c r="N1029" s="16">
        <f ca="1">SUM($M$9:M1029)/A1029</f>
        <v>338.70538687561219</v>
      </c>
      <c r="O1029" s="6"/>
    </row>
    <row r="1030" spans="1:15" x14ac:dyDescent="0.25">
      <c r="A1030" s="8">
        <v>1022</v>
      </c>
      <c r="B1030" s="9">
        <f t="shared" ca="1" si="207"/>
        <v>1892</v>
      </c>
      <c r="C1030" s="10">
        <f t="shared" ca="1" si="208"/>
        <v>0</v>
      </c>
      <c r="D1030" s="11">
        <f t="shared" ca="1" si="204"/>
        <v>0.13582240173298277</v>
      </c>
      <c r="E1030" s="9">
        <f t="shared" ca="1" si="205"/>
        <v>345</v>
      </c>
      <c r="F1030" s="9">
        <f t="shared" ca="1" si="209"/>
        <v>1547</v>
      </c>
      <c r="G1030" s="12" t="str">
        <f t="shared" ca="1" si="210"/>
        <v>No</v>
      </c>
      <c r="H1030" s="12">
        <f t="shared" ca="1" si="206"/>
        <v>0</v>
      </c>
      <c r="I1030" s="10">
        <f t="shared" ca="1" si="211"/>
        <v>0</v>
      </c>
      <c r="J1030" s="13">
        <f t="shared" ca="1" si="212"/>
        <v>0</v>
      </c>
      <c r="K1030" s="14">
        <f t="shared" ca="1" si="213"/>
        <v>309.40000000000003</v>
      </c>
      <c r="L1030" s="14">
        <f t="shared" ca="1" si="214"/>
        <v>0</v>
      </c>
      <c r="M1030" s="15">
        <f t="shared" ca="1" si="215"/>
        <v>309.40000000000003</v>
      </c>
      <c r="N1030" s="16">
        <f ca="1">SUM($M$9:M1030)/A1030</f>
        <v>338.67671232876722</v>
      </c>
      <c r="O1030" s="6"/>
    </row>
    <row r="1031" spans="1:15" x14ac:dyDescent="0.25">
      <c r="A1031" s="8">
        <v>1023</v>
      </c>
      <c r="B1031" s="9">
        <f t="shared" ca="1" si="207"/>
        <v>1547</v>
      </c>
      <c r="C1031" s="10">
        <f t="shared" ca="1" si="208"/>
        <v>0</v>
      </c>
      <c r="D1031" s="11">
        <f t="shared" ca="1" si="204"/>
        <v>0.30507144725531721</v>
      </c>
      <c r="E1031" s="9">
        <f t="shared" ca="1" si="205"/>
        <v>374</v>
      </c>
      <c r="F1031" s="9">
        <f t="shared" ca="1" si="209"/>
        <v>1173</v>
      </c>
      <c r="G1031" s="12" t="str">
        <f t="shared" ca="1" si="210"/>
        <v>No</v>
      </c>
      <c r="H1031" s="12">
        <f t="shared" ca="1" si="206"/>
        <v>0</v>
      </c>
      <c r="I1031" s="10">
        <f t="shared" ca="1" si="211"/>
        <v>0</v>
      </c>
      <c r="J1031" s="13">
        <f t="shared" ca="1" si="212"/>
        <v>0</v>
      </c>
      <c r="K1031" s="14">
        <f t="shared" ca="1" si="213"/>
        <v>234.60000000000002</v>
      </c>
      <c r="L1031" s="14">
        <f t="shared" ca="1" si="214"/>
        <v>0</v>
      </c>
      <c r="M1031" s="15">
        <f t="shared" ca="1" si="215"/>
        <v>234.60000000000002</v>
      </c>
      <c r="N1031" s="16">
        <f ca="1">SUM($M$9:M1031)/A1031</f>
        <v>338.57497556207238</v>
      </c>
      <c r="O1031" s="6"/>
    </row>
    <row r="1032" spans="1:15" x14ac:dyDescent="0.25">
      <c r="A1032" s="8">
        <v>1024</v>
      </c>
      <c r="B1032" s="9">
        <f t="shared" ca="1" si="207"/>
        <v>1173</v>
      </c>
      <c r="C1032" s="10">
        <f t="shared" ca="1" si="208"/>
        <v>0</v>
      </c>
      <c r="D1032" s="11">
        <f t="shared" ca="1" si="204"/>
        <v>0.46553508693087597</v>
      </c>
      <c r="E1032" s="9">
        <f t="shared" ca="1" si="205"/>
        <v>395</v>
      </c>
      <c r="F1032" s="9">
        <f t="shared" ca="1" si="209"/>
        <v>778</v>
      </c>
      <c r="G1032" s="12" t="str">
        <f t="shared" ca="1" si="210"/>
        <v>Yes</v>
      </c>
      <c r="H1032" s="12">
        <f t="shared" ca="1" si="206"/>
        <v>0.3758526682836274</v>
      </c>
      <c r="I1032" s="10">
        <f t="shared" ca="1" si="211"/>
        <v>1</v>
      </c>
      <c r="J1032" s="13">
        <f t="shared" ca="1" si="212"/>
        <v>300</v>
      </c>
      <c r="K1032" s="14">
        <f t="shared" ca="1" si="213"/>
        <v>155.60000000000002</v>
      </c>
      <c r="L1032" s="14">
        <f t="shared" ca="1" si="214"/>
        <v>0</v>
      </c>
      <c r="M1032" s="15">
        <f t="shared" ca="1" si="215"/>
        <v>455.6</v>
      </c>
      <c r="N1032" s="16">
        <f ca="1">SUM($M$9:M1032)/A1032</f>
        <v>338.68925781250005</v>
      </c>
      <c r="O1032" s="6"/>
    </row>
    <row r="1033" spans="1:15" x14ac:dyDescent="0.25">
      <c r="A1033" s="8">
        <v>1025</v>
      </c>
      <c r="B1033" s="9">
        <f t="shared" ca="1" si="207"/>
        <v>2578</v>
      </c>
      <c r="C1033" s="10">
        <f t="shared" ca="1" si="208"/>
        <v>1800</v>
      </c>
      <c r="D1033" s="11">
        <f t="shared" ca="1" si="204"/>
        <v>0.65920413977672587</v>
      </c>
      <c r="E1033" s="9">
        <f t="shared" ca="1" si="205"/>
        <v>420</v>
      </c>
      <c r="F1033" s="9">
        <f t="shared" ca="1" si="209"/>
        <v>2158</v>
      </c>
      <c r="G1033" s="12" t="str">
        <f t="shared" ca="1" si="210"/>
        <v>No</v>
      </c>
      <c r="H1033" s="12">
        <f t="shared" ca="1" si="206"/>
        <v>0</v>
      </c>
      <c r="I1033" s="10">
        <f t="shared" ca="1" si="211"/>
        <v>0</v>
      </c>
      <c r="J1033" s="13">
        <f t="shared" ca="1" si="212"/>
        <v>0</v>
      </c>
      <c r="K1033" s="14">
        <f t="shared" ca="1" si="213"/>
        <v>431.6</v>
      </c>
      <c r="L1033" s="14">
        <f t="shared" ca="1" si="214"/>
        <v>0</v>
      </c>
      <c r="M1033" s="15">
        <f t="shared" ca="1" si="215"/>
        <v>431.6</v>
      </c>
      <c r="N1033" s="16">
        <f ca="1">SUM($M$9:M1033)/A1033</f>
        <v>338.7799024390244</v>
      </c>
      <c r="O1033" s="6"/>
    </row>
    <row r="1034" spans="1:15" x14ac:dyDescent="0.25">
      <c r="A1034" s="8">
        <v>1026</v>
      </c>
      <c r="B1034" s="9">
        <f t="shared" ca="1" si="207"/>
        <v>2158</v>
      </c>
      <c r="C1034" s="10">
        <f t="shared" ca="1" si="208"/>
        <v>0</v>
      </c>
      <c r="D1034" s="11">
        <f t="shared" ref="D1034:D1097" ca="1" si="216">RAND()</f>
        <v>8.021201375557796E-2</v>
      </c>
      <c r="E1034" s="9">
        <f t="shared" ref="E1034:E1097" ca="1" si="217">INT(NORMINV(D1034,D_Mean,D_StdDev))</f>
        <v>329</v>
      </c>
      <c r="F1034" s="9">
        <f t="shared" ca="1" si="209"/>
        <v>1829</v>
      </c>
      <c r="G1034" s="12" t="str">
        <f t="shared" ca="1" si="210"/>
        <v>No</v>
      </c>
      <c r="H1034" s="12">
        <f t="shared" ref="H1034:H1097" ca="1" si="218">IF(G1034="Yes",RAND(),0)</f>
        <v>0</v>
      </c>
      <c r="I1034" s="10">
        <f t="shared" ca="1" si="211"/>
        <v>0</v>
      </c>
      <c r="J1034" s="13">
        <f t="shared" ca="1" si="212"/>
        <v>0</v>
      </c>
      <c r="K1034" s="14">
        <f t="shared" ca="1" si="213"/>
        <v>365.8</v>
      </c>
      <c r="L1034" s="14">
        <f t="shared" ca="1" si="214"/>
        <v>0</v>
      </c>
      <c r="M1034" s="15">
        <f t="shared" ca="1" si="215"/>
        <v>365.8</v>
      </c>
      <c r="N1034" s="16">
        <f ca="1">SUM($M$9:M1034)/A1034</f>
        <v>338.80623781676417</v>
      </c>
      <c r="O1034" s="6"/>
    </row>
    <row r="1035" spans="1:15" x14ac:dyDescent="0.25">
      <c r="A1035" s="8">
        <v>1027</v>
      </c>
      <c r="B1035" s="9">
        <f t="shared" ca="1" si="207"/>
        <v>1829</v>
      </c>
      <c r="C1035" s="10">
        <f t="shared" ca="1" si="208"/>
        <v>0</v>
      </c>
      <c r="D1035" s="11">
        <f t="shared" ca="1" si="216"/>
        <v>0.92275914546887439</v>
      </c>
      <c r="E1035" s="9">
        <f t="shared" ca="1" si="217"/>
        <v>471</v>
      </c>
      <c r="F1035" s="9">
        <f t="shared" ca="1" si="209"/>
        <v>1358</v>
      </c>
      <c r="G1035" s="12" t="str">
        <f t="shared" ca="1" si="210"/>
        <v>No</v>
      </c>
      <c r="H1035" s="12">
        <f t="shared" ca="1" si="218"/>
        <v>0</v>
      </c>
      <c r="I1035" s="10">
        <f t="shared" ca="1" si="211"/>
        <v>0</v>
      </c>
      <c r="J1035" s="13">
        <f t="shared" ca="1" si="212"/>
        <v>0</v>
      </c>
      <c r="K1035" s="14">
        <f t="shared" ca="1" si="213"/>
        <v>271.60000000000002</v>
      </c>
      <c r="L1035" s="14">
        <f t="shared" ca="1" si="214"/>
        <v>0</v>
      </c>
      <c r="M1035" s="15">
        <f t="shared" ca="1" si="215"/>
        <v>271.60000000000002</v>
      </c>
      <c r="N1035" s="16">
        <f ca="1">SUM($M$9:M1035)/A1035</f>
        <v>338.74079844206426</v>
      </c>
      <c r="O1035" s="6"/>
    </row>
    <row r="1036" spans="1:15" x14ac:dyDescent="0.25">
      <c r="A1036" s="8">
        <v>1028</v>
      </c>
      <c r="B1036" s="9">
        <f t="shared" ca="1" si="207"/>
        <v>1358</v>
      </c>
      <c r="C1036" s="10">
        <f t="shared" ca="1" si="208"/>
        <v>0</v>
      </c>
      <c r="D1036" s="11">
        <f t="shared" ca="1" si="216"/>
        <v>0.70838556468572056</v>
      </c>
      <c r="E1036" s="9">
        <f t="shared" ca="1" si="217"/>
        <v>427</v>
      </c>
      <c r="F1036" s="9">
        <f t="shared" ca="1" si="209"/>
        <v>931</v>
      </c>
      <c r="G1036" s="12" t="str">
        <f t="shared" ca="1" si="210"/>
        <v>Yes</v>
      </c>
      <c r="H1036" s="12">
        <f t="shared" ca="1" si="218"/>
        <v>0.72961212169587164</v>
      </c>
      <c r="I1036" s="10">
        <f t="shared" ca="1" si="211"/>
        <v>2</v>
      </c>
      <c r="J1036" s="13">
        <f t="shared" ca="1" si="212"/>
        <v>300</v>
      </c>
      <c r="K1036" s="14">
        <f t="shared" ca="1" si="213"/>
        <v>186.20000000000002</v>
      </c>
      <c r="L1036" s="14">
        <f t="shared" ca="1" si="214"/>
        <v>0</v>
      </c>
      <c r="M1036" s="15">
        <f t="shared" ca="1" si="215"/>
        <v>486.20000000000005</v>
      </c>
      <c r="N1036" s="16">
        <f ca="1">SUM($M$9:M1036)/A1036</f>
        <v>338.8842412451362</v>
      </c>
      <c r="O1036" s="6"/>
    </row>
    <row r="1037" spans="1:15" x14ac:dyDescent="0.25">
      <c r="A1037" s="8">
        <v>1029</v>
      </c>
      <c r="B1037" s="9">
        <f t="shared" ca="1" si="207"/>
        <v>931</v>
      </c>
      <c r="C1037" s="10">
        <f t="shared" ca="1" si="208"/>
        <v>0</v>
      </c>
      <c r="D1037" s="11">
        <f t="shared" ca="1" si="216"/>
        <v>0.97961270965058711</v>
      </c>
      <c r="E1037" s="9">
        <f t="shared" ca="1" si="217"/>
        <v>502</v>
      </c>
      <c r="F1037" s="9">
        <f t="shared" ca="1" si="209"/>
        <v>429</v>
      </c>
      <c r="G1037" s="12" t="str">
        <f t="shared" ca="1" si="210"/>
        <v>No</v>
      </c>
      <c r="H1037" s="12">
        <f t="shared" ca="1" si="218"/>
        <v>0</v>
      </c>
      <c r="I1037" s="10">
        <f t="shared" ca="1" si="211"/>
        <v>1</v>
      </c>
      <c r="J1037" s="13">
        <f t="shared" ca="1" si="212"/>
        <v>0</v>
      </c>
      <c r="K1037" s="14">
        <f t="shared" ca="1" si="213"/>
        <v>85.800000000000011</v>
      </c>
      <c r="L1037" s="14">
        <f t="shared" ca="1" si="214"/>
        <v>0</v>
      </c>
      <c r="M1037" s="15">
        <f t="shared" ca="1" si="215"/>
        <v>85.800000000000011</v>
      </c>
      <c r="N1037" s="16">
        <f ca="1">SUM($M$9:M1037)/A1037</f>
        <v>338.6382896015549</v>
      </c>
      <c r="O1037" s="6"/>
    </row>
    <row r="1038" spans="1:15" x14ac:dyDescent="0.25">
      <c r="A1038" s="8">
        <v>1030</v>
      </c>
      <c r="B1038" s="9">
        <f t="shared" ca="1" si="207"/>
        <v>2229</v>
      </c>
      <c r="C1038" s="10">
        <f t="shared" ca="1" si="208"/>
        <v>1800</v>
      </c>
      <c r="D1038" s="11">
        <f t="shared" ca="1" si="216"/>
        <v>0.20589376997344178</v>
      </c>
      <c r="E1038" s="9">
        <f t="shared" ca="1" si="217"/>
        <v>358</v>
      </c>
      <c r="F1038" s="9">
        <f t="shared" ca="1" si="209"/>
        <v>1871</v>
      </c>
      <c r="G1038" s="12" t="str">
        <f t="shared" ca="1" si="210"/>
        <v>No</v>
      </c>
      <c r="H1038" s="12">
        <f t="shared" ca="1" si="218"/>
        <v>0</v>
      </c>
      <c r="I1038" s="10">
        <f t="shared" ca="1" si="211"/>
        <v>0</v>
      </c>
      <c r="J1038" s="13">
        <f t="shared" ca="1" si="212"/>
        <v>0</v>
      </c>
      <c r="K1038" s="14">
        <f t="shared" ca="1" si="213"/>
        <v>374.20000000000005</v>
      </c>
      <c r="L1038" s="14">
        <f t="shared" ca="1" si="214"/>
        <v>0</v>
      </c>
      <c r="M1038" s="15">
        <f t="shared" ca="1" si="215"/>
        <v>374.20000000000005</v>
      </c>
      <c r="N1038" s="16">
        <f ca="1">SUM($M$9:M1038)/A1038</f>
        <v>338.67281553398061</v>
      </c>
      <c r="O1038" s="6"/>
    </row>
    <row r="1039" spans="1:15" x14ac:dyDescent="0.25">
      <c r="A1039" s="8">
        <v>1031</v>
      </c>
      <c r="B1039" s="9">
        <f t="shared" ca="1" si="207"/>
        <v>1871</v>
      </c>
      <c r="C1039" s="10">
        <f t="shared" ca="1" si="208"/>
        <v>0</v>
      </c>
      <c r="D1039" s="11">
        <f t="shared" ca="1" si="216"/>
        <v>0.27687032239544296</v>
      </c>
      <c r="E1039" s="9">
        <f t="shared" ca="1" si="217"/>
        <v>370</v>
      </c>
      <c r="F1039" s="9">
        <f t="shared" ca="1" si="209"/>
        <v>1501</v>
      </c>
      <c r="G1039" s="12" t="str">
        <f t="shared" ca="1" si="210"/>
        <v>No</v>
      </c>
      <c r="H1039" s="12">
        <f t="shared" ca="1" si="218"/>
        <v>0</v>
      </c>
      <c r="I1039" s="10">
        <f t="shared" ca="1" si="211"/>
        <v>0</v>
      </c>
      <c r="J1039" s="13">
        <f t="shared" ca="1" si="212"/>
        <v>0</v>
      </c>
      <c r="K1039" s="14">
        <f t="shared" ca="1" si="213"/>
        <v>300.2</v>
      </c>
      <c r="L1039" s="14">
        <f t="shared" ca="1" si="214"/>
        <v>0</v>
      </c>
      <c r="M1039" s="15">
        <f t="shared" ca="1" si="215"/>
        <v>300.2</v>
      </c>
      <c r="N1039" s="16">
        <f ca="1">SUM($M$9:M1039)/A1039</f>
        <v>338.63549951503398</v>
      </c>
      <c r="O1039" s="6"/>
    </row>
    <row r="1040" spans="1:15" x14ac:dyDescent="0.25">
      <c r="A1040" s="8">
        <v>1032</v>
      </c>
      <c r="B1040" s="9">
        <f t="shared" ca="1" si="207"/>
        <v>1501</v>
      </c>
      <c r="C1040" s="10">
        <f t="shared" ca="1" si="208"/>
        <v>0</v>
      </c>
      <c r="D1040" s="11">
        <f t="shared" ca="1" si="216"/>
        <v>0.23203076107327492</v>
      </c>
      <c r="E1040" s="9">
        <f t="shared" ca="1" si="217"/>
        <v>363</v>
      </c>
      <c r="F1040" s="9">
        <f t="shared" ca="1" si="209"/>
        <v>1138</v>
      </c>
      <c r="G1040" s="12" t="str">
        <f t="shared" ca="1" si="210"/>
        <v>No</v>
      </c>
      <c r="H1040" s="12">
        <f t="shared" ca="1" si="218"/>
        <v>0</v>
      </c>
      <c r="I1040" s="10">
        <f t="shared" ca="1" si="211"/>
        <v>0</v>
      </c>
      <c r="J1040" s="13">
        <f t="shared" ca="1" si="212"/>
        <v>0</v>
      </c>
      <c r="K1040" s="14">
        <f t="shared" ca="1" si="213"/>
        <v>227.60000000000002</v>
      </c>
      <c r="L1040" s="14">
        <f t="shared" ca="1" si="214"/>
        <v>0</v>
      </c>
      <c r="M1040" s="15">
        <f t="shared" ca="1" si="215"/>
        <v>227.60000000000002</v>
      </c>
      <c r="N1040" s="16">
        <f ca="1">SUM($M$9:M1040)/A1040</f>
        <v>338.52790697674419</v>
      </c>
      <c r="O1040" s="6"/>
    </row>
    <row r="1041" spans="1:15" x14ac:dyDescent="0.25">
      <c r="A1041" s="8">
        <v>1033</v>
      </c>
      <c r="B1041" s="9">
        <f t="shared" ca="1" si="207"/>
        <v>1138</v>
      </c>
      <c r="C1041" s="10">
        <f t="shared" ca="1" si="208"/>
        <v>0</v>
      </c>
      <c r="D1041" s="11">
        <f t="shared" ca="1" si="216"/>
        <v>0.95258035497439164</v>
      </c>
      <c r="E1041" s="9">
        <f t="shared" ca="1" si="217"/>
        <v>483</v>
      </c>
      <c r="F1041" s="9">
        <f t="shared" ca="1" si="209"/>
        <v>655</v>
      </c>
      <c r="G1041" s="12" t="str">
        <f t="shared" ca="1" si="210"/>
        <v>Yes</v>
      </c>
      <c r="H1041" s="12">
        <f t="shared" ca="1" si="218"/>
        <v>0.39756043163725641</v>
      </c>
      <c r="I1041" s="10">
        <f t="shared" ca="1" si="211"/>
        <v>1</v>
      </c>
      <c r="J1041" s="13">
        <f t="shared" ca="1" si="212"/>
        <v>300</v>
      </c>
      <c r="K1041" s="14">
        <f t="shared" ca="1" si="213"/>
        <v>131</v>
      </c>
      <c r="L1041" s="14">
        <f t="shared" ca="1" si="214"/>
        <v>0</v>
      </c>
      <c r="M1041" s="15">
        <f t="shared" ca="1" si="215"/>
        <v>431</v>
      </c>
      <c r="N1041" s="16">
        <f ca="1">SUM($M$9:M1041)/A1041</f>
        <v>338.61742497579866</v>
      </c>
      <c r="O1041" s="6"/>
    </row>
    <row r="1042" spans="1:15" x14ac:dyDescent="0.25">
      <c r="A1042" s="8">
        <v>1034</v>
      </c>
      <c r="B1042" s="9">
        <f t="shared" ca="1" si="207"/>
        <v>2455</v>
      </c>
      <c r="C1042" s="10">
        <f t="shared" ca="1" si="208"/>
        <v>1800</v>
      </c>
      <c r="D1042" s="11">
        <f t="shared" ca="1" si="216"/>
        <v>0.88694252402952944</v>
      </c>
      <c r="E1042" s="9">
        <f t="shared" ca="1" si="217"/>
        <v>460</v>
      </c>
      <c r="F1042" s="9">
        <f t="shared" ca="1" si="209"/>
        <v>1995</v>
      </c>
      <c r="G1042" s="12" t="str">
        <f t="shared" ca="1" si="210"/>
        <v>No</v>
      </c>
      <c r="H1042" s="12">
        <f t="shared" ca="1" si="218"/>
        <v>0</v>
      </c>
      <c r="I1042" s="10">
        <f t="shared" ca="1" si="211"/>
        <v>0</v>
      </c>
      <c r="J1042" s="13">
        <f t="shared" ca="1" si="212"/>
        <v>0</v>
      </c>
      <c r="K1042" s="14">
        <f t="shared" ca="1" si="213"/>
        <v>399</v>
      </c>
      <c r="L1042" s="14">
        <f t="shared" ca="1" si="214"/>
        <v>0</v>
      </c>
      <c r="M1042" s="15">
        <f t="shared" ca="1" si="215"/>
        <v>399</v>
      </c>
      <c r="N1042" s="16">
        <f ca="1">SUM($M$9:M1042)/A1042</f>
        <v>338.67582205029015</v>
      </c>
      <c r="O1042" s="6"/>
    </row>
    <row r="1043" spans="1:15" x14ac:dyDescent="0.25">
      <c r="A1043" s="8">
        <v>1035</v>
      </c>
      <c r="B1043" s="9">
        <f t="shared" ca="1" si="207"/>
        <v>1995</v>
      </c>
      <c r="C1043" s="10">
        <f t="shared" ca="1" si="208"/>
        <v>0</v>
      </c>
      <c r="D1043" s="11">
        <f t="shared" ca="1" si="216"/>
        <v>0.5307894175417307</v>
      </c>
      <c r="E1043" s="9">
        <f t="shared" ca="1" si="217"/>
        <v>403</v>
      </c>
      <c r="F1043" s="9">
        <f t="shared" ca="1" si="209"/>
        <v>1592</v>
      </c>
      <c r="G1043" s="12" t="str">
        <f t="shared" ca="1" si="210"/>
        <v>No</v>
      </c>
      <c r="H1043" s="12">
        <f t="shared" ca="1" si="218"/>
        <v>0</v>
      </c>
      <c r="I1043" s="10">
        <f t="shared" ca="1" si="211"/>
        <v>0</v>
      </c>
      <c r="J1043" s="13">
        <f t="shared" ca="1" si="212"/>
        <v>0</v>
      </c>
      <c r="K1043" s="14">
        <f t="shared" ca="1" si="213"/>
        <v>318.40000000000003</v>
      </c>
      <c r="L1043" s="14">
        <f t="shared" ca="1" si="214"/>
        <v>0</v>
      </c>
      <c r="M1043" s="15">
        <f t="shared" ca="1" si="215"/>
        <v>318.40000000000003</v>
      </c>
      <c r="N1043" s="16">
        <f ca="1">SUM($M$9:M1043)/A1043</f>
        <v>338.656231884058</v>
      </c>
      <c r="O1043" s="6"/>
    </row>
    <row r="1044" spans="1:15" x14ac:dyDescent="0.25">
      <c r="A1044" s="8">
        <v>1036</v>
      </c>
      <c r="B1044" s="9">
        <f t="shared" ca="1" si="207"/>
        <v>1592</v>
      </c>
      <c r="C1044" s="10">
        <f t="shared" ca="1" si="208"/>
        <v>0</v>
      </c>
      <c r="D1044" s="11">
        <f t="shared" ca="1" si="216"/>
        <v>0.70063888590762424</v>
      </c>
      <c r="E1044" s="9">
        <f t="shared" ca="1" si="217"/>
        <v>426</v>
      </c>
      <c r="F1044" s="9">
        <f t="shared" ca="1" si="209"/>
        <v>1166</v>
      </c>
      <c r="G1044" s="12" t="str">
        <f t="shared" ca="1" si="210"/>
        <v>No</v>
      </c>
      <c r="H1044" s="12">
        <f t="shared" ca="1" si="218"/>
        <v>0</v>
      </c>
      <c r="I1044" s="10">
        <f t="shared" ca="1" si="211"/>
        <v>0</v>
      </c>
      <c r="J1044" s="13">
        <f t="shared" ca="1" si="212"/>
        <v>0</v>
      </c>
      <c r="K1044" s="14">
        <f t="shared" ca="1" si="213"/>
        <v>233.20000000000002</v>
      </c>
      <c r="L1044" s="14">
        <f t="shared" ca="1" si="214"/>
        <v>0</v>
      </c>
      <c r="M1044" s="15">
        <f t="shared" ca="1" si="215"/>
        <v>233.20000000000002</v>
      </c>
      <c r="N1044" s="16">
        <f ca="1">SUM($M$9:M1044)/A1044</f>
        <v>338.55444015444016</v>
      </c>
      <c r="O1044" s="6"/>
    </row>
    <row r="1045" spans="1:15" x14ac:dyDescent="0.25">
      <c r="A1045" s="8">
        <v>1037</v>
      </c>
      <c r="B1045" s="9">
        <f t="shared" ca="1" si="207"/>
        <v>1166</v>
      </c>
      <c r="C1045" s="10">
        <f t="shared" ca="1" si="208"/>
        <v>0</v>
      </c>
      <c r="D1045" s="11">
        <f t="shared" ca="1" si="216"/>
        <v>0.44238368256967608</v>
      </c>
      <c r="E1045" s="9">
        <f t="shared" ca="1" si="217"/>
        <v>392</v>
      </c>
      <c r="F1045" s="9">
        <f t="shared" ca="1" si="209"/>
        <v>774</v>
      </c>
      <c r="G1045" s="12" t="str">
        <f t="shared" ca="1" si="210"/>
        <v>Yes</v>
      </c>
      <c r="H1045" s="12">
        <f t="shared" ca="1" si="218"/>
        <v>0.3040467346941208</v>
      </c>
      <c r="I1045" s="10">
        <f t="shared" ca="1" si="211"/>
        <v>1</v>
      </c>
      <c r="J1045" s="13">
        <f t="shared" ca="1" si="212"/>
        <v>300</v>
      </c>
      <c r="K1045" s="14">
        <f t="shared" ca="1" si="213"/>
        <v>154.80000000000001</v>
      </c>
      <c r="L1045" s="14">
        <f t="shared" ca="1" si="214"/>
        <v>0</v>
      </c>
      <c r="M1045" s="15">
        <f t="shared" ca="1" si="215"/>
        <v>454.8</v>
      </c>
      <c r="N1045" s="16">
        <f ca="1">SUM($M$9:M1045)/A1045</f>
        <v>338.6665380906461</v>
      </c>
      <c r="O1045" s="6"/>
    </row>
    <row r="1046" spans="1:15" x14ac:dyDescent="0.25">
      <c r="A1046" s="8">
        <v>1038</v>
      </c>
      <c r="B1046" s="9">
        <f t="shared" ca="1" si="207"/>
        <v>2574</v>
      </c>
      <c r="C1046" s="10">
        <f t="shared" ca="1" si="208"/>
        <v>1800</v>
      </c>
      <c r="D1046" s="11">
        <f t="shared" ca="1" si="216"/>
        <v>0.62617509558669748</v>
      </c>
      <c r="E1046" s="9">
        <f t="shared" ca="1" si="217"/>
        <v>416</v>
      </c>
      <c r="F1046" s="9">
        <f t="shared" ca="1" si="209"/>
        <v>2158</v>
      </c>
      <c r="G1046" s="12" t="str">
        <f t="shared" ca="1" si="210"/>
        <v>No</v>
      </c>
      <c r="H1046" s="12">
        <f t="shared" ca="1" si="218"/>
        <v>0</v>
      </c>
      <c r="I1046" s="10">
        <f t="shared" ca="1" si="211"/>
        <v>0</v>
      </c>
      <c r="J1046" s="13">
        <f t="shared" ca="1" si="212"/>
        <v>0</v>
      </c>
      <c r="K1046" s="14">
        <f t="shared" ca="1" si="213"/>
        <v>431.6</v>
      </c>
      <c r="L1046" s="14">
        <f t="shared" ca="1" si="214"/>
        <v>0</v>
      </c>
      <c r="M1046" s="15">
        <f t="shared" ca="1" si="215"/>
        <v>431.6</v>
      </c>
      <c r="N1046" s="16">
        <f ca="1">SUM($M$9:M1046)/A1046</f>
        <v>338.75606936416182</v>
      </c>
      <c r="O1046" s="6"/>
    </row>
    <row r="1047" spans="1:15" x14ac:dyDescent="0.25">
      <c r="A1047" s="8">
        <v>1039</v>
      </c>
      <c r="B1047" s="9">
        <f t="shared" ca="1" si="207"/>
        <v>2158</v>
      </c>
      <c r="C1047" s="10">
        <f t="shared" ca="1" si="208"/>
        <v>0</v>
      </c>
      <c r="D1047" s="11">
        <f t="shared" ca="1" si="216"/>
        <v>9.4017387010595255E-2</v>
      </c>
      <c r="E1047" s="9">
        <f t="shared" ca="1" si="217"/>
        <v>334</v>
      </c>
      <c r="F1047" s="9">
        <f t="shared" ca="1" si="209"/>
        <v>1824</v>
      </c>
      <c r="G1047" s="12" t="str">
        <f t="shared" ca="1" si="210"/>
        <v>No</v>
      </c>
      <c r="H1047" s="12">
        <f t="shared" ca="1" si="218"/>
        <v>0</v>
      </c>
      <c r="I1047" s="10">
        <f t="shared" ca="1" si="211"/>
        <v>0</v>
      </c>
      <c r="J1047" s="13">
        <f t="shared" ca="1" si="212"/>
        <v>0</v>
      </c>
      <c r="K1047" s="14">
        <f t="shared" ca="1" si="213"/>
        <v>364.8</v>
      </c>
      <c r="L1047" s="14">
        <f t="shared" ca="1" si="214"/>
        <v>0</v>
      </c>
      <c r="M1047" s="15">
        <f t="shared" ca="1" si="215"/>
        <v>364.8</v>
      </c>
      <c r="N1047" s="16">
        <f ca="1">SUM($M$9:M1047)/A1047</f>
        <v>338.78113570741095</v>
      </c>
      <c r="O1047" s="6"/>
    </row>
    <row r="1048" spans="1:15" x14ac:dyDescent="0.25">
      <c r="A1048" s="8">
        <v>1040</v>
      </c>
      <c r="B1048" s="9">
        <f t="shared" ca="1" si="207"/>
        <v>1824</v>
      </c>
      <c r="C1048" s="10">
        <f t="shared" ca="1" si="208"/>
        <v>0</v>
      </c>
      <c r="D1048" s="11">
        <f t="shared" ca="1" si="216"/>
        <v>0.86174305221887748</v>
      </c>
      <c r="E1048" s="9">
        <f t="shared" ca="1" si="217"/>
        <v>454</v>
      </c>
      <c r="F1048" s="9">
        <f t="shared" ca="1" si="209"/>
        <v>1370</v>
      </c>
      <c r="G1048" s="12" t="str">
        <f t="shared" ca="1" si="210"/>
        <v>No</v>
      </c>
      <c r="H1048" s="12">
        <f t="shared" ca="1" si="218"/>
        <v>0</v>
      </c>
      <c r="I1048" s="10">
        <f t="shared" ca="1" si="211"/>
        <v>0</v>
      </c>
      <c r="J1048" s="13">
        <f t="shared" ca="1" si="212"/>
        <v>0</v>
      </c>
      <c r="K1048" s="14">
        <f t="shared" ca="1" si="213"/>
        <v>274</v>
      </c>
      <c r="L1048" s="14">
        <f t="shared" ca="1" si="214"/>
        <v>0</v>
      </c>
      <c r="M1048" s="15">
        <f t="shared" ca="1" si="215"/>
        <v>274</v>
      </c>
      <c r="N1048" s="16">
        <f ca="1">SUM($M$9:M1048)/A1048</f>
        <v>338.71884615384613</v>
      </c>
      <c r="O1048" s="6"/>
    </row>
    <row r="1049" spans="1:15" x14ac:dyDescent="0.25">
      <c r="A1049" s="8">
        <v>1041</v>
      </c>
      <c r="B1049" s="9">
        <f t="shared" ca="1" si="207"/>
        <v>1370</v>
      </c>
      <c r="C1049" s="10">
        <f t="shared" ca="1" si="208"/>
        <v>0</v>
      </c>
      <c r="D1049" s="11">
        <f t="shared" ca="1" si="216"/>
        <v>0.4714537903315037</v>
      </c>
      <c r="E1049" s="9">
        <f t="shared" ca="1" si="217"/>
        <v>396</v>
      </c>
      <c r="F1049" s="9">
        <f t="shared" ca="1" si="209"/>
        <v>974</v>
      </c>
      <c r="G1049" s="12" t="str">
        <f t="shared" ca="1" si="210"/>
        <v>Yes</v>
      </c>
      <c r="H1049" s="12">
        <f t="shared" ca="1" si="218"/>
        <v>0.34726093336794694</v>
      </c>
      <c r="I1049" s="10">
        <f t="shared" ca="1" si="211"/>
        <v>1</v>
      </c>
      <c r="J1049" s="13">
        <f t="shared" ca="1" si="212"/>
        <v>300</v>
      </c>
      <c r="K1049" s="14">
        <f t="shared" ca="1" si="213"/>
        <v>194.8</v>
      </c>
      <c r="L1049" s="14">
        <f t="shared" ca="1" si="214"/>
        <v>0</v>
      </c>
      <c r="M1049" s="15">
        <f t="shared" ca="1" si="215"/>
        <v>494.8</v>
      </c>
      <c r="N1049" s="16">
        <f ca="1">SUM($M$9:M1049)/A1049</f>
        <v>338.86878001921224</v>
      </c>
      <c r="O1049" s="6"/>
    </row>
    <row r="1050" spans="1:15" x14ac:dyDescent="0.25">
      <c r="A1050" s="8">
        <v>1042</v>
      </c>
      <c r="B1050" s="9">
        <f t="shared" ca="1" si="207"/>
        <v>2774</v>
      </c>
      <c r="C1050" s="10">
        <f t="shared" ca="1" si="208"/>
        <v>1800</v>
      </c>
      <c r="D1050" s="11">
        <f t="shared" ca="1" si="216"/>
        <v>0.87410161473770853</v>
      </c>
      <c r="E1050" s="9">
        <f t="shared" ca="1" si="217"/>
        <v>457</v>
      </c>
      <c r="F1050" s="9">
        <f t="shared" ca="1" si="209"/>
        <v>2317</v>
      </c>
      <c r="G1050" s="12" t="str">
        <f t="shared" ca="1" si="210"/>
        <v>No</v>
      </c>
      <c r="H1050" s="12">
        <f t="shared" ca="1" si="218"/>
        <v>0</v>
      </c>
      <c r="I1050" s="10">
        <f t="shared" ca="1" si="211"/>
        <v>0</v>
      </c>
      <c r="J1050" s="13">
        <f t="shared" ca="1" si="212"/>
        <v>0</v>
      </c>
      <c r="K1050" s="14">
        <f t="shared" ca="1" si="213"/>
        <v>463.40000000000003</v>
      </c>
      <c r="L1050" s="14">
        <f t="shared" ca="1" si="214"/>
        <v>0</v>
      </c>
      <c r="M1050" s="15">
        <f t="shared" ca="1" si="215"/>
        <v>463.40000000000003</v>
      </c>
      <c r="N1050" s="16">
        <f ca="1">SUM($M$9:M1050)/A1050</f>
        <v>338.98829174664104</v>
      </c>
      <c r="O1050" s="6"/>
    </row>
    <row r="1051" spans="1:15" x14ac:dyDescent="0.25">
      <c r="A1051" s="8">
        <v>1043</v>
      </c>
      <c r="B1051" s="9">
        <f t="shared" ca="1" si="207"/>
        <v>2317</v>
      </c>
      <c r="C1051" s="10">
        <f t="shared" ca="1" si="208"/>
        <v>0</v>
      </c>
      <c r="D1051" s="11">
        <f t="shared" ca="1" si="216"/>
        <v>0.90603972222883955</v>
      </c>
      <c r="E1051" s="9">
        <f t="shared" ca="1" si="217"/>
        <v>465</v>
      </c>
      <c r="F1051" s="9">
        <f t="shared" ca="1" si="209"/>
        <v>1852</v>
      </c>
      <c r="G1051" s="12" t="str">
        <f t="shared" ca="1" si="210"/>
        <v>No</v>
      </c>
      <c r="H1051" s="12">
        <f t="shared" ca="1" si="218"/>
        <v>0</v>
      </c>
      <c r="I1051" s="10">
        <f t="shared" ca="1" si="211"/>
        <v>0</v>
      </c>
      <c r="J1051" s="13">
        <f t="shared" ca="1" si="212"/>
        <v>0</v>
      </c>
      <c r="K1051" s="14">
        <f t="shared" ca="1" si="213"/>
        <v>370.40000000000003</v>
      </c>
      <c r="L1051" s="14">
        <f t="shared" ca="1" si="214"/>
        <v>0</v>
      </c>
      <c r="M1051" s="15">
        <f t="shared" ca="1" si="215"/>
        <v>370.40000000000003</v>
      </c>
      <c r="N1051" s="16">
        <f ca="1">SUM($M$9:M1051)/A1051</f>
        <v>339.01840843720038</v>
      </c>
      <c r="O1051" s="6"/>
    </row>
    <row r="1052" spans="1:15" x14ac:dyDescent="0.25">
      <c r="A1052" s="8">
        <v>1044</v>
      </c>
      <c r="B1052" s="9">
        <f t="shared" ca="1" si="207"/>
        <v>1852</v>
      </c>
      <c r="C1052" s="10">
        <f t="shared" ca="1" si="208"/>
        <v>0</v>
      </c>
      <c r="D1052" s="11">
        <f t="shared" ca="1" si="216"/>
        <v>0.35101519202292442</v>
      </c>
      <c r="E1052" s="9">
        <f t="shared" ca="1" si="217"/>
        <v>380</v>
      </c>
      <c r="F1052" s="9">
        <f t="shared" ca="1" si="209"/>
        <v>1472</v>
      </c>
      <c r="G1052" s="12" t="str">
        <f t="shared" ca="1" si="210"/>
        <v>No</v>
      </c>
      <c r="H1052" s="12">
        <f t="shared" ca="1" si="218"/>
        <v>0</v>
      </c>
      <c r="I1052" s="10">
        <f t="shared" ca="1" si="211"/>
        <v>0</v>
      </c>
      <c r="J1052" s="13">
        <f t="shared" ca="1" si="212"/>
        <v>0</v>
      </c>
      <c r="K1052" s="14">
        <f t="shared" ca="1" si="213"/>
        <v>294.40000000000003</v>
      </c>
      <c r="L1052" s="14">
        <f t="shared" ca="1" si="214"/>
        <v>0</v>
      </c>
      <c r="M1052" s="15">
        <f t="shared" ca="1" si="215"/>
        <v>294.40000000000003</v>
      </c>
      <c r="N1052" s="16">
        <f ca="1">SUM($M$9:M1052)/A1052</f>
        <v>338.9756704980843</v>
      </c>
      <c r="O1052" s="6"/>
    </row>
    <row r="1053" spans="1:15" x14ac:dyDescent="0.25">
      <c r="A1053" s="8">
        <v>1045</v>
      </c>
      <c r="B1053" s="9">
        <f t="shared" ca="1" si="207"/>
        <v>1472</v>
      </c>
      <c r="C1053" s="10">
        <f t="shared" ca="1" si="208"/>
        <v>0</v>
      </c>
      <c r="D1053" s="11">
        <f t="shared" ca="1" si="216"/>
        <v>0.5271890010329775</v>
      </c>
      <c r="E1053" s="9">
        <f t="shared" ca="1" si="217"/>
        <v>403</v>
      </c>
      <c r="F1053" s="9">
        <f t="shared" ca="1" si="209"/>
        <v>1069</v>
      </c>
      <c r="G1053" s="12" t="str">
        <f t="shared" ca="1" si="210"/>
        <v>No</v>
      </c>
      <c r="H1053" s="12">
        <f t="shared" ca="1" si="218"/>
        <v>0</v>
      </c>
      <c r="I1053" s="10">
        <f t="shared" ca="1" si="211"/>
        <v>0</v>
      </c>
      <c r="J1053" s="13">
        <f t="shared" ca="1" si="212"/>
        <v>0</v>
      </c>
      <c r="K1053" s="14">
        <f t="shared" ca="1" si="213"/>
        <v>213.8</v>
      </c>
      <c r="L1053" s="14">
        <f t="shared" ca="1" si="214"/>
        <v>0</v>
      </c>
      <c r="M1053" s="15">
        <f t="shared" ca="1" si="215"/>
        <v>213.8</v>
      </c>
      <c r="N1053" s="16">
        <f ca="1">SUM($M$9:M1053)/A1053</f>
        <v>338.85588516746412</v>
      </c>
      <c r="O1053" s="6"/>
    </row>
    <row r="1054" spans="1:15" x14ac:dyDescent="0.25">
      <c r="A1054" s="8">
        <v>1046</v>
      </c>
      <c r="B1054" s="9">
        <f t="shared" ca="1" si="207"/>
        <v>1069</v>
      </c>
      <c r="C1054" s="10">
        <f t="shared" ca="1" si="208"/>
        <v>0</v>
      </c>
      <c r="D1054" s="11">
        <f t="shared" ca="1" si="216"/>
        <v>0.35694482736072175</v>
      </c>
      <c r="E1054" s="9">
        <f t="shared" ca="1" si="217"/>
        <v>381</v>
      </c>
      <c r="F1054" s="9">
        <f t="shared" ca="1" si="209"/>
        <v>688</v>
      </c>
      <c r="G1054" s="12" t="str">
        <f t="shared" ca="1" si="210"/>
        <v>Yes</v>
      </c>
      <c r="H1054" s="12">
        <f t="shared" ca="1" si="218"/>
        <v>0.88141556827214695</v>
      </c>
      <c r="I1054" s="10">
        <f t="shared" ca="1" si="211"/>
        <v>2</v>
      </c>
      <c r="J1054" s="13">
        <f t="shared" ca="1" si="212"/>
        <v>300</v>
      </c>
      <c r="K1054" s="14">
        <f t="shared" ca="1" si="213"/>
        <v>137.6</v>
      </c>
      <c r="L1054" s="14">
        <f t="shared" ca="1" si="214"/>
        <v>0</v>
      </c>
      <c r="M1054" s="15">
        <f t="shared" ca="1" si="215"/>
        <v>437.6</v>
      </c>
      <c r="N1054" s="16">
        <f ca="1">SUM($M$9:M1054)/A1054</f>
        <v>338.95028680688335</v>
      </c>
      <c r="O1054" s="6"/>
    </row>
    <row r="1055" spans="1:15" x14ac:dyDescent="0.25">
      <c r="A1055" s="8">
        <v>1047</v>
      </c>
      <c r="B1055" s="9">
        <f t="shared" ca="1" si="207"/>
        <v>688</v>
      </c>
      <c r="C1055" s="10">
        <f t="shared" ca="1" si="208"/>
        <v>0</v>
      </c>
      <c r="D1055" s="11">
        <f t="shared" ca="1" si="216"/>
        <v>0.49151700107250573</v>
      </c>
      <c r="E1055" s="9">
        <f t="shared" ca="1" si="217"/>
        <v>398</v>
      </c>
      <c r="F1055" s="9">
        <f t="shared" ca="1" si="209"/>
        <v>290</v>
      </c>
      <c r="G1055" s="12" t="str">
        <f t="shared" ca="1" si="210"/>
        <v>No</v>
      </c>
      <c r="H1055" s="12">
        <f t="shared" ca="1" si="218"/>
        <v>0</v>
      </c>
      <c r="I1055" s="10">
        <f t="shared" ca="1" si="211"/>
        <v>1</v>
      </c>
      <c r="J1055" s="13">
        <f t="shared" ca="1" si="212"/>
        <v>0</v>
      </c>
      <c r="K1055" s="14">
        <f t="shared" ca="1" si="213"/>
        <v>58</v>
      </c>
      <c r="L1055" s="14">
        <f t="shared" ca="1" si="214"/>
        <v>0</v>
      </c>
      <c r="M1055" s="15">
        <f t="shared" ca="1" si="215"/>
        <v>58</v>
      </c>
      <c r="N1055" s="16">
        <f ca="1">SUM($M$9:M1055)/A1055</f>
        <v>338.68194842406876</v>
      </c>
      <c r="O1055" s="6"/>
    </row>
    <row r="1056" spans="1:15" x14ac:dyDescent="0.25">
      <c r="A1056" s="8">
        <v>1048</v>
      </c>
      <c r="B1056" s="9">
        <f t="shared" ca="1" si="207"/>
        <v>2090</v>
      </c>
      <c r="C1056" s="10">
        <f t="shared" ca="1" si="208"/>
        <v>1800</v>
      </c>
      <c r="D1056" s="11">
        <f t="shared" ca="1" si="216"/>
        <v>3.880396697020394E-2</v>
      </c>
      <c r="E1056" s="9">
        <f t="shared" ca="1" si="217"/>
        <v>311</v>
      </c>
      <c r="F1056" s="9">
        <f t="shared" ca="1" si="209"/>
        <v>1779</v>
      </c>
      <c r="G1056" s="12" t="str">
        <f t="shared" ca="1" si="210"/>
        <v>No</v>
      </c>
      <c r="H1056" s="12">
        <f t="shared" ca="1" si="218"/>
        <v>0</v>
      </c>
      <c r="I1056" s="10">
        <f t="shared" ca="1" si="211"/>
        <v>0</v>
      </c>
      <c r="J1056" s="13">
        <f t="shared" ca="1" si="212"/>
        <v>0</v>
      </c>
      <c r="K1056" s="14">
        <f t="shared" ca="1" si="213"/>
        <v>355.8</v>
      </c>
      <c r="L1056" s="14">
        <f t="shared" ca="1" si="214"/>
        <v>0</v>
      </c>
      <c r="M1056" s="15">
        <f t="shared" ca="1" si="215"/>
        <v>355.8</v>
      </c>
      <c r="N1056" s="16">
        <f ca="1">SUM($M$9:M1056)/A1056</f>
        <v>338.69828244274805</v>
      </c>
      <c r="O1056" s="6"/>
    </row>
    <row r="1057" spans="1:15" x14ac:dyDescent="0.25">
      <c r="A1057" s="8">
        <v>1049</v>
      </c>
      <c r="B1057" s="9">
        <f t="shared" ca="1" si="207"/>
        <v>1779</v>
      </c>
      <c r="C1057" s="10">
        <f t="shared" ca="1" si="208"/>
        <v>0</v>
      </c>
      <c r="D1057" s="11">
        <f t="shared" ca="1" si="216"/>
        <v>0.21538651493619332</v>
      </c>
      <c r="E1057" s="9">
        <f t="shared" ca="1" si="217"/>
        <v>360</v>
      </c>
      <c r="F1057" s="9">
        <f t="shared" ca="1" si="209"/>
        <v>1419</v>
      </c>
      <c r="G1057" s="12" t="str">
        <f t="shared" ca="1" si="210"/>
        <v>No</v>
      </c>
      <c r="H1057" s="12">
        <f t="shared" ca="1" si="218"/>
        <v>0</v>
      </c>
      <c r="I1057" s="10">
        <f t="shared" ca="1" si="211"/>
        <v>0</v>
      </c>
      <c r="J1057" s="13">
        <f t="shared" ca="1" si="212"/>
        <v>0</v>
      </c>
      <c r="K1057" s="14">
        <f t="shared" ca="1" si="213"/>
        <v>283.8</v>
      </c>
      <c r="L1057" s="14">
        <f t="shared" ca="1" si="214"/>
        <v>0</v>
      </c>
      <c r="M1057" s="15">
        <f t="shared" ca="1" si="215"/>
        <v>283.8</v>
      </c>
      <c r="N1057" s="16">
        <f ca="1">SUM($M$9:M1057)/A1057</f>
        <v>338.64594852240225</v>
      </c>
      <c r="O1057" s="6"/>
    </row>
    <row r="1058" spans="1:15" x14ac:dyDescent="0.25">
      <c r="A1058" s="8">
        <v>1050</v>
      </c>
      <c r="B1058" s="9">
        <f t="shared" ca="1" si="207"/>
        <v>1419</v>
      </c>
      <c r="C1058" s="10">
        <f t="shared" ca="1" si="208"/>
        <v>0</v>
      </c>
      <c r="D1058" s="11">
        <f t="shared" ca="1" si="216"/>
        <v>0.98359517624761184</v>
      </c>
      <c r="E1058" s="9">
        <f t="shared" ca="1" si="217"/>
        <v>506</v>
      </c>
      <c r="F1058" s="9">
        <f t="shared" ca="1" si="209"/>
        <v>913</v>
      </c>
      <c r="G1058" s="12" t="str">
        <f t="shared" ca="1" si="210"/>
        <v>No</v>
      </c>
      <c r="H1058" s="12">
        <f t="shared" ca="1" si="218"/>
        <v>0</v>
      </c>
      <c r="I1058" s="10">
        <f t="shared" ca="1" si="211"/>
        <v>0</v>
      </c>
      <c r="J1058" s="13">
        <f t="shared" ca="1" si="212"/>
        <v>0</v>
      </c>
      <c r="K1058" s="14">
        <f t="shared" ca="1" si="213"/>
        <v>182.60000000000002</v>
      </c>
      <c r="L1058" s="14">
        <f t="shared" ca="1" si="214"/>
        <v>0</v>
      </c>
      <c r="M1058" s="15">
        <f t="shared" ca="1" si="215"/>
        <v>182.60000000000002</v>
      </c>
      <c r="N1058" s="16">
        <f ca="1">SUM($M$9:M1058)/A1058</f>
        <v>338.4973333333333</v>
      </c>
      <c r="O1058" s="6"/>
    </row>
    <row r="1059" spans="1:15" x14ac:dyDescent="0.25">
      <c r="A1059" s="8">
        <v>1051</v>
      </c>
      <c r="B1059" s="9">
        <f t="shared" ca="1" si="207"/>
        <v>913</v>
      </c>
      <c r="C1059" s="10">
        <f t="shared" ca="1" si="208"/>
        <v>0</v>
      </c>
      <c r="D1059" s="11">
        <f t="shared" ca="1" si="216"/>
        <v>0.40962646051376606</v>
      </c>
      <c r="E1059" s="9">
        <f t="shared" ca="1" si="217"/>
        <v>388</v>
      </c>
      <c r="F1059" s="9">
        <f t="shared" ca="1" si="209"/>
        <v>525</v>
      </c>
      <c r="G1059" s="12" t="str">
        <f t="shared" ca="1" si="210"/>
        <v>Yes</v>
      </c>
      <c r="H1059" s="12">
        <f t="shared" ca="1" si="218"/>
        <v>0.42433433633385786</v>
      </c>
      <c r="I1059" s="10">
        <f t="shared" ca="1" si="211"/>
        <v>1</v>
      </c>
      <c r="J1059" s="13">
        <f t="shared" ca="1" si="212"/>
        <v>300</v>
      </c>
      <c r="K1059" s="14">
        <f t="shared" ca="1" si="213"/>
        <v>105</v>
      </c>
      <c r="L1059" s="14">
        <f t="shared" ca="1" si="214"/>
        <v>0</v>
      </c>
      <c r="M1059" s="15">
        <f t="shared" ca="1" si="215"/>
        <v>405</v>
      </c>
      <c r="N1059" s="16">
        <f ca="1">SUM($M$9:M1059)/A1059</f>
        <v>338.56060894386292</v>
      </c>
      <c r="O1059" s="6"/>
    </row>
    <row r="1060" spans="1:15" x14ac:dyDescent="0.25">
      <c r="A1060" s="8">
        <v>1052</v>
      </c>
      <c r="B1060" s="9">
        <f t="shared" ca="1" si="207"/>
        <v>2325</v>
      </c>
      <c r="C1060" s="10">
        <f t="shared" ca="1" si="208"/>
        <v>1800</v>
      </c>
      <c r="D1060" s="11">
        <f t="shared" ca="1" si="216"/>
        <v>0.79217948324008147</v>
      </c>
      <c r="E1060" s="9">
        <f t="shared" ca="1" si="217"/>
        <v>440</v>
      </c>
      <c r="F1060" s="9">
        <f t="shared" ca="1" si="209"/>
        <v>1885</v>
      </c>
      <c r="G1060" s="12" t="str">
        <f t="shared" ca="1" si="210"/>
        <v>No</v>
      </c>
      <c r="H1060" s="12">
        <f t="shared" ca="1" si="218"/>
        <v>0</v>
      </c>
      <c r="I1060" s="10">
        <f t="shared" ca="1" si="211"/>
        <v>0</v>
      </c>
      <c r="J1060" s="13">
        <f t="shared" ca="1" si="212"/>
        <v>0</v>
      </c>
      <c r="K1060" s="14">
        <f t="shared" ca="1" si="213"/>
        <v>377</v>
      </c>
      <c r="L1060" s="14">
        <f t="shared" ca="1" si="214"/>
        <v>0</v>
      </c>
      <c r="M1060" s="15">
        <f t="shared" ca="1" si="215"/>
        <v>377</v>
      </c>
      <c r="N1060" s="16">
        <f ca="1">SUM($M$9:M1060)/A1060</f>
        <v>338.59714828897336</v>
      </c>
      <c r="O1060" s="6"/>
    </row>
    <row r="1061" spans="1:15" x14ac:dyDescent="0.25">
      <c r="A1061" s="8">
        <v>1053</v>
      </c>
      <c r="B1061" s="9">
        <f t="shared" ca="1" si="207"/>
        <v>1885</v>
      </c>
      <c r="C1061" s="10">
        <f t="shared" ca="1" si="208"/>
        <v>0</v>
      </c>
      <c r="D1061" s="11">
        <f t="shared" ca="1" si="216"/>
        <v>0.51174382583970557</v>
      </c>
      <c r="E1061" s="9">
        <f t="shared" ca="1" si="217"/>
        <v>401</v>
      </c>
      <c r="F1061" s="9">
        <f t="shared" ca="1" si="209"/>
        <v>1484</v>
      </c>
      <c r="G1061" s="12" t="str">
        <f t="shared" ca="1" si="210"/>
        <v>No</v>
      </c>
      <c r="H1061" s="12">
        <f t="shared" ca="1" si="218"/>
        <v>0</v>
      </c>
      <c r="I1061" s="10">
        <f t="shared" ca="1" si="211"/>
        <v>0</v>
      </c>
      <c r="J1061" s="13">
        <f t="shared" ca="1" si="212"/>
        <v>0</v>
      </c>
      <c r="K1061" s="14">
        <f t="shared" ca="1" si="213"/>
        <v>296.8</v>
      </c>
      <c r="L1061" s="14">
        <f t="shared" ca="1" si="214"/>
        <v>0</v>
      </c>
      <c r="M1061" s="15">
        <f t="shared" ca="1" si="215"/>
        <v>296.8</v>
      </c>
      <c r="N1061" s="16">
        <f ca="1">SUM($M$9:M1061)/A1061</f>
        <v>338.55745489078816</v>
      </c>
      <c r="O1061" s="6"/>
    </row>
    <row r="1062" spans="1:15" x14ac:dyDescent="0.25">
      <c r="A1062" s="8">
        <v>1054</v>
      </c>
      <c r="B1062" s="9">
        <f t="shared" ca="1" si="207"/>
        <v>1484</v>
      </c>
      <c r="C1062" s="10">
        <f t="shared" ca="1" si="208"/>
        <v>0</v>
      </c>
      <c r="D1062" s="11">
        <f t="shared" ca="1" si="216"/>
        <v>0.33100105450726169</v>
      </c>
      <c r="E1062" s="9">
        <f t="shared" ca="1" si="217"/>
        <v>378</v>
      </c>
      <c r="F1062" s="9">
        <f t="shared" ca="1" si="209"/>
        <v>1106</v>
      </c>
      <c r="G1062" s="12" t="str">
        <f t="shared" ca="1" si="210"/>
        <v>No</v>
      </c>
      <c r="H1062" s="12">
        <f t="shared" ca="1" si="218"/>
        <v>0</v>
      </c>
      <c r="I1062" s="10">
        <f t="shared" ca="1" si="211"/>
        <v>0</v>
      </c>
      <c r="J1062" s="13">
        <f t="shared" ca="1" si="212"/>
        <v>0</v>
      </c>
      <c r="K1062" s="14">
        <f t="shared" ca="1" si="213"/>
        <v>221.20000000000002</v>
      </c>
      <c r="L1062" s="14">
        <f t="shared" ca="1" si="214"/>
        <v>0</v>
      </c>
      <c r="M1062" s="15">
        <f t="shared" ca="1" si="215"/>
        <v>221.20000000000002</v>
      </c>
      <c r="N1062" s="16">
        <f ca="1">SUM($M$9:M1062)/A1062</f>
        <v>338.44611005692593</v>
      </c>
      <c r="O1062" s="6"/>
    </row>
    <row r="1063" spans="1:15" x14ac:dyDescent="0.25">
      <c r="A1063" s="8">
        <v>1055</v>
      </c>
      <c r="B1063" s="9">
        <f t="shared" ca="1" si="207"/>
        <v>1106</v>
      </c>
      <c r="C1063" s="10">
        <f t="shared" ca="1" si="208"/>
        <v>0</v>
      </c>
      <c r="D1063" s="11">
        <f t="shared" ca="1" si="216"/>
        <v>0.47754345198390202</v>
      </c>
      <c r="E1063" s="9">
        <f t="shared" ca="1" si="217"/>
        <v>397</v>
      </c>
      <c r="F1063" s="9">
        <f t="shared" ca="1" si="209"/>
        <v>709</v>
      </c>
      <c r="G1063" s="12" t="str">
        <f t="shared" ca="1" si="210"/>
        <v>Yes</v>
      </c>
      <c r="H1063" s="12">
        <f t="shared" ca="1" si="218"/>
        <v>0.4199504132440165</v>
      </c>
      <c r="I1063" s="10">
        <f t="shared" ca="1" si="211"/>
        <v>1</v>
      </c>
      <c r="J1063" s="13">
        <f t="shared" ca="1" si="212"/>
        <v>300</v>
      </c>
      <c r="K1063" s="14">
        <f t="shared" ca="1" si="213"/>
        <v>141.80000000000001</v>
      </c>
      <c r="L1063" s="14">
        <f t="shared" ca="1" si="214"/>
        <v>0</v>
      </c>
      <c r="M1063" s="15">
        <f t="shared" ca="1" si="215"/>
        <v>441.8</v>
      </c>
      <c r="N1063" s="16">
        <f ca="1">SUM($M$9:M1063)/A1063</f>
        <v>338.54407582938381</v>
      </c>
      <c r="O1063" s="6"/>
    </row>
    <row r="1064" spans="1:15" x14ac:dyDescent="0.25">
      <c r="A1064" s="8">
        <v>1056</v>
      </c>
      <c r="B1064" s="9">
        <f t="shared" ca="1" si="207"/>
        <v>2509</v>
      </c>
      <c r="C1064" s="10">
        <f t="shared" ca="1" si="208"/>
        <v>1800</v>
      </c>
      <c r="D1064" s="11">
        <f t="shared" ca="1" si="216"/>
        <v>0.2101043008526452</v>
      </c>
      <c r="E1064" s="9">
        <f t="shared" ca="1" si="217"/>
        <v>359</v>
      </c>
      <c r="F1064" s="9">
        <f t="shared" ca="1" si="209"/>
        <v>2150</v>
      </c>
      <c r="G1064" s="12" t="str">
        <f t="shared" ca="1" si="210"/>
        <v>No</v>
      </c>
      <c r="H1064" s="12">
        <f t="shared" ca="1" si="218"/>
        <v>0</v>
      </c>
      <c r="I1064" s="10">
        <f t="shared" ca="1" si="211"/>
        <v>0</v>
      </c>
      <c r="J1064" s="13">
        <f t="shared" ca="1" si="212"/>
        <v>0</v>
      </c>
      <c r="K1064" s="14">
        <f t="shared" ca="1" si="213"/>
        <v>430</v>
      </c>
      <c r="L1064" s="14">
        <f t="shared" ca="1" si="214"/>
        <v>0</v>
      </c>
      <c r="M1064" s="15">
        <f t="shared" ca="1" si="215"/>
        <v>430</v>
      </c>
      <c r="N1064" s="16">
        <f ca="1">SUM($M$9:M1064)/A1064</f>
        <v>338.63068181818176</v>
      </c>
      <c r="O1064" s="6"/>
    </row>
    <row r="1065" spans="1:15" x14ac:dyDescent="0.25">
      <c r="A1065" s="8">
        <v>1057</v>
      </c>
      <c r="B1065" s="9">
        <f t="shared" ca="1" si="207"/>
        <v>2150</v>
      </c>
      <c r="C1065" s="10">
        <f t="shared" ca="1" si="208"/>
        <v>0</v>
      </c>
      <c r="D1065" s="11">
        <f t="shared" ca="1" si="216"/>
        <v>0.48437069103362596</v>
      </c>
      <c r="E1065" s="9">
        <f t="shared" ca="1" si="217"/>
        <v>398</v>
      </c>
      <c r="F1065" s="9">
        <f t="shared" ca="1" si="209"/>
        <v>1752</v>
      </c>
      <c r="G1065" s="12" t="str">
        <f t="shared" ca="1" si="210"/>
        <v>No</v>
      </c>
      <c r="H1065" s="12">
        <f t="shared" ca="1" si="218"/>
        <v>0</v>
      </c>
      <c r="I1065" s="10">
        <f t="shared" ca="1" si="211"/>
        <v>0</v>
      </c>
      <c r="J1065" s="13">
        <f t="shared" ca="1" si="212"/>
        <v>0</v>
      </c>
      <c r="K1065" s="14">
        <f t="shared" ca="1" si="213"/>
        <v>350.40000000000003</v>
      </c>
      <c r="L1065" s="14">
        <f t="shared" ca="1" si="214"/>
        <v>0</v>
      </c>
      <c r="M1065" s="15">
        <f t="shared" ca="1" si="215"/>
        <v>350.40000000000003</v>
      </c>
      <c r="N1065" s="16">
        <f ca="1">SUM($M$9:M1065)/A1065</f>
        <v>338.64181646168396</v>
      </c>
      <c r="O1065" s="6"/>
    </row>
    <row r="1066" spans="1:15" x14ac:dyDescent="0.25">
      <c r="A1066" s="8">
        <v>1058</v>
      </c>
      <c r="B1066" s="9">
        <f t="shared" ca="1" si="207"/>
        <v>1752</v>
      </c>
      <c r="C1066" s="10">
        <f t="shared" ca="1" si="208"/>
        <v>0</v>
      </c>
      <c r="D1066" s="11">
        <f t="shared" ca="1" si="216"/>
        <v>0.74608504234147965</v>
      </c>
      <c r="E1066" s="9">
        <f t="shared" ca="1" si="217"/>
        <v>433</v>
      </c>
      <c r="F1066" s="9">
        <f t="shared" ca="1" si="209"/>
        <v>1319</v>
      </c>
      <c r="G1066" s="12" t="str">
        <f t="shared" ca="1" si="210"/>
        <v>No</v>
      </c>
      <c r="H1066" s="12">
        <f t="shared" ca="1" si="218"/>
        <v>0</v>
      </c>
      <c r="I1066" s="10">
        <f t="shared" ca="1" si="211"/>
        <v>0</v>
      </c>
      <c r="J1066" s="13">
        <f t="shared" ca="1" si="212"/>
        <v>0</v>
      </c>
      <c r="K1066" s="14">
        <f t="shared" ca="1" si="213"/>
        <v>263.8</v>
      </c>
      <c r="L1066" s="14">
        <f t="shared" ca="1" si="214"/>
        <v>0</v>
      </c>
      <c r="M1066" s="15">
        <f t="shared" ca="1" si="215"/>
        <v>263.8</v>
      </c>
      <c r="N1066" s="16">
        <f ca="1">SUM($M$9:M1066)/A1066</f>
        <v>338.57107750472585</v>
      </c>
      <c r="O1066" s="6"/>
    </row>
    <row r="1067" spans="1:15" x14ac:dyDescent="0.25">
      <c r="A1067" s="8">
        <v>1059</v>
      </c>
      <c r="B1067" s="9">
        <f t="shared" ca="1" si="207"/>
        <v>1319</v>
      </c>
      <c r="C1067" s="10">
        <f t="shared" ca="1" si="208"/>
        <v>0</v>
      </c>
      <c r="D1067" s="11">
        <f t="shared" ca="1" si="216"/>
        <v>0.27494052447422657</v>
      </c>
      <c r="E1067" s="9">
        <f t="shared" ca="1" si="217"/>
        <v>370</v>
      </c>
      <c r="F1067" s="9">
        <f t="shared" ca="1" si="209"/>
        <v>949</v>
      </c>
      <c r="G1067" s="12" t="str">
        <f t="shared" ca="1" si="210"/>
        <v>Yes</v>
      </c>
      <c r="H1067" s="12">
        <f t="shared" ca="1" si="218"/>
        <v>1.7516044631265104E-2</v>
      </c>
      <c r="I1067" s="10">
        <f t="shared" ca="1" si="211"/>
        <v>1</v>
      </c>
      <c r="J1067" s="13">
        <f t="shared" ca="1" si="212"/>
        <v>300</v>
      </c>
      <c r="K1067" s="14">
        <f t="shared" ca="1" si="213"/>
        <v>189.8</v>
      </c>
      <c r="L1067" s="14">
        <f t="shared" ca="1" si="214"/>
        <v>0</v>
      </c>
      <c r="M1067" s="15">
        <f t="shared" ca="1" si="215"/>
        <v>489.8</v>
      </c>
      <c r="N1067" s="16">
        <f ca="1">SUM($M$9:M1067)/A1067</f>
        <v>338.71388101982996</v>
      </c>
      <c r="O1067" s="6"/>
    </row>
    <row r="1068" spans="1:15" x14ac:dyDescent="0.25">
      <c r="A1068" s="8">
        <v>1060</v>
      </c>
      <c r="B1068" s="9">
        <f t="shared" ca="1" si="207"/>
        <v>2749</v>
      </c>
      <c r="C1068" s="10">
        <f t="shared" ca="1" si="208"/>
        <v>1800</v>
      </c>
      <c r="D1068" s="11">
        <f t="shared" ca="1" si="216"/>
        <v>0.50825283854811043</v>
      </c>
      <c r="E1068" s="9">
        <f t="shared" ca="1" si="217"/>
        <v>401</v>
      </c>
      <c r="F1068" s="9">
        <f t="shared" ca="1" si="209"/>
        <v>2348</v>
      </c>
      <c r="G1068" s="12" t="str">
        <f t="shared" ca="1" si="210"/>
        <v>No</v>
      </c>
      <c r="H1068" s="12">
        <f t="shared" ca="1" si="218"/>
        <v>0</v>
      </c>
      <c r="I1068" s="10">
        <f t="shared" ca="1" si="211"/>
        <v>0</v>
      </c>
      <c r="J1068" s="13">
        <f t="shared" ca="1" si="212"/>
        <v>0</v>
      </c>
      <c r="K1068" s="14">
        <f t="shared" ca="1" si="213"/>
        <v>469.6</v>
      </c>
      <c r="L1068" s="14">
        <f t="shared" ca="1" si="214"/>
        <v>0</v>
      </c>
      <c r="M1068" s="15">
        <f t="shared" ca="1" si="215"/>
        <v>469.6</v>
      </c>
      <c r="N1068" s="16">
        <f ca="1">SUM($M$9:M1068)/A1068</f>
        <v>338.83735849056598</v>
      </c>
      <c r="O1068" s="6"/>
    </row>
    <row r="1069" spans="1:15" x14ac:dyDescent="0.25">
      <c r="A1069" s="8">
        <v>1061</v>
      </c>
      <c r="B1069" s="9">
        <f t="shared" ca="1" si="207"/>
        <v>2348</v>
      </c>
      <c r="C1069" s="10">
        <f t="shared" ca="1" si="208"/>
        <v>0</v>
      </c>
      <c r="D1069" s="11">
        <f t="shared" ca="1" si="216"/>
        <v>0.19936444496288297</v>
      </c>
      <c r="E1069" s="9">
        <f t="shared" ca="1" si="217"/>
        <v>357</v>
      </c>
      <c r="F1069" s="9">
        <f t="shared" ca="1" si="209"/>
        <v>1991</v>
      </c>
      <c r="G1069" s="12" t="str">
        <f t="shared" ca="1" si="210"/>
        <v>No</v>
      </c>
      <c r="H1069" s="12">
        <f t="shared" ca="1" si="218"/>
        <v>0</v>
      </c>
      <c r="I1069" s="10">
        <f t="shared" ca="1" si="211"/>
        <v>0</v>
      </c>
      <c r="J1069" s="13">
        <f t="shared" ca="1" si="212"/>
        <v>0</v>
      </c>
      <c r="K1069" s="14">
        <f t="shared" ca="1" si="213"/>
        <v>398.20000000000005</v>
      </c>
      <c r="L1069" s="14">
        <f t="shared" ca="1" si="214"/>
        <v>0</v>
      </c>
      <c r="M1069" s="15">
        <f t="shared" ca="1" si="215"/>
        <v>398.20000000000005</v>
      </c>
      <c r="N1069" s="16">
        <f ca="1">SUM($M$9:M1069)/A1069</f>
        <v>338.89330819981143</v>
      </c>
      <c r="O1069" s="6"/>
    </row>
    <row r="1070" spans="1:15" x14ac:dyDescent="0.25">
      <c r="A1070" s="8">
        <v>1062</v>
      </c>
      <c r="B1070" s="9">
        <f t="shared" ca="1" si="207"/>
        <v>1991</v>
      </c>
      <c r="C1070" s="10">
        <f t="shared" ca="1" si="208"/>
        <v>0</v>
      </c>
      <c r="D1070" s="11">
        <f t="shared" ca="1" si="216"/>
        <v>0.431373377855792</v>
      </c>
      <c r="E1070" s="9">
        <f t="shared" ca="1" si="217"/>
        <v>391</v>
      </c>
      <c r="F1070" s="9">
        <f t="shared" ca="1" si="209"/>
        <v>1600</v>
      </c>
      <c r="G1070" s="12" t="str">
        <f t="shared" ca="1" si="210"/>
        <v>No</v>
      </c>
      <c r="H1070" s="12">
        <f t="shared" ca="1" si="218"/>
        <v>0</v>
      </c>
      <c r="I1070" s="10">
        <f t="shared" ca="1" si="211"/>
        <v>0</v>
      </c>
      <c r="J1070" s="13">
        <f t="shared" ca="1" si="212"/>
        <v>0</v>
      </c>
      <c r="K1070" s="14">
        <f t="shared" ca="1" si="213"/>
        <v>320</v>
      </c>
      <c r="L1070" s="14">
        <f t="shared" ca="1" si="214"/>
        <v>0</v>
      </c>
      <c r="M1070" s="15">
        <f t="shared" ca="1" si="215"/>
        <v>320</v>
      </c>
      <c r="N1070" s="16">
        <f ca="1">SUM($M$9:M1070)/A1070</f>
        <v>338.87551789077207</v>
      </c>
      <c r="O1070" s="6"/>
    </row>
    <row r="1071" spans="1:15" x14ac:dyDescent="0.25">
      <c r="A1071" s="8">
        <v>1063</v>
      </c>
      <c r="B1071" s="9">
        <f t="shared" ca="1" si="207"/>
        <v>1600</v>
      </c>
      <c r="C1071" s="10">
        <f t="shared" ca="1" si="208"/>
        <v>0</v>
      </c>
      <c r="D1071" s="11">
        <f t="shared" ca="1" si="216"/>
        <v>0.57152670315608656</v>
      </c>
      <c r="E1071" s="9">
        <f t="shared" ca="1" si="217"/>
        <v>409</v>
      </c>
      <c r="F1071" s="9">
        <f t="shared" ca="1" si="209"/>
        <v>1191</v>
      </c>
      <c r="G1071" s="12" t="str">
        <f t="shared" ca="1" si="210"/>
        <v>No</v>
      </c>
      <c r="H1071" s="12">
        <f t="shared" ca="1" si="218"/>
        <v>0</v>
      </c>
      <c r="I1071" s="10">
        <f t="shared" ca="1" si="211"/>
        <v>0</v>
      </c>
      <c r="J1071" s="13">
        <f t="shared" ca="1" si="212"/>
        <v>0</v>
      </c>
      <c r="K1071" s="14">
        <f t="shared" ca="1" si="213"/>
        <v>238.20000000000002</v>
      </c>
      <c r="L1071" s="14">
        <f t="shared" ca="1" si="214"/>
        <v>0</v>
      </c>
      <c r="M1071" s="15">
        <f t="shared" ca="1" si="215"/>
        <v>238.20000000000002</v>
      </c>
      <c r="N1071" s="16">
        <f ca="1">SUM($M$9:M1071)/A1071</f>
        <v>338.78080903104416</v>
      </c>
      <c r="O1071" s="6"/>
    </row>
    <row r="1072" spans="1:15" x14ac:dyDescent="0.25">
      <c r="A1072" s="8">
        <v>1064</v>
      </c>
      <c r="B1072" s="9">
        <f t="shared" ca="1" si="207"/>
        <v>1191</v>
      </c>
      <c r="C1072" s="10">
        <f t="shared" ca="1" si="208"/>
        <v>0</v>
      </c>
      <c r="D1072" s="11">
        <f t="shared" ca="1" si="216"/>
        <v>0.53462369897920936</v>
      </c>
      <c r="E1072" s="9">
        <f t="shared" ca="1" si="217"/>
        <v>404</v>
      </c>
      <c r="F1072" s="9">
        <f t="shared" ca="1" si="209"/>
        <v>787</v>
      </c>
      <c r="G1072" s="12" t="str">
        <f t="shared" ca="1" si="210"/>
        <v>Yes</v>
      </c>
      <c r="H1072" s="12">
        <f t="shared" ca="1" si="218"/>
        <v>0.23743912640580822</v>
      </c>
      <c r="I1072" s="10">
        <f t="shared" ca="1" si="211"/>
        <v>1</v>
      </c>
      <c r="J1072" s="13">
        <f t="shared" ca="1" si="212"/>
        <v>300</v>
      </c>
      <c r="K1072" s="14">
        <f t="shared" ca="1" si="213"/>
        <v>157.4</v>
      </c>
      <c r="L1072" s="14">
        <f t="shared" ca="1" si="214"/>
        <v>0</v>
      </c>
      <c r="M1072" s="15">
        <f t="shared" ca="1" si="215"/>
        <v>457.4</v>
      </c>
      <c r="N1072" s="16">
        <f ca="1">SUM($M$9:M1072)/A1072</f>
        <v>338.89229323308268</v>
      </c>
      <c r="O1072" s="6"/>
    </row>
    <row r="1073" spans="1:15" x14ac:dyDescent="0.25">
      <c r="A1073" s="8">
        <v>1065</v>
      </c>
      <c r="B1073" s="9">
        <f t="shared" ca="1" si="207"/>
        <v>2587</v>
      </c>
      <c r="C1073" s="10">
        <f t="shared" ca="1" si="208"/>
        <v>1800</v>
      </c>
      <c r="D1073" s="11">
        <f t="shared" ca="1" si="216"/>
        <v>7.3420225217821322E-2</v>
      </c>
      <c r="E1073" s="9">
        <f t="shared" ca="1" si="217"/>
        <v>327</v>
      </c>
      <c r="F1073" s="9">
        <f t="shared" ca="1" si="209"/>
        <v>2260</v>
      </c>
      <c r="G1073" s="12" t="str">
        <f t="shared" ca="1" si="210"/>
        <v>No</v>
      </c>
      <c r="H1073" s="12">
        <f t="shared" ca="1" si="218"/>
        <v>0</v>
      </c>
      <c r="I1073" s="10">
        <f t="shared" ca="1" si="211"/>
        <v>0</v>
      </c>
      <c r="J1073" s="13">
        <f t="shared" ca="1" si="212"/>
        <v>0</v>
      </c>
      <c r="K1073" s="14">
        <f t="shared" ca="1" si="213"/>
        <v>452</v>
      </c>
      <c r="L1073" s="14">
        <f t="shared" ca="1" si="214"/>
        <v>0</v>
      </c>
      <c r="M1073" s="15">
        <f t="shared" ca="1" si="215"/>
        <v>452</v>
      </c>
      <c r="N1073" s="16">
        <f ca="1">SUM($M$9:M1073)/A1073</f>
        <v>338.9984976525821</v>
      </c>
      <c r="O1073" s="6"/>
    </row>
    <row r="1074" spans="1:15" x14ac:dyDescent="0.25">
      <c r="A1074" s="8">
        <v>1066</v>
      </c>
      <c r="B1074" s="9">
        <f t="shared" ca="1" si="207"/>
        <v>2260</v>
      </c>
      <c r="C1074" s="10">
        <f t="shared" ca="1" si="208"/>
        <v>0</v>
      </c>
      <c r="D1074" s="11">
        <f t="shared" ca="1" si="216"/>
        <v>0.71830168981332632</v>
      </c>
      <c r="E1074" s="9">
        <f t="shared" ca="1" si="217"/>
        <v>428</v>
      </c>
      <c r="F1074" s="9">
        <f t="shared" ca="1" si="209"/>
        <v>1832</v>
      </c>
      <c r="G1074" s="12" t="str">
        <f t="shared" ca="1" si="210"/>
        <v>No</v>
      </c>
      <c r="H1074" s="12">
        <f t="shared" ca="1" si="218"/>
        <v>0</v>
      </c>
      <c r="I1074" s="10">
        <f t="shared" ca="1" si="211"/>
        <v>0</v>
      </c>
      <c r="J1074" s="13">
        <f t="shared" ca="1" si="212"/>
        <v>0</v>
      </c>
      <c r="K1074" s="14">
        <f t="shared" ca="1" si="213"/>
        <v>366.40000000000003</v>
      </c>
      <c r="L1074" s="14">
        <f t="shared" ca="1" si="214"/>
        <v>0</v>
      </c>
      <c r="M1074" s="15">
        <f t="shared" ca="1" si="215"/>
        <v>366.40000000000003</v>
      </c>
      <c r="N1074" s="16">
        <f ca="1">SUM($M$9:M1074)/A1074</f>
        <v>339.02420262664162</v>
      </c>
      <c r="O1074" s="6"/>
    </row>
    <row r="1075" spans="1:15" x14ac:dyDescent="0.25">
      <c r="A1075" s="8">
        <v>1067</v>
      </c>
      <c r="B1075" s="9">
        <f t="shared" ca="1" si="207"/>
        <v>1832</v>
      </c>
      <c r="C1075" s="10">
        <f t="shared" ca="1" si="208"/>
        <v>0</v>
      </c>
      <c r="D1075" s="11">
        <f t="shared" ca="1" si="216"/>
        <v>0.38450510518184022</v>
      </c>
      <c r="E1075" s="9">
        <f t="shared" ca="1" si="217"/>
        <v>385</v>
      </c>
      <c r="F1075" s="9">
        <f t="shared" ca="1" si="209"/>
        <v>1447</v>
      </c>
      <c r="G1075" s="12" t="str">
        <f t="shared" ca="1" si="210"/>
        <v>No</v>
      </c>
      <c r="H1075" s="12">
        <f t="shared" ca="1" si="218"/>
        <v>0</v>
      </c>
      <c r="I1075" s="10">
        <f t="shared" ca="1" si="211"/>
        <v>0</v>
      </c>
      <c r="J1075" s="13">
        <f t="shared" ca="1" si="212"/>
        <v>0</v>
      </c>
      <c r="K1075" s="14">
        <f t="shared" ca="1" si="213"/>
        <v>289.40000000000003</v>
      </c>
      <c r="L1075" s="14">
        <f t="shared" ca="1" si="214"/>
        <v>0</v>
      </c>
      <c r="M1075" s="15">
        <f t="shared" ca="1" si="215"/>
        <v>289.40000000000003</v>
      </c>
      <c r="N1075" s="16">
        <f ca="1">SUM($M$9:M1075)/A1075</f>
        <v>338.97769447047801</v>
      </c>
      <c r="O1075" s="6"/>
    </row>
    <row r="1076" spans="1:15" x14ac:dyDescent="0.25">
      <c r="A1076" s="8">
        <v>1068</v>
      </c>
      <c r="B1076" s="9">
        <f t="shared" ca="1" si="207"/>
        <v>1447</v>
      </c>
      <c r="C1076" s="10">
        <f t="shared" ca="1" si="208"/>
        <v>0</v>
      </c>
      <c r="D1076" s="11">
        <f t="shared" ca="1" si="216"/>
        <v>0.25206366685230697</v>
      </c>
      <c r="E1076" s="9">
        <f t="shared" ca="1" si="217"/>
        <v>366</v>
      </c>
      <c r="F1076" s="9">
        <f t="shared" ca="1" si="209"/>
        <v>1081</v>
      </c>
      <c r="G1076" s="12" t="str">
        <f t="shared" ca="1" si="210"/>
        <v>No</v>
      </c>
      <c r="H1076" s="12">
        <f t="shared" ca="1" si="218"/>
        <v>0</v>
      </c>
      <c r="I1076" s="10">
        <f t="shared" ca="1" si="211"/>
        <v>0</v>
      </c>
      <c r="J1076" s="13">
        <f t="shared" ca="1" si="212"/>
        <v>0</v>
      </c>
      <c r="K1076" s="14">
        <f t="shared" ca="1" si="213"/>
        <v>216.20000000000002</v>
      </c>
      <c r="L1076" s="14">
        <f t="shared" ca="1" si="214"/>
        <v>0</v>
      </c>
      <c r="M1076" s="15">
        <f t="shared" ca="1" si="215"/>
        <v>216.20000000000002</v>
      </c>
      <c r="N1076" s="16">
        <f ca="1">SUM($M$9:M1076)/A1076</f>
        <v>338.86273408239703</v>
      </c>
      <c r="O1076" s="6"/>
    </row>
    <row r="1077" spans="1:15" x14ac:dyDescent="0.25">
      <c r="A1077" s="8">
        <v>1069</v>
      </c>
      <c r="B1077" s="9">
        <f t="shared" ca="1" si="207"/>
        <v>1081</v>
      </c>
      <c r="C1077" s="10">
        <f t="shared" ca="1" si="208"/>
        <v>0</v>
      </c>
      <c r="D1077" s="11">
        <f t="shared" ca="1" si="216"/>
        <v>7.9546625448857711E-2</v>
      </c>
      <c r="E1077" s="9">
        <f t="shared" ca="1" si="217"/>
        <v>329</v>
      </c>
      <c r="F1077" s="9">
        <f t="shared" ca="1" si="209"/>
        <v>752</v>
      </c>
      <c r="G1077" s="12" t="str">
        <f t="shared" ca="1" si="210"/>
        <v>Yes</v>
      </c>
      <c r="H1077" s="12">
        <f t="shared" ca="1" si="218"/>
        <v>0.79195379866944426</v>
      </c>
      <c r="I1077" s="10">
        <f t="shared" ca="1" si="211"/>
        <v>2</v>
      </c>
      <c r="J1077" s="13">
        <f t="shared" ca="1" si="212"/>
        <v>300</v>
      </c>
      <c r="K1077" s="14">
        <f t="shared" ca="1" si="213"/>
        <v>150.4</v>
      </c>
      <c r="L1077" s="14">
        <f t="shared" ca="1" si="214"/>
        <v>0</v>
      </c>
      <c r="M1077" s="15">
        <f t="shared" ca="1" si="215"/>
        <v>450.4</v>
      </c>
      <c r="N1077" s="16">
        <f ca="1">SUM($M$9:M1077)/A1077</f>
        <v>338.96707202993457</v>
      </c>
      <c r="O1077" s="6"/>
    </row>
    <row r="1078" spans="1:15" x14ac:dyDescent="0.25">
      <c r="A1078" s="8">
        <v>1070</v>
      </c>
      <c r="B1078" s="9">
        <f t="shared" ca="1" si="207"/>
        <v>752</v>
      </c>
      <c r="C1078" s="10">
        <f t="shared" ca="1" si="208"/>
        <v>0</v>
      </c>
      <c r="D1078" s="11">
        <f t="shared" ca="1" si="216"/>
        <v>0.11912176713032885</v>
      </c>
      <c r="E1078" s="9">
        <f t="shared" ca="1" si="217"/>
        <v>341</v>
      </c>
      <c r="F1078" s="9">
        <f t="shared" ca="1" si="209"/>
        <v>411</v>
      </c>
      <c r="G1078" s="12" t="str">
        <f t="shared" ca="1" si="210"/>
        <v>No</v>
      </c>
      <c r="H1078" s="12">
        <f t="shared" ca="1" si="218"/>
        <v>0</v>
      </c>
      <c r="I1078" s="10">
        <f t="shared" ca="1" si="211"/>
        <v>1</v>
      </c>
      <c r="J1078" s="13">
        <f t="shared" ca="1" si="212"/>
        <v>0</v>
      </c>
      <c r="K1078" s="14">
        <f t="shared" ca="1" si="213"/>
        <v>82.2</v>
      </c>
      <c r="L1078" s="14">
        <f t="shared" ca="1" si="214"/>
        <v>0</v>
      </c>
      <c r="M1078" s="15">
        <f t="shared" ca="1" si="215"/>
        <v>82.2</v>
      </c>
      <c r="N1078" s="16">
        <f ca="1">SUM($M$9:M1078)/A1078</f>
        <v>338.72710280373838</v>
      </c>
      <c r="O1078" s="6"/>
    </row>
    <row r="1079" spans="1:15" x14ac:dyDescent="0.25">
      <c r="A1079" s="8">
        <v>1071</v>
      </c>
      <c r="B1079" s="9">
        <f t="shared" ca="1" si="207"/>
        <v>2211</v>
      </c>
      <c r="C1079" s="10">
        <f t="shared" ca="1" si="208"/>
        <v>1800</v>
      </c>
      <c r="D1079" s="11">
        <f t="shared" ca="1" si="216"/>
        <v>0.83659270126641705</v>
      </c>
      <c r="E1079" s="9">
        <f t="shared" ca="1" si="217"/>
        <v>449</v>
      </c>
      <c r="F1079" s="9">
        <f t="shared" ca="1" si="209"/>
        <v>1762</v>
      </c>
      <c r="G1079" s="12" t="str">
        <f t="shared" ca="1" si="210"/>
        <v>No</v>
      </c>
      <c r="H1079" s="12">
        <f t="shared" ca="1" si="218"/>
        <v>0</v>
      </c>
      <c r="I1079" s="10">
        <f t="shared" ca="1" si="211"/>
        <v>0</v>
      </c>
      <c r="J1079" s="13">
        <f t="shared" ca="1" si="212"/>
        <v>0</v>
      </c>
      <c r="K1079" s="14">
        <f t="shared" ca="1" si="213"/>
        <v>352.40000000000003</v>
      </c>
      <c r="L1079" s="14">
        <f t="shared" ca="1" si="214"/>
        <v>0</v>
      </c>
      <c r="M1079" s="15">
        <f t="shared" ca="1" si="215"/>
        <v>352.40000000000003</v>
      </c>
      <c r="N1079" s="16">
        <f ca="1">SUM($M$9:M1079)/A1079</f>
        <v>338.73986928104586</v>
      </c>
      <c r="O1079" s="6"/>
    </row>
    <row r="1080" spans="1:15" x14ac:dyDescent="0.25">
      <c r="A1080" s="8">
        <v>1072</v>
      </c>
      <c r="B1080" s="9">
        <f t="shared" ca="1" si="207"/>
        <v>1762</v>
      </c>
      <c r="C1080" s="10">
        <f t="shared" ca="1" si="208"/>
        <v>0</v>
      </c>
      <c r="D1080" s="11">
        <f t="shared" ca="1" si="216"/>
        <v>0.78125407793948676</v>
      </c>
      <c r="E1080" s="9">
        <f t="shared" ca="1" si="217"/>
        <v>438</v>
      </c>
      <c r="F1080" s="9">
        <f t="shared" ca="1" si="209"/>
        <v>1324</v>
      </c>
      <c r="G1080" s="12" t="str">
        <f t="shared" ca="1" si="210"/>
        <v>No</v>
      </c>
      <c r="H1080" s="12">
        <f t="shared" ca="1" si="218"/>
        <v>0</v>
      </c>
      <c r="I1080" s="10">
        <f t="shared" ca="1" si="211"/>
        <v>0</v>
      </c>
      <c r="J1080" s="13">
        <f t="shared" ca="1" si="212"/>
        <v>0</v>
      </c>
      <c r="K1080" s="14">
        <f t="shared" ca="1" si="213"/>
        <v>264.8</v>
      </c>
      <c r="L1080" s="14">
        <f t="shared" ca="1" si="214"/>
        <v>0</v>
      </c>
      <c r="M1080" s="15">
        <f t="shared" ca="1" si="215"/>
        <v>264.8</v>
      </c>
      <c r="N1080" s="16">
        <f ca="1">SUM($M$9:M1080)/A1080</f>
        <v>338.67089552238815</v>
      </c>
      <c r="O1080" s="6"/>
    </row>
    <row r="1081" spans="1:15" x14ac:dyDescent="0.25">
      <c r="A1081" s="8">
        <v>1073</v>
      </c>
      <c r="B1081" s="9">
        <f t="shared" ca="1" si="207"/>
        <v>1324</v>
      </c>
      <c r="C1081" s="10">
        <f t="shared" ca="1" si="208"/>
        <v>0</v>
      </c>
      <c r="D1081" s="11">
        <f t="shared" ca="1" si="216"/>
        <v>0.61642848113100379</v>
      </c>
      <c r="E1081" s="9">
        <f t="shared" ca="1" si="217"/>
        <v>414</v>
      </c>
      <c r="F1081" s="9">
        <f t="shared" ca="1" si="209"/>
        <v>910</v>
      </c>
      <c r="G1081" s="12" t="str">
        <f t="shared" ca="1" si="210"/>
        <v>Yes</v>
      </c>
      <c r="H1081" s="12">
        <f t="shared" ca="1" si="218"/>
        <v>0.22058961892374052</v>
      </c>
      <c r="I1081" s="10">
        <f t="shared" ca="1" si="211"/>
        <v>1</v>
      </c>
      <c r="J1081" s="13">
        <f t="shared" ca="1" si="212"/>
        <v>300</v>
      </c>
      <c r="K1081" s="14">
        <f t="shared" ca="1" si="213"/>
        <v>182</v>
      </c>
      <c r="L1081" s="14">
        <f t="shared" ca="1" si="214"/>
        <v>0</v>
      </c>
      <c r="M1081" s="15">
        <f t="shared" ca="1" si="215"/>
        <v>482</v>
      </c>
      <c r="N1081" s="16">
        <f ca="1">SUM($M$9:M1081)/A1081</f>
        <v>338.80447343895628</v>
      </c>
      <c r="O1081" s="6"/>
    </row>
    <row r="1082" spans="1:15" x14ac:dyDescent="0.25">
      <c r="A1082" s="8">
        <v>1074</v>
      </c>
      <c r="B1082" s="9">
        <f t="shared" ca="1" si="207"/>
        <v>2710</v>
      </c>
      <c r="C1082" s="10">
        <f t="shared" ca="1" si="208"/>
        <v>1800</v>
      </c>
      <c r="D1082" s="11">
        <f t="shared" ca="1" si="216"/>
        <v>0.50411155107577899</v>
      </c>
      <c r="E1082" s="9">
        <f t="shared" ca="1" si="217"/>
        <v>400</v>
      </c>
      <c r="F1082" s="9">
        <f t="shared" ca="1" si="209"/>
        <v>2310</v>
      </c>
      <c r="G1082" s="12" t="str">
        <f t="shared" ca="1" si="210"/>
        <v>No</v>
      </c>
      <c r="H1082" s="12">
        <f t="shared" ca="1" si="218"/>
        <v>0</v>
      </c>
      <c r="I1082" s="10">
        <f t="shared" ca="1" si="211"/>
        <v>0</v>
      </c>
      <c r="J1082" s="13">
        <f t="shared" ca="1" si="212"/>
        <v>0</v>
      </c>
      <c r="K1082" s="14">
        <f t="shared" ca="1" si="213"/>
        <v>462</v>
      </c>
      <c r="L1082" s="14">
        <f t="shared" ca="1" si="214"/>
        <v>0</v>
      </c>
      <c r="M1082" s="15">
        <f t="shared" ca="1" si="215"/>
        <v>462</v>
      </c>
      <c r="N1082" s="16">
        <f ca="1">SUM($M$9:M1082)/A1082</f>
        <v>338.91918063314716</v>
      </c>
      <c r="O1082" s="6"/>
    </row>
    <row r="1083" spans="1:15" x14ac:dyDescent="0.25">
      <c r="A1083" s="8">
        <v>1075</v>
      </c>
      <c r="B1083" s="9">
        <f t="shared" ca="1" si="207"/>
        <v>2310</v>
      </c>
      <c r="C1083" s="10">
        <f t="shared" ca="1" si="208"/>
        <v>0</v>
      </c>
      <c r="D1083" s="11">
        <f t="shared" ca="1" si="216"/>
        <v>1.6008266820710659E-4</v>
      </c>
      <c r="E1083" s="9">
        <f t="shared" ca="1" si="217"/>
        <v>220</v>
      </c>
      <c r="F1083" s="9">
        <f t="shared" ca="1" si="209"/>
        <v>2090</v>
      </c>
      <c r="G1083" s="12" t="str">
        <f t="shared" ca="1" si="210"/>
        <v>No</v>
      </c>
      <c r="H1083" s="12">
        <f t="shared" ca="1" si="218"/>
        <v>0</v>
      </c>
      <c r="I1083" s="10">
        <f t="shared" ca="1" si="211"/>
        <v>0</v>
      </c>
      <c r="J1083" s="13">
        <f t="shared" ca="1" si="212"/>
        <v>0</v>
      </c>
      <c r="K1083" s="14">
        <f t="shared" ca="1" si="213"/>
        <v>418</v>
      </c>
      <c r="L1083" s="14">
        <f t="shared" ca="1" si="214"/>
        <v>0</v>
      </c>
      <c r="M1083" s="15">
        <f t="shared" ca="1" si="215"/>
        <v>418</v>
      </c>
      <c r="N1083" s="16">
        <f ca="1">SUM($M$9:M1083)/A1083</f>
        <v>338.99274418604659</v>
      </c>
      <c r="O1083" s="6"/>
    </row>
    <row r="1084" spans="1:15" x14ac:dyDescent="0.25">
      <c r="A1084" s="8">
        <v>1076</v>
      </c>
      <c r="B1084" s="9">
        <f t="shared" ca="1" si="207"/>
        <v>2090</v>
      </c>
      <c r="C1084" s="10">
        <f t="shared" ca="1" si="208"/>
        <v>0</v>
      </c>
      <c r="D1084" s="11">
        <f t="shared" ca="1" si="216"/>
        <v>0.22855338500360345</v>
      </c>
      <c r="E1084" s="9">
        <f t="shared" ca="1" si="217"/>
        <v>362</v>
      </c>
      <c r="F1084" s="9">
        <f t="shared" ca="1" si="209"/>
        <v>1728</v>
      </c>
      <c r="G1084" s="12" t="str">
        <f t="shared" ca="1" si="210"/>
        <v>No</v>
      </c>
      <c r="H1084" s="12">
        <f t="shared" ca="1" si="218"/>
        <v>0</v>
      </c>
      <c r="I1084" s="10">
        <f t="shared" ca="1" si="211"/>
        <v>0</v>
      </c>
      <c r="J1084" s="13">
        <f t="shared" ca="1" si="212"/>
        <v>0</v>
      </c>
      <c r="K1084" s="14">
        <f t="shared" ca="1" si="213"/>
        <v>345.6</v>
      </c>
      <c r="L1084" s="14">
        <f t="shared" ca="1" si="214"/>
        <v>0</v>
      </c>
      <c r="M1084" s="15">
        <f t="shared" ca="1" si="215"/>
        <v>345.6</v>
      </c>
      <c r="N1084" s="16">
        <f ca="1">SUM($M$9:M1084)/A1084</f>
        <v>338.99888475836434</v>
      </c>
      <c r="O1084" s="6"/>
    </row>
    <row r="1085" spans="1:15" x14ac:dyDescent="0.25">
      <c r="A1085" s="8">
        <v>1077</v>
      </c>
      <c r="B1085" s="9">
        <f t="shared" ref="B1085:B1148" ca="1" si="219">IF(I1084=1,F1084+Quantity,F1084)</f>
        <v>1728</v>
      </c>
      <c r="C1085" s="10">
        <f t="shared" ref="C1085:C1148" ca="1" si="220">IF(I1084=1,Quantity,0)</f>
        <v>0</v>
      </c>
      <c r="D1085" s="11">
        <f t="shared" ca="1" si="216"/>
        <v>0.48832680302185516</v>
      </c>
      <c r="E1085" s="9">
        <f t="shared" ca="1" si="217"/>
        <v>398</v>
      </c>
      <c r="F1085" s="9">
        <f t="shared" ref="F1085:F1148" ca="1" si="221">IF(B1085+C1085-E1085&lt;0,0,B1085-E1085)</f>
        <v>1330</v>
      </c>
      <c r="G1085" s="12" t="str">
        <f t="shared" ref="G1085:G1148" ca="1" si="222">IF(B1085&lt;Point,IF(I1084=0,"Yes","No"),"No")</f>
        <v>No</v>
      </c>
      <c r="H1085" s="12">
        <f t="shared" ca="1" si="218"/>
        <v>0</v>
      </c>
      <c r="I1085" s="10">
        <f t="shared" ref="I1085:I1148" ca="1" si="223">IF(I1084&gt;0,I1084-1,(IF(G1085="Yes",(VLOOKUP(H1085,LTD,3)),0)))</f>
        <v>0</v>
      </c>
      <c r="J1085" s="13">
        <f t="shared" ref="J1085:J1148" ca="1" si="224">IF(G1085="Yes",Order_Cost,0)</f>
        <v>0</v>
      </c>
      <c r="K1085" s="14">
        <f t="shared" ref="K1085:K1148" ca="1" si="225">F1085*Holding_Cost</f>
        <v>266</v>
      </c>
      <c r="L1085" s="14">
        <f t="shared" ref="L1085:L1148" ca="1" si="226">IF(B1085+C1085&lt;E1085,Shortage_Cost*(E1085-B1085-C1085),0)</f>
        <v>0</v>
      </c>
      <c r="M1085" s="15">
        <f t="shared" ref="M1085:M1148" ca="1" si="227">SUM(J1085:L1085)</f>
        <v>266</v>
      </c>
      <c r="N1085" s="16">
        <f ca="1">SUM($M$9:M1085)/A1085</f>
        <v>338.93110492107712</v>
      </c>
      <c r="O1085" s="6"/>
    </row>
    <row r="1086" spans="1:15" x14ac:dyDescent="0.25">
      <c r="A1086" s="8">
        <v>1078</v>
      </c>
      <c r="B1086" s="9">
        <f t="shared" ca="1" si="219"/>
        <v>1330</v>
      </c>
      <c r="C1086" s="10">
        <f t="shared" ca="1" si="220"/>
        <v>0</v>
      </c>
      <c r="D1086" s="11">
        <f t="shared" ca="1" si="216"/>
        <v>0.45853589093370994</v>
      </c>
      <c r="E1086" s="9">
        <f t="shared" ca="1" si="217"/>
        <v>394</v>
      </c>
      <c r="F1086" s="9">
        <f t="shared" ca="1" si="221"/>
        <v>936</v>
      </c>
      <c r="G1086" s="12" t="str">
        <f t="shared" ca="1" si="222"/>
        <v>Yes</v>
      </c>
      <c r="H1086" s="12">
        <f t="shared" ca="1" si="218"/>
        <v>0.46403142787494456</v>
      </c>
      <c r="I1086" s="10">
        <f t="shared" ca="1" si="223"/>
        <v>1</v>
      </c>
      <c r="J1086" s="13">
        <f t="shared" ca="1" si="224"/>
        <v>300</v>
      </c>
      <c r="K1086" s="14">
        <f t="shared" ca="1" si="225"/>
        <v>187.20000000000002</v>
      </c>
      <c r="L1086" s="14">
        <f t="shared" ca="1" si="226"/>
        <v>0</v>
      </c>
      <c r="M1086" s="15">
        <f t="shared" ca="1" si="227"/>
        <v>487.20000000000005</v>
      </c>
      <c r="N1086" s="16">
        <f ca="1">SUM($M$9:M1086)/A1086</f>
        <v>339.06864564007424</v>
      </c>
      <c r="O1086" s="6"/>
    </row>
    <row r="1087" spans="1:15" x14ac:dyDescent="0.25">
      <c r="A1087" s="8">
        <v>1079</v>
      </c>
      <c r="B1087" s="9">
        <f t="shared" ca="1" si="219"/>
        <v>2736</v>
      </c>
      <c r="C1087" s="10">
        <f t="shared" ca="1" si="220"/>
        <v>1800</v>
      </c>
      <c r="D1087" s="11">
        <f t="shared" ca="1" si="216"/>
        <v>1.8073373504856494E-2</v>
      </c>
      <c r="E1087" s="9">
        <f t="shared" ca="1" si="217"/>
        <v>295</v>
      </c>
      <c r="F1087" s="9">
        <f t="shared" ca="1" si="221"/>
        <v>2441</v>
      </c>
      <c r="G1087" s="12" t="str">
        <f t="shared" ca="1" si="222"/>
        <v>No</v>
      </c>
      <c r="H1087" s="12">
        <f t="shared" ca="1" si="218"/>
        <v>0</v>
      </c>
      <c r="I1087" s="10">
        <f t="shared" ca="1" si="223"/>
        <v>0</v>
      </c>
      <c r="J1087" s="13">
        <f t="shared" ca="1" si="224"/>
        <v>0</v>
      </c>
      <c r="K1087" s="14">
        <f t="shared" ca="1" si="225"/>
        <v>488.20000000000005</v>
      </c>
      <c r="L1087" s="14">
        <f t="shared" ca="1" si="226"/>
        <v>0</v>
      </c>
      <c r="M1087" s="15">
        <f t="shared" ca="1" si="227"/>
        <v>488.20000000000005</v>
      </c>
      <c r="N1087" s="16">
        <f ca="1">SUM($M$9:M1087)/A1087</f>
        <v>339.20685820203897</v>
      </c>
      <c r="O1087" s="6"/>
    </row>
    <row r="1088" spans="1:15" x14ac:dyDescent="0.25">
      <c r="A1088" s="8">
        <v>1080</v>
      </c>
      <c r="B1088" s="9">
        <f t="shared" ca="1" si="219"/>
        <v>2441</v>
      </c>
      <c r="C1088" s="10">
        <f t="shared" ca="1" si="220"/>
        <v>0</v>
      </c>
      <c r="D1088" s="11">
        <f t="shared" ca="1" si="216"/>
        <v>0.53142682563746901</v>
      </c>
      <c r="E1088" s="9">
        <f t="shared" ca="1" si="217"/>
        <v>403</v>
      </c>
      <c r="F1088" s="9">
        <f t="shared" ca="1" si="221"/>
        <v>2038</v>
      </c>
      <c r="G1088" s="12" t="str">
        <f t="shared" ca="1" si="222"/>
        <v>No</v>
      </c>
      <c r="H1088" s="12">
        <f t="shared" ca="1" si="218"/>
        <v>0</v>
      </c>
      <c r="I1088" s="10">
        <f t="shared" ca="1" si="223"/>
        <v>0</v>
      </c>
      <c r="J1088" s="13">
        <f t="shared" ca="1" si="224"/>
        <v>0</v>
      </c>
      <c r="K1088" s="14">
        <f t="shared" ca="1" si="225"/>
        <v>407.6</v>
      </c>
      <c r="L1088" s="14">
        <f t="shared" ca="1" si="226"/>
        <v>0</v>
      </c>
      <c r="M1088" s="15">
        <f t="shared" ca="1" si="227"/>
        <v>407.6</v>
      </c>
      <c r="N1088" s="16">
        <f ca="1">SUM($M$9:M1088)/A1088</f>
        <v>339.27018518518526</v>
      </c>
      <c r="O1088" s="6"/>
    </row>
    <row r="1089" spans="1:15" x14ac:dyDescent="0.25">
      <c r="A1089" s="8">
        <v>1081</v>
      </c>
      <c r="B1089" s="9">
        <f t="shared" ca="1" si="219"/>
        <v>2038</v>
      </c>
      <c r="C1089" s="10">
        <f t="shared" ca="1" si="220"/>
        <v>0</v>
      </c>
      <c r="D1089" s="11">
        <f t="shared" ca="1" si="216"/>
        <v>6.3933357441102956E-2</v>
      </c>
      <c r="E1089" s="9">
        <f t="shared" ca="1" si="217"/>
        <v>323</v>
      </c>
      <c r="F1089" s="9">
        <f t="shared" ca="1" si="221"/>
        <v>1715</v>
      </c>
      <c r="G1089" s="12" t="str">
        <f t="shared" ca="1" si="222"/>
        <v>No</v>
      </c>
      <c r="H1089" s="12">
        <f t="shared" ca="1" si="218"/>
        <v>0</v>
      </c>
      <c r="I1089" s="10">
        <f t="shared" ca="1" si="223"/>
        <v>0</v>
      </c>
      <c r="J1089" s="13">
        <f t="shared" ca="1" si="224"/>
        <v>0</v>
      </c>
      <c r="K1089" s="14">
        <f t="shared" ca="1" si="225"/>
        <v>343</v>
      </c>
      <c r="L1089" s="14">
        <f t="shared" ca="1" si="226"/>
        <v>0</v>
      </c>
      <c r="M1089" s="15">
        <f t="shared" ca="1" si="227"/>
        <v>343</v>
      </c>
      <c r="N1089" s="16">
        <f ca="1">SUM($M$9:M1089)/A1089</f>
        <v>339.27363552266422</v>
      </c>
      <c r="O1089" s="6"/>
    </row>
    <row r="1090" spans="1:15" x14ac:dyDescent="0.25">
      <c r="A1090" s="8">
        <v>1082</v>
      </c>
      <c r="B1090" s="9">
        <f t="shared" ca="1" si="219"/>
        <v>1715</v>
      </c>
      <c r="C1090" s="10">
        <f t="shared" ca="1" si="220"/>
        <v>0</v>
      </c>
      <c r="D1090" s="11">
        <f t="shared" ca="1" si="216"/>
        <v>0.96606660113672005</v>
      </c>
      <c r="E1090" s="9">
        <f t="shared" ca="1" si="217"/>
        <v>491</v>
      </c>
      <c r="F1090" s="9">
        <f t="shared" ca="1" si="221"/>
        <v>1224</v>
      </c>
      <c r="G1090" s="12" t="str">
        <f t="shared" ca="1" si="222"/>
        <v>No</v>
      </c>
      <c r="H1090" s="12">
        <f t="shared" ca="1" si="218"/>
        <v>0</v>
      </c>
      <c r="I1090" s="10">
        <f t="shared" ca="1" si="223"/>
        <v>0</v>
      </c>
      <c r="J1090" s="13">
        <f t="shared" ca="1" si="224"/>
        <v>0</v>
      </c>
      <c r="K1090" s="14">
        <f t="shared" ca="1" si="225"/>
        <v>244.8</v>
      </c>
      <c r="L1090" s="14">
        <f t="shared" ca="1" si="226"/>
        <v>0</v>
      </c>
      <c r="M1090" s="15">
        <f t="shared" ca="1" si="227"/>
        <v>244.8</v>
      </c>
      <c r="N1090" s="16">
        <f ca="1">SUM($M$9:M1090)/A1090</f>
        <v>339.18632162661743</v>
      </c>
      <c r="O1090" s="6"/>
    </row>
    <row r="1091" spans="1:15" x14ac:dyDescent="0.25">
      <c r="A1091" s="8">
        <v>1083</v>
      </c>
      <c r="B1091" s="9">
        <f t="shared" ca="1" si="219"/>
        <v>1224</v>
      </c>
      <c r="C1091" s="10">
        <f t="shared" ca="1" si="220"/>
        <v>0</v>
      </c>
      <c r="D1091" s="11">
        <f t="shared" ca="1" si="216"/>
        <v>0.41042337362700254</v>
      </c>
      <c r="E1091" s="9">
        <f t="shared" ca="1" si="217"/>
        <v>388</v>
      </c>
      <c r="F1091" s="9">
        <f t="shared" ca="1" si="221"/>
        <v>836</v>
      </c>
      <c r="G1091" s="12" t="str">
        <f t="shared" ca="1" si="222"/>
        <v>Yes</v>
      </c>
      <c r="H1091" s="12">
        <f t="shared" ca="1" si="218"/>
        <v>0.34183712294969382</v>
      </c>
      <c r="I1091" s="10">
        <f t="shared" ca="1" si="223"/>
        <v>1</v>
      </c>
      <c r="J1091" s="13">
        <f t="shared" ca="1" si="224"/>
        <v>300</v>
      </c>
      <c r="K1091" s="14">
        <f t="shared" ca="1" si="225"/>
        <v>167.20000000000002</v>
      </c>
      <c r="L1091" s="14">
        <f t="shared" ca="1" si="226"/>
        <v>0</v>
      </c>
      <c r="M1091" s="15">
        <f t="shared" ca="1" si="227"/>
        <v>467.20000000000005</v>
      </c>
      <c r="N1091" s="16">
        <f ca="1">SUM($M$9:M1091)/A1091</f>
        <v>339.30452446906747</v>
      </c>
      <c r="O1091" s="6"/>
    </row>
    <row r="1092" spans="1:15" x14ac:dyDescent="0.25">
      <c r="A1092" s="8">
        <v>1084</v>
      </c>
      <c r="B1092" s="9">
        <f t="shared" ca="1" si="219"/>
        <v>2636</v>
      </c>
      <c r="C1092" s="10">
        <f t="shared" ca="1" si="220"/>
        <v>1800</v>
      </c>
      <c r="D1092" s="11">
        <f t="shared" ca="1" si="216"/>
        <v>0.73831517111221401</v>
      </c>
      <c r="E1092" s="9">
        <f t="shared" ca="1" si="217"/>
        <v>431</v>
      </c>
      <c r="F1092" s="9">
        <f t="shared" ca="1" si="221"/>
        <v>2205</v>
      </c>
      <c r="G1092" s="12" t="str">
        <f t="shared" ca="1" si="222"/>
        <v>No</v>
      </c>
      <c r="H1092" s="12">
        <f t="shared" ca="1" si="218"/>
        <v>0</v>
      </c>
      <c r="I1092" s="10">
        <f t="shared" ca="1" si="223"/>
        <v>0</v>
      </c>
      <c r="J1092" s="13">
        <f t="shared" ca="1" si="224"/>
        <v>0</v>
      </c>
      <c r="K1092" s="14">
        <f t="shared" ca="1" si="225"/>
        <v>441</v>
      </c>
      <c r="L1092" s="14">
        <f t="shared" ca="1" si="226"/>
        <v>0</v>
      </c>
      <c r="M1092" s="15">
        <f t="shared" ca="1" si="227"/>
        <v>441</v>
      </c>
      <c r="N1092" s="16">
        <f ca="1">SUM($M$9:M1092)/A1092</f>
        <v>339.39833948339486</v>
      </c>
      <c r="O1092" s="6"/>
    </row>
    <row r="1093" spans="1:15" x14ac:dyDescent="0.25">
      <c r="A1093" s="8">
        <v>1085</v>
      </c>
      <c r="B1093" s="9">
        <f t="shared" ca="1" si="219"/>
        <v>2205</v>
      </c>
      <c r="C1093" s="10">
        <f t="shared" ca="1" si="220"/>
        <v>0</v>
      </c>
      <c r="D1093" s="11">
        <f t="shared" ca="1" si="216"/>
        <v>0.66274605580014934</v>
      </c>
      <c r="E1093" s="9">
        <f t="shared" ca="1" si="217"/>
        <v>420</v>
      </c>
      <c r="F1093" s="9">
        <f t="shared" ca="1" si="221"/>
        <v>1785</v>
      </c>
      <c r="G1093" s="12" t="str">
        <f t="shared" ca="1" si="222"/>
        <v>No</v>
      </c>
      <c r="H1093" s="12">
        <f t="shared" ca="1" si="218"/>
        <v>0</v>
      </c>
      <c r="I1093" s="10">
        <f t="shared" ca="1" si="223"/>
        <v>0</v>
      </c>
      <c r="J1093" s="13">
        <f t="shared" ca="1" si="224"/>
        <v>0</v>
      </c>
      <c r="K1093" s="14">
        <f t="shared" ca="1" si="225"/>
        <v>357</v>
      </c>
      <c r="L1093" s="14">
        <f t="shared" ca="1" si="226"/>
        <v>0</v>
      </c>
      <c r="M1093" s="15">
        <f t="shared" ca="1" si="227"/>
        <v>357</v>
      </c>
      <c r="N1093" s="16">
        <f ca="1">SUM($M$9:M1093)/A1093</f>
        <v>339.4145622119816</v>
      </c>
      <c r="O1093" s="6"/>
    </row>
    <row r="1094" spans="1:15" x14ac:dyDescent="0.25">
      <c r="A1094" s="8">
        <v>1086</v>
      </c>
      <c r="B1094" s="9">
        <f t="shared" ca="1" si="219"/>
        <v>1785</v>
      </c>
      <c r="C1094" s="10">
        <f t="shared" ca="1" si="220"/>
        <v>0</v>
      </c>
      <c r="D1094" s="11">
        <f t="shared" ca="1" si="216"/>
        <v>0.15796733230696136</v>
      </c>
      <c r="E1094" s="9">
        <f t="shared" ca="1" si="217"/>
        <v>349</v>
      </c>
      <c r="F1094" s="9">
        <f t="shared" ca="1" si="221"/>
        <v>1436</v>
      </c>
      <c r="G1094" s="12" t="str">
        <f t="shared" ca="1" si="222"/>
        <v>No</v>
      </c>
      <c r="H1094" s="12">
        <f t="shared" ca="1" si="218"/>
        <v>0</v>
      </c>
      <c r="I1094" s="10">
        <f t="shared" ca="1" si="223"/>
        <v>0</v>
      </c>
      <c r="J1094" s="13">
        <f t="shared" ca="1" si="224"/>
        <v>0</v>
      </c>
      <c r="K1094" s="14">
        <f t="shared" ca="1" si="225"/>
        <v>287.2</v>
      </c>
      <c r="L1094" s="14">
        <f t="shared" ca="1" si="226"/>
        <v>0</v>
      </c>
      <c r="M1094" s="15">
        <f t="shared" ca="1" si="227"/>
        <v>287.2</v>
      </c>
      <c r="N1094" s="16">
        <f ca="1">SUM($M$9:M1094)/A1094</f>
        <v>339.36648250460411</v>
      </c>
      <c r="O1094" s="6"/>
    </row>
    <row r="1095" spans="1:15" x14ac:dyDescent="0.25">
      <c r="A1095" s="8">
        <v>1087</v>
      </c>
      <c r="B1095" s="9">
        <f t="shared" ca="1" si="219"/>
        <v>1436</v>
      </c>
      <c r="C1095" s="10">
        <f t="shared" ca="1" si="220"/>
        <v>0</v>
      </c>
      <c r="D1095" s="11">
        <f t="shared" ca="1" si="216"/>
        <v>0.44312928691920583</v>
      </c>
      <c r="E1095" s="9">
        <f t="shared" ca="1" si="217"/>
        <v>392</v>
      </c>
      <c r="F1095" s="9">
        <f t="shared" ca="1" si="221"/>
        <v>1044</v>
      </c>
      <c r="G1095" s="12" t="str">
        <f t="shared" ca="1" si="222"/>
        <v>No</v>
      </c>
      <c r="H1095" s="12">
        <f t="shared" ca="1" si="218"/>
        <v>0</v>
      </c>
      <c r="I1095" s="10">
        <f t="shared" ca="1" si="223"/>
        <v>0</v>
      </c>
      <c r="J1095" s="13">
        <f t="shared" ca="1" si="224"/>
        <v>0</v>
      </c>
      <c r="K1095" s="14">
        <f t="shared" ca="1" si="225"/>
        <v>208.8</v>
      </c>
      <c r="L1095" s="14">
        <f t="shared" ca="1" si="226"/>
        <v>0</v>
      </c>
      <c r="M1095" s="15">
        <f t="shared" ca="1" si="227"/>
        <v>208.8</v>
      </c>
      <c r="N1095" s="16">
        <f ca="1">SUM($M$9:M1095)/A1095</f>
        <v>339.24636614535422</v>
      </c>
      <c r="O1095" s="6"/>
    </row>
    <row r="1096" spans="1:15" x14ac:dyDescent="0.25">
      <c r="A1096" s="8">
        <v>1088</v>
      </c>
      <c r="B1096" s="9">
        <f t="shared" ca="1" si="219"/>
        <v>1044</v>
      </c>
      <c r="C1096" s="10">
        <f t="shared" ca="1" si="220"/>
        <v>0</v>
      </c>
      <c r="D1096" s="11">
        <f t="shared" ca="1" si="216"/>
        <v>0.86941288811483808</v>
      </c>
      <c r="E1096" s="9">
        <f t="shared" ca="1" si="217"/>
        <v>456</v>
      </c>
      <c r="F1096" s="9">
        <f t="shared" ca="1" si="221"/>
        <v>588</v>
      </c>
      <c r="G1096" s="12" t="str">
        <f t="shared" ca="1" si="222"/>
        <v>Yes</v>
      </c>
      <c r="H1096" s="12">
        <f t="shared" ca="1" si="218"/>
        <v>0.54599757750311328</v>
      </c>
      <c r="I1096" s="10">
        <f t="shared" ca="1" si="223"/>
        <v>1</v>
      </c>
      <c r="J1096" s="13">
        <f t="shared" ca="1" si="224"/>
        <v>300</v>
      </c>
      <c r="K1096" s="14">
        <f t="shared" ca="1" si="225"/>
        <v>117.60000000000001</v>
      </c>
      <c r="L1096" s="14">
        <f t="shared" ca="1" si="226"/>
        <v>0</v>
      </c>
      <c r="M1096" s="15">
        <f t="shared" ca="1" si="227"/>
        <v>417.6</v>
      </c>
      <c r="N1096" s="16">
        <f ca="1">SUM($M$9:M1096)/A1096</f>
        <v>339.31838235294117</v>
      </c>
      <c r="O1096" s="6"/>
    </row>
    <row r="1097" spans="1:15" x14ac:dyDescent="0.25">
      <c r="A1097" s="8">
        <v>1089</v>
      </c>
      <c r="B1097" s="9">
        <f t="shared" ca="1" si="219"/>
        <v>2388</v>
      </c>
      <c r="C1097" s="10">
        <f t="shared" ca="1" si="220"/>
        <v>1800</v>
      </c>
      <c r="D1097" s="11">
        <f t="shared" ca="1" si="216"/>
        <v>1.6966013163119187E-2</v>
      </c>
      <c r="E1097" s="9">
        <f t="shared" ca="1" si="217"/>
        <v>293</v>
      </c>
      <c r="F1097" s="9">
        <f t="shared" ca="1" si="221"/>
        <v>2095</v>
      </c>
      <c r="G1097" s="12" t="str">
        <f t="shared" ca="1" si="222"/>
        <v>No</v>
      </c>
      <c r="H1097" s="12">
        <f t="shared" ca="1" si="218"/>
        <v>0</v>
      </c>
      <c r="I1097" s="10">
        <f t="shared" ca="1" si="223"/>
        <v>0</v>
      </c>
      <c r="J1097" s="13">
        <f t="shared" ca="1" si="224"/>
        <v>0</v>
      </c>
      <c r="K1097" s="14">
        <f t="shared" ca="1" si="225"/>
        <v>419</v>
      </c>
      <c r="L1097" s="14">
        <f t="shared" ca="1" si="226"/>
        <v>0</v>
      </c>
      <c r="M1097" s="15">
        <f t="shared" ca="1" si="227"/>
        <v>419</v>
      </c>
      <c r="N1097" s="16">
        <f ca="1">SUM($M$9:M1097)/A1097</f>
        <v>339.39155188246099</v>
      </c>
      <c r="O1097" s="6"/>
    </row>
    <row r="1098" spans="1:15" x14ac:dyDescent="0.25">
      <c r="A1098" s="8">
        <v>1090</v>
      </c>
      <c r="B1098" s="9">
        <f t="shared" ca="1" si="219"/>
        <v>2095</v>
      </c>
      <c r="C1098" s="10">
        <f t="shared" ca="1" si="220"/>
        <v>0</v>
      </c>
      <c r="D1098" s="11">
        <f t="shared" ref="D1098:D1161" ca="1" si="228">RAND()</f>
        <v>0.75990926838956885</v>
      </c>
      <c r="E1098" s="9">
        <f t="shared" ref="E1098:E1161" ca="1" si="229">INT(NORMINV(D1098,D_Mean,D_StdDev))</f>
        <v>435</v>
      </c>
      <c r="F1098" s="9">
        <f t="shared" ca="1" si="221"/>
        <v>1660</v>
      </c>
      <c r="G1098" s="12" t="str">
        <f t="shared" ca="1" si="222"/>
        <v>No</v>
      </c>
      <c r="H1098" s="12">
        <f t="shared" ref="H1098:H1161" ca="1" si="230">IF(G1098="Yes",RAND(),0)</f>
        <v>0</v>
      </c>
      <c r="I1098" s="10">
        <f t="shared" ca="1" si="223"/>
        <v>0</v>
      </c>
      <c r="J1098" s="13">
        <f t="shared" ca="1" si="224"/>
        <v>0</v>
      </c>
      <c r="K1098" s="14">
        <f t="shared" ca="1" si="225"/>
        <v>332</v>
      </c>
      <c r="L1098" s="14">
        <f t="shared" ca="1" si="226"/>
        <v>0</v>
      </c>
      <c r="M1098" s="15">
        <f t="shared" ca="1" si="227"/>
        <v>332</v>
      </c>
      <c r="N1098" s="16">
        <f ca="1">SUM($M$9:M1098)/A1098</f>
        <v>339.38477064220183</v>
      </c>
      <c r="O1098" s="6"/>
    </row>
    <row r="1099" spans="1:15" x14ac:dyDescent="0.25">
      <c r="A1099" s="8">
        <v>1091</v>
      </c>
      <c r="B1099" s="9">
        <f t="shared" ca="1" si="219"/>
        <v>1660</v>
      </c>
      <c r="C1099" s="10">
        <f t="shared" ca="1" si="220"/>
        <v>0</v>
      </c>
      <c r="D1099" s="11">
        <f t="shared" ca="1" si="228"/>
        <v>6.6748428459612041E-2</v>
      </c>
      <c r="E1099" s="9">
        <f t="shared" ca="1" si="229"/>
        <v>324</v>
      </c>
      <c r="F1099" s="9">
        <f t="shared" ca="1" si="221"/>
        <v>1336</v>
      </c>
      <c r="G1099" s="12" t="str">
        <f t="shared" ca="1" si="222"/>
        <v>No</v>
      </c>
      <c r="H1099" s="12">
        <f t="shared" ca="1" si="230"/>
        <v>0</v>
      </c>
      <c r="I1099" s="10">
        <f t="shared" ca="1" si="223"/>
        <v>0</v>
      </c>
      <c r="J1099" s="13">
        <f t="shared" ca="1" si="224"/>
        <v>0</v>
      </c>
      <c r="K1099" s="14">
        <f t="shared" ca="1" si="225"/>
        <v>267.2</v>
      </c>
      <c r="L1099" s="14">
        <f t="shared" ca="1" si="226"/>
        <v>0</v>
      </c>
      <c r="M1099" s="15">
        <f t="shared" ca="1" si="227"/>
        <v>267.2</v>
      </c>
      <c r="N1099" s="16">
        <f ca="1">SUM($M$9:M1099)/A1099</f>
        <v>339.31860678276814</v>
      </c>
      <c r="O1099" s="6"/>
    </row>
    <row r="1100" spans="1:15" x14ac:dyDescent="0.25">
      <c r="A1100" s="8">
        <v>1092</v>
      </c>
      <c r="B1100" s="9">
        <f t="shared" ca="1" si="219"/>
        <v>1336</v>
      </c>
      <c r="C1100" s="10">
        <f t="shared" ca="1" si="220"/>
        <v>0</v>
      </c>
      <c r="D1100" s="11">
        <f t="shared" ca="1" si="228"/>
        <v>0.14642094528540317</v>
      </c>
      <c r="E1100" s="9">
        <f t="shared" ca="1" si="229"/>
        <v>347</v>
      </c>
      <c r="F1100" s="9">
        <f t="shared" ca="1" si="221"/>
        <v>989</v>
      </c>
      <c r="G1100" s="12" t="str">
        <f t="shared" ca="1" si="222"/>
        <v>Yes</v>
      </c>
      <c r="H1100" s="12">
        <f t="shared" ca="1" si="230"/>
        <v>0.13240572553499252</v>
      </c>
      <c r="I1100" s="10">
        <f t="shared" ca="1" si="223"/>
        <v>1</v>
      </c>
      <c r="J1100" s="13">
        <f t="shared" ca="1" si="224"/>
        <v>300</v>
      </c>
      <c r="K1100" s="14">
        <f t="shared" ca="1" si="225"/>
        <v>197.8</v>
      </c>
      <c r="L1100" s="14">
        <f t="shared" ca="1" si="226"/>
        <v>0</v>
      </c>
      <c r="M1100" s="15">
        <f t="shared" ca="1" si="227"/>
        <v>497.8</v>
      </c>
      <c r="N1100" s="16">
        <f ca="1">SUM($M$9:M1100)/A1100</f>
        <v>339.46373626373628</v>
      </c>
      <c r="O1100" s="6"/>
    </row>
    <row r="1101" spans="1:15" x14ac:dyDescent="0.25">
      <c r="A1101" s="8">
        <v>1093</v>
      </c>
      <c r="B1101" s="9">
        <f t="shared" ca="1" si="219"/>
        <v>2789</v>
      </c>
      <c r="C1101" s="10">
        <f t="shared" ca="1" si="220"/>
        <v>1800</v>
      </c>
      <c r="D1101" s="11">
        <f t="shared" ca="1" si="228"/>
        <v>0.48242127937336332</v>
      </c>
      <c r="E1101" s="9">
        <f t="shared" ca="1" si="229"/>
        <v>397</v>
      </c>
      <c r="F1101" s="9">
        <f t="shared" ca="1" si="221"/>
        <v>2392</v>
      </c>
      <c r="G1101" s="12" t="str">
        <f t="shared" ca="1" si="222"/>
        <v>No</v>
      </c>
      <c r="H1101" s="12">
        <f t="shared" ca="1" si="230"/>
        <v>0</v>
      </c>
      <c r="I1101" s="10">
        <f t="shared" ca="1" si="223"/>
        <v>0</v>
      </c>
      <c r="J1101" s="13">
        <f t="shared" ca="1" si="224"/>
        <v>0</v>
      </c>
      <c r="K1101" s="14">
        <f t="shared" ca="1" si="225"/>
        <v>478.40000000000003</v>
      </c>
      <c r="L1101" s="14">
        <f t="shared" ca="1" si="226"/>
        <v>0</v>
      </c>
      <c r="M1101" s="15">
        <f t="shared" ca="1" si="227"/>
        <v>478.40000000000003</v>
      </c>
      <c r="N1101" s="16">
        <f ca="1">SUM($M$9:M1101)/A1101</f>
        <v>339.59085086916747</v>
      </c>
      <c r="O1101" s="6"/>
    </row>
    <row r="1102" spans="1:15" x14ac:dyDescent="0.25">
      <c r="A1102" s="8">
        <v>1094</v>
      </c>
      <c r="B1102" s="9">
        <f t="shared" ca="1" si="219"/>
        <v>2392</v>
      </c>
      <c r="C1102" s="10">
        <f t="shared" ca="1" si="220"/>
        <v>0</v>
      </c>
      <c r="D1102" s="11">
        <f t="shared" ca="1" si="228"/>
        <v>0.93471568262978211</v>
      </c>
      <c r="E1102" s="9">
        <f t="shared" ca="1" si="229"/>
        <v>475</v>
      </c>
      <c r="F1102" s="9">
        <f t="shared" ca="1" si="221"/>
        <v>1917</v>
      </c>
      <c r="G1102" s="12" t="str">
        <f t="shared" ca="1" si="222"/>
        <v>No</v>
      </c>
      <c r="H1102" s="12">
        <f t="shared" ca="1" si="230"/>
        <v>0</v>
      </c>
      <c r="I1102" s="10">
        <f t="shared" ca="1" si="223"/>
        <v>0</v>
      </c>
      <c r="J1102" s="13">
        <f t="shared" ca="1" si="224"/>
        <v>0</v>
      </c>
      <c r="K1102" s="14">
        <f t="shared" ca="1" si="225"/>
        <v>383.40000000000003</v>
      </c>
      <c r="L1102" s="14">
        <f t="shared" ca="1" si="226"/>
        <v>0</v>
      </c>
      <c r="M1102" s="15">
        <f t="shared" ca="1" si="227"/>
        <v>383.40000000000003</v>
      </c>
      <c r="N1102" s="16">
        <f ca="1">SUM($M$9:M1102)/A1102</f>
        <v>339.63089579524689</v>
      </c>
      <c r="O1102" s="6"/>
    </row>
    <row r="1103" spans="1:15" x14ac:dyDescent="0.25">
      <c r="A1103" s="8">
        <v>1095</v>
      </c>
      <c r="B1103" s="9">
        <f t="shared" ca="1" si="219"/>
        <v>1917</v>
      </c>
      <c r="C1103" s="10">
        <f t="shared" ca="1" si="220"/>
        <v>0</v>
      </c>
      <c r="D1103" s="11">
        <f t="shared" ca="1" si="228"/>
        <v>0.72408877151175077</v>
      </c>
      <c r="E1103" s="9">
        <f t="shared" ca="1" si="229"/>
        <v>429</v>
      </c>
      <c r="F1103" s="9">
        <f t="shared" ca="1" si="221"/>
        <v>1488</v>
      </c>
      <c r="G1103" s="12" t="str">
        <f t="shared" ca="1" si="222"/>
        <v>No</v>
      </c>
      <c r="H1103" s="12">
        <f t="shared" ca="1" si="230"/>
        <v>0</v>
      </c>
      <c r="I1103" s="10">
        <f t="shared" ca="1" si="223"/>
        <v>0</v>
      </c>
      <c r="J1103" s="13">
        <f t="shared" ca="1" si="224"/>
        <v>0</v>
      </c>
      <c r="K1103" s="14">
        <f t="shared" ca="1" si="225"/>
        <v>297.60000000000002</v>
      </c>
      <c r="L1103" s="14">
        <f t="shared" ca="1" si="226"/>
        <v>0</v>
      </c>
      <c r="M1103" s="15">
        <f t="shared" ca="1" si="227"/>
        <v>297.60000000000002</v>
      </c>
      <c r="N1103" s="16">
        <f ca="1">SUM($M$9:M1103)/A1103</f>
        <v>339.59251141552517</v>
      </c>
      <c r="O1103" s="6"/>
    </row>
    <row r="1104" spans="1:15" x14ac:dyDescent="0.25">
      <c r="A1104" s="8">
        <v>1096</v>
      </c>
      <c r="B1104" s="9">
        <f t="shared" ca="1" si="219"/>
        <v>1488</v>
      </c>
      <c r="C1104" s="10">
        <f t="shared" ca="1" si="220"/>
        <v>0</v>
      </c>
      <c r="D1104" s="11">
        <f t="shared" ca="1" si="228"/>
        <v>0.96439959910222639</v>
      </c>
      <c r="E1104" s="9">
        <f t="shared" ca="1" si="229"/>
        <v>490</v>
      </c>
      <c r="F1104" s="9">
        <f t="shared" ca="1" si="221"/>
        <v>998</v>
      </c>
      <c r="G1104" s="12" t="str">
        <f t="shared" ca="1" si="222"/>
        <v>No</v>
      </c>
      <c r="H1104" s="12">
        <f t="shared" ca="1" si="230"/>
        <v>0</v>
      </c>
      <c r="I1104" s="10">
        <f t="shared" ca="1" si="223"/>
        <v>0</v>
      </c>
      <c r="J1104" s="13">
        <f t="shared" ca="1" si="224"/>
        <v>0</v>
      </c>
      <c r="K1104" s="14">
        <f t="shared" ca="1" si="225"/>
        <v>199.60000000000002</v>
      </c>
      <c r="L1104" s="14">
        <f t="shared" ca="1" si="226"/>
        <v>0</v>
      </c>
      <c r="M1104" s="15">
        <f t="shared" ca="1" si="227"/>
        <v>199.60000000000002</v>
      </c>
      <c r="N1104" s="16">
        <f ca="1">SUM($M$9:M1104)/A1104</f>
        <v>339.46478102189781</v>
      </c>
      <c r="O1104" s="6"/>
    </row>
    <row r="1105" spans="1:15" x14ac:dyDescent="0.25">
      <c r="A1105" s="8">
        <v>1097</v>
      </c>
      <c r="B1105" s="9">
        <f t="shared" ca="1" si="219"/>
        <v>998</v>
      </c>
      <c r="C1105" s="10">
        <f t="shared" ca="1" si="220"/>
        <v>0</v>
      </c>
      <c r="D1105" s="11">
        <f t="shared" ca="1" si="228"/>
        <v>0.26016006223094901</v>
      </c>
      <c r="E1105" s="9">
        <f t="shared" ca="1" si="229"/>
        <v>367</v>
      </c>
      <c r="F1105" s="9">
        <f t="shared" ca="1" si="221"/>
        <v>631</v>
      </c>
      <c r="G1105" s="12" t="str">
        <f t="shared" ca="1" si="222"/>
        <v>Yes</v>
      </c>
      <c r="H1105" s="12">
        <f t="shared" ca="1" si="230"/>
        <v>0.47731302007698861</v>
      </c>
      <c r="I1105" s="10">
        <f t="shared" ca="1" si="223"/>
        <v>1</v>
      </c>
      <c r="J1105" s="13">
        <f t="shared" ca="1" si="224"/>
        <v>300</v>
      </c>
      <c r="K1105" s="14">
        <f t="shared" ca="1" si="225"/>
        <v>126.2</v>
      </c>
      <c r="L1105" s="14">
        <f t="shared" ca="1" si="226"/>
        <v>0</v>
      </c>
      <c r="M1105" s="15">
        <f t="shared" ca="1" si="227"/>
        <v>426.2</v>
      </c>
      <c r="N1105" s="16">
        <f ca="1">SUM($M$9:M1105)/A1105</f>
        <v>339.54384685505926</v>
      </c>
      <c r="O1105" s="6"/>
    </row>
    <row r="1106" spans="1:15" x14ac:dyDescent="0.25">
      <c r="A1106" s="8">
        <v>1098</v>
      </c>
      <c r="B1106" s="9">
        <f t="shared" ca="1" si="219"/>
        <v>2431</v>
      </c>
      <c r="C1106" s="10">
        <f t="shared" ca="1" si="220"/>
        <v>1800</v>
      </c>
      <c r="D1106" s="11">
        <f t="shared" ca="1" si="228"/>
        <v>0.84299015167412061</v>
      </c>
      <c r="E1106" s="9">
        <f t="shared" ca="1" si="229"/>
        <v>450</v>
      </c>
      <c r="F1106" s="9">
        <f t="shared" ca="1" si="221"/>
        <v>1981</v>
      </c>
      <c r="G1106" s="12" t="str">
        <f t="shared" ca="1" si="222"/>
        <v>No</v>
      </c>
      <c r="H1106" s="12">
        <f t="shared" ca="1" si="230"/>
        <v>0</v>
      </c>
      <c r="I1106" s="10">
        <f t="shared" ca="1" si="223"/>
        <v>0</v>
      </c>
      <c r="J1106" s="13">
        <f t="shared" ca="1" si="224"/>
        <v>0</v>
      </c>
      <c r="K1106" s="14">
        <f t="shared" ca="1" si="225"/>
        <v>396.20000000000005</v>
      </c>
      <c r="L1106" s="14">
        <f t="shared" ca="1" si="226"/>
        <v>0</v>
      </c>
      <c r="M1106" s="15">
        <f t="shared" ca="1" si="227"/>
        <v>396.20000000000005</v>
      </c>
      <c r="N1106" s="16">
        <f ca="1">SUM($M$9:M1106)/A1106</f>
        <v>339.59544626593811</v>
      </c>
      <c r="O1106" s="6"/>
    </row>
    <row r="1107" spans="1:15" x14ac:dyDescent="0.25">
      <c r="A1107" s="8">
        <v>1099</v>
      </c>
      <c r="B1107" s="9">
        <f t="shared" ca="1" si="219"/>
        <v>1981</v>
      </c>
      <c r="C1107" s="10">
        <f t="shared" ca="1" si="220"/>
        <v>0</v>
      </c>
      <c r="D1107" s="11">
        <f t="shared" ca="1" si="228"/>
        <v>1.3332622556876395E-3</v>
      </c>
      <c r="E1107" s="9">
        <f t="shared" ca="1" si="229"/>
        <v>249</v>
      </c>
      <c r="F1107" s="9">
        <f t="shared" ca="1" si="221"/>
        <v>1732</v>
      </c>
      <c r="G1107" s="12" t="str">
        <f t="shared" ca="1" si="222"/>
        <v>No</v>
      </c>
      <c r="H1107" s="12">
        <f t="shared" ca="1" si="230"/>
        <v>0</v>
      </c>
      <c r="I1107" s="10">
        <f t="shared" ca="1" si="223"/>
        <v>0</v>
      </c>
      <c r="J1107" s="13">
        <f t="shared" ca="1" si="224"/>
        <v>0</v>
      </c>
      <c r="K1107" s="14">
        <f t="shared" ca="1" si="225"/>
        <v>346.40000000000003</v>
      </c>
      <c r="L1107" s="14">
        <f t="shared" ca="1" si="226"/>
        <v>0</v>
      </c>
      <c r="M1107" s="15">
        <f t="shared" ca="1" si="227"/>
        <v>346.40000000000003</v>
      </c>
      <c r="N1107" s="16">
        <f ca="1">SUM($M$9:M1107)/A1107</f>
        <v>339.60163785259334</v>
      </c>
      <c r="O1107" s="6"/>
    </row>
    <row r="1108" spans="1:15" x14ac:dyDescent="0.25">
      <c r="A1108" s="8">
        <v>1100</v>
      </c>
      <c r="B1108" s="9">
        <f t="shared" ca="1" si="219"/>
        <v>1732</v>
      </c>
      <c r="C1108" s="10">
        <f t="shared" ca="1" si="220"/>
        <v>0</v>
      </c>
      <c r="D1108" s="11">
        <f t="shared" ca="1" si="228"/>
        <v>0.91639417498003861</v>
      </c>
      <c r="E1108" s="9">
        <f t="shared" ca="1" si="229"/>
        <v>469</v>
      </c>
      <c r="F1108" s="9">
        <f t="shared" ca="1" si="221"/>
        <v>1263</v>
      </c>
      <c r="G1108" s="12" t="str">
        <f t="shared" ca="1" si="222"/>
        <v>No</v>
      </c>
      <c r="H1108" s="12">
        <f t="shared" ca="1" si="230"/>
        <v>0</v>
      </c>
      <c r="I1108" s="10">
        <f t="shared" ca="1" si="223"/>
        <v>0</v>
      </c>
      <c r="J1108" s="13">
        <f t="shared" ca="1" si="224"/>
        <v>0</v>
      </c>
      <c r="K1108" s="14">
        <f t="shared" ca="1" si="225"/>
        <v>252.60000000000002</v>
      </c>
      <c r="L1108" s="14">
        <f t="shared" ca="1" si="226"/>
        <v>0</v>
      </c>
      <c r="M1108" s="15">
        <f t="shared" ca="1" si="227"/>
        <v>252.60000000000002</v>
      </c>
      <c r="N1108" s="16">
        <f ca="1">SUM($M$9:M1108)/A1108</f>
        <v>339.52254545454548</v>
      </c>
      <c r="O1108" s="6"/>
    </row>
    <row r="1109" spans="1:15" x14ac:dyDescent="0.25">
      <c r="A1109" s="8">
        <v>1101</v>
      </c>
      <c r="B1109" s="9">
        <f t="shared" ca="1" si="219"/>
        <v>1263</v>
      </c>
      <c r="C1109" s="10">
        <f t="shared" ca="1" si="220"/>
        <v>0</v>
      </c>
      <c r="D1109" s="11">
        <f t="shared" ca="1" si="228"/>
        <v>0.87538479440605987</v>
      </c>
      <c r="E1109" s="9">
        <f t="shared" ca="1" si="229"/>
        <v>457</v>
      </c>
      <c r="F1109" s="9">
        <f t="shared" ca="1" si="221"/>
        <v>806</v>
      </c>
      <c r="G1109" s="12" t="str">
        <f t="shared" ca="1" si="222"/>
        <v>Yes</v>
      </c>
      <c r="H1109" s="12">
        <f t="shared" ca="1" si="230"/>
        <v>0.82020967689163737</v>
      </c>
      <c r="I1109" s="10">
        <f t="shared" ca="1" si="223"/>
        <v>2</v>
      </c>
      <c r="J1109" s="13">
        <f t="shared" ca="1" si="224"/>
        <v>300</v>
      </c>
      <c r="K1109" s="14">
        <f t="shared" ca="1" si="225"/>
        <v>161.20000000000002</v>
      </c>
      <c r="L1109" s="14">
        <f t="shared" ca="1" si="226"/>
        <v>0</v>
      </c>
      <c r="M1109" s="15">
        <f t="shared" ca="1" si="227"/>
        <v>461.20000000000005</v>
      </c>
      <c r="N1109" s="16">
        <f ca="1">SUM($M$9:M1109)/A1109</f>
        <v>339.63306085376934</v>
      </c>
      <c r="O1109" s="6"/>
    </row>
    <row r="1110" spans="1:15" x14ac:dyDescent="0.25">
      <c r="A1110" s="8">
        <v>1102</v>
      </c>
      <c r="B1110" s="9">
        <f t="shared" ca="1" si="219"/>
        <v>806</v>
      </c>
      <c r="C1110" s="10">
        <f t="shared" ca="1" si="220"/>
        <v>0</v>
      </c>
      <c r="D1110" s="11">
        <f t="shared" ca="1" si="228"/>
        <v>9.213178264860733E-2</v>
      </c>
      <c r="E1110" s="9">
        <f t="shared" ca="1" si="229"/>
        <v>333</v>
      </c>
      <c r="F1110" s="9">
        <f t="shared" ca="1" si="221"/>
        <v>473</v>
      </c>
      <c r="G1110" s="12" t="str">
        <f t="shared" ca="1" si="222"/>
        <v>No</v>
      </c>
      <c r="H1110" s="12">
        <f t="shared" ca="1" si="230"/>
        <v>0</v>
      </c>
      <c r="I1110" s="10">
        <f t="shared" ca="1" si="223"/>
        <v>1</v>
      </c>
      <c r="J1110" s="13">
        <f t="shared" ca="1" si="224"/>
        <v>0</v>
      </c>
      <c r="K1110" s="14">
        <f t="shared" ca="1" si="225"/>
        <v>94.600000000000009</v>
      </c>
      <c r="L1110" s="14">
        <f t="shared" ca="1" si="226"/>
        <v>0</v>
      </c>
      <c r="M1110" s="15">
        <f t="shared" ca="1" si="227"/>
        <v>94.600000000000009</v>
      </c>
      <c r="N1110" s="16">
        <f ca="1">SUM($M$9:M1110)/A1110</f>
        <v>339.41070780399275</v>
      </c>
      <c r="O1110" s="6"/>
    </row>
    <row r="1111" spans="1:15" x14ac:dyDescent="0.25">
      <c r="A1111" s="8">
        <v>1103</v>
      </c>
      <c r="B1111" s="9">
        <f t="shared" ca="1" si="219"/>
        <v>2273</v>
      </c>
      <c r="C1111" s="10">
        <f t="shared" ca="1" si="220"/>
        <v>1800</v>
      </c>
      <c r="D1111" s="11">
        <f t="shared" ca="1" si="228"/>
        <v>0.94175803176397488</v>
      </c>
      <c r="E1111" s="9">
        <f t="shared" ca="1" si="229"/>
        <v>478</v>
      </c>
      <c r="F1111" s="9">
        <f t="shared" ca="1" si="221"/>
        <v>1795</v>
      </c>
      <c r="G1111" s="12" t="str">
        <f t="shared" ca="1" si="222"/>
        <v>No</v>
      </c>
      <c r="H1111" s="12">
        <f t="shared" ca="1" si="230"/>
        <v>0</v>
      </c>
      <c r="I1111" s="10">
        <f t="shared" ca="1" si="223"/>
        <v>0</v>
      </c>
      <c r="J1111" s="13">
        <f t="shared" ca="1" si="224"/>
        <v>0</v>
      </c>
      <c r="K1111" s="14">
        <f t="shared" ca="1" si="225"/>
        <v>359</v>
      </c>
      <c r="L1111" s="14">
        <f t="shared" ca="1" si="226"/>
        <v>0</v>
      </c>
      <c r="M1111" s="15">
        <f t="shared" ca="1" si="227"/>
        <v>359</v>
      </c>
      <c r="N1111" s="16">
        <f ca="1">SUM($M$9:M1111)/A1111</f>
        <v>339.42846781504988</v>
      </c>
      <c r="O1111" s="6"/>
    </row>
    <row r="1112" spans="1:15" x14ac:dyDescent="0.25">
      <c r="A1112" s="8">
        <v>1104</v>
      </c>
      <c r="B1112" s="9">
        <f t="shared" ca="1" si="219"/>
        <v>1795</v>
      </c>
      <c r="C1112" s="10">
        <f t="shared" ca="1" si="220"/>
        <v>0</v>
      </c>
      <c r="D1112" s="11">
        <f t="shared" ca="1" si="228"/>
        <v>0.80416847107604295</v>
      </c>
      <c r="E1112" s="9">
        <f t="shared" ca="1" si="229"/>
        <v>442</v>
      </c>
      <c r="F1112" s="9">
        <f t="shared" ca="1" si="221"/>
        <v>1353</v>
      </c>
      <c r="G1112" s="12" t="str">
        <f t="shared" ca="1" si="222"/>
        <v>No</v>
      </c>
      <c r="H1112" s="12">
        <f t="shared" ca="1" si="230"/>
        <v>0</v>
      </c>
      <c r="I1112" s="10">
        <f t="shared" ca="1" si="223"/>
        <v>0</v>
      </c>
      <c r="J1112" s="13">
        <f t="shared" ca="1" si="224"/>
        <v>0</v>
      </c>
      <c r="K1112" s="14">
        <f t="shared" ca="1" si="225"/>
        <v>270.60000000000002</v>
      </c>
      <c r="L1112" s="14">
        <f t="shared" ca="1" si="226"/>
        <v>0</v>
      </c>
      <c r="M1112" s="15">
        <f t="shared" ca="1" si="227"/>
        <v>270.60000000000002</v>
      </c>
      <c r="N1112" s="16">
        <f ca="1">SUM($M$9:M1112)/A1112</f>
        <v>339.36612318840582</v>
      </c>
      <c r="O1112" s="6"/>
    </row>
    <row r="1113" spans="1:15" x14ac:dyDescent="0.25">
      <c r="A1113" s="8">
        <v>1105</v>
      </c>
      <c r="B1113" s="9">
        <f t="shared" ca="1" si="219"/>
        <v>1353</v>
      </c>
      <c r="C1113" s="10">
        <f t="shared" ca="1" si="220"/>
        <v>0</v>
      </c>
      <c r="D1113" s="11">
        <f t="shared" ca="1" si="228"/>
        <v>0.7563415528360371</v>
      </c>
      <c r="E1113" s="9">
        <f t="shared" ca="1" si="229"/>
        <v>434</v>
      </c>
      <c r="F1113" s="9">
        <f t="shared" ca="1" si="221"/>
        <v>919</v>
      </c>
      <c r="G1113" s="12" t="str">
        <f t="shared" ca="1" si="222"/>
        <v>Yes</v>
      </c>
      <c r="H1113" s="12">
        <f t="shared" ca="1" si="230"/>
        <v>0.97378948007880139</v>
      </c>
      <c r="I1113" s="10">
        <f t="shared" ca="1" si="223"/>
        <v>3</v>
      </c>
      <c r="J1113" s="13">
        <f t="shared" ca="1" si="224"/>
        <v>300</v>
      </c>
      <c r="K1113" s="14">
        <f t="shared" ca="1" si="225"/>
        <v>183.8</v>
      </c>
      <c r="L1113" s="14">
        <f t="shared" ca="1" si="226"/>
        <v>0</v>
      </c>
      <c r="M1113" s="15">
        <f t="shared" ca="1" si="227"/>
        <v>483.8</v>
      </c>
      <c r="N1113" s="16">
        <f ca="1">SUM($M$9:M1113)/A1113</f>
        <v>339.49683257918554</v>
      </c>
      <c r="O1113" s="6"/>
    </row>
    <row r="1114" spans="1:15" x14ac:dyDescent="0.25">
      <c r="A1114" s="8">
        <v>1106</v>
      </c>
      <c r="B1114" s="9">
        <f t="shared" ca="1" si="219"/>
        <v>919</v>
      </c>
      <c r="C1114" s="10">
        <f t="shared" ca="1" si="220"/>
        <v>0</v>
      </c>
      <c r="D1114" s="11">
        <f t="shared" ca="1" si="228"/>
        <v>0.37998682089639968</v>
      </c>
      <c r="E1114" s="9">
        <f t="shared" ca="1" si="229"/>
        <v>384</v>
      </c>
      <c r="F1114" s="9">
        <f t="shared" ca="1" si="221"/>
        <v>535</v>
      </c>
      <c r="G1114" s="12" t="str">
        <f t="shared" ca="1" si="222"/>
        <v>No</v>
      </c>
      <c r="H1114" s="12">
        <f t="shared" ca="1" si="230"/>
        <v>0</v>
      </c>
      <c r="I1114" s="10">
        <f t="shared" ca="1" si="223"/>
        <v>2</v>
      </c>
      <c r="J1114" s="13">
        <f t="shared" ca="1" si="224"/>
        <v>0</v>
      </c>
      <c r="K1114" s="14">
        <f t="shared" ca="1" si="225"/>
        <v>107</v>
      </c>
      <c r="L1114" s="14">
        <f t="shared" ca="1" si="226"/>
        <v>0</v>
      </c>
      <c r="M1114" s="15">
        <f t="shared" ca="1" si="227"/>
        <v>107</v>
      </c>
      <c r="N1114" s="16">
        <f ca="1">SUM($M$9:M1114)/A1114</f>
        <v>339.28661844484628</v>
      </c>
      <c r="O1114" s="6"/>
    </row>
    <row r="1115" spans="1:15" x14ac:dyDescent="0.25">
      <c r="A1115" s="8">
        <v>1107</v>
      </c>
      <c r="B1115" s="9">
        <f t="shared" ca="1" si="219"/>
        <v>535</v>
      </c>
      <c r="C1115" s="10">
        <f t="shared" ca="1" si="220"/>
        <v>0</v>
      </c>
      <c r="D1115" s="11">
        <f t="shared" ca="1" si="228"/>
        <v>0.46289713268988308</v>
      </c>
      <c r="E1115" s="9">
        <f t="shared" ca="1" si="229"/>
        <v>395</v>
      </c>
      <c r="F1115" s="9">
        <f t="shared" ca="1" si="221"/>
        <v>140</v>
      </c>
      <c r="G1115" s="12" t="str">
        <f t="shared" ca="1" si="222"/>
        <v>No</v>
      </c>
      <c r="H1115" s="12">
        <f t="shared" ca="1" si="230"/>
        <v>0</v>
      </c>
      <c r="I1115" s="10">
        <f t="shared" ca="1" si="223"/>
        <v>1</v>
      </c>
      <c r="J1115" s="13">
        <f t="shared" ca="1" si="224"/>
        <v>0</v>
      </c>
      <c r="K1115" s="14">
        <f t="shared" ca="1" si="225"/>
        <v>28</v>
      </c>
      <c r="L1115" s="14">
        <f t="shared" ca="1" si="226"/>
        <v>0</v>
      </c>
      <c r="M1115" s="15">
        <f t="shared" ca="1" si="227"/>
        <v>28</v>
      </c>
      <c r="N1115" s="16">
        <f ca="1">SUM($M$9:M1115)/A1115</f>
        <v>339.00542005420056</v>
      </c>
      <c r="O1115" s="6"/>
    </row>
    <row r="1116" spans="1:15" x14ac:dyDescent="0.25">
      <c r="A1116" s="8">
        <v>1108</v>
      </c>
      <c r="B1116" s="9">
        <f t="shared" ca="1" si="219"/>
        <v>1940</v>
      </c>
      <c r="C1116" s="10">
        <f t="shared" ca="1" si="220"/>
        <v>1800</v>
      </c>
      <c r="D1116" s="11">
        <f t="shared" ca="1" si="228"/>
        <v>0.26257602329791563</v>
      </c>
      <c r="E1116" s="9">
        <f t="shared" ca="1" si="229"/>
        <v>368</v>
      </c>
      <c r="F1116" s="9">
        <f t="shared" ca="1" si="221"/>
        <v>1572</v>
      </c>
      <c r="G1116" s="12" t="str">
        <f t="shared" ca="1" si="222"/>
        <v>No</v>
      </c>
      <c r="H1116" s="12">
        <f t="shared" ca="1" si="230"/>
        <v>0</v>
      </c>
      <c r="I1116" s="10">
        <f t="shared" ca="1" si="223"/>
        <v>0</v>
      </c>
      <c r="J1116" s="13">
        <f t="shared" ca="1" si="224"/>
        <v>0</v>
      </c>
      <c r="K1116" s="14">
        <f t="shared" ca="1" si="225"/>
        <v>314.40000000000003</v>
      </c>
      <c r="L1116" s="14">
        <f t="shared" ca="1" si="226"/>
        <v>0</v>
      </c>
      <c r="M1116" s="15">
        <f t="shared" ca="1" si="227"/>
        <v>314.40000000000003</v>
      </c>
      <c r="N1116" s="16">
        <f ca="1">SUM($M$9:M1116)/A1116</f>
        <v>338.98321299638991</v>
      </c>
      <c r="O1116" s="6"/>
    </row>
    <row r="1117" spans="1:15" x14ac:dyDescent="0.25">
      <c r="A1117" s="8">
        <v>1109</v>
      </c>
      <c r="B1117" s="9">
        <f t="shared" ca="1" si="219"/>
        <v>1572</v>
      </c>
      <c r="C1117" s="10">
        <f t="shared" ca="1" si="220"/>
        <v>0</v>
      </c>
      <c r="D1117" s="11">
        <f t="shared" ca="1" si="228"/>
        <v>0.5725293594106452</v>
      </c>
      <c r="E1117" s="9">
        <f t="shared" ca="1" si="229"/>
        <v>409</v>
      </c>
      <c r="F1117" s="9">
        <f t="shared" ca="1" si="221"/>
        <v>1163</v>
      </c>
      <c r="G1117" s="12" t="str">
        <f t="shared" ca="1" si="222"/>
        <v>No</v>
      </c>
      <c r="H1117" s="12">
        <f t="shared" ca="1" si="230"/>
        <v>0</v>
      </c>
      <c r="I1117" s="10">
        <f t="shared" ca="1" si="223"/>
        <v>0</v>
      </c>
      <c r="J1117" s="13">
        <f t="shared" ca="1" si="224"/>
        <v>0</v>
      </c>
      <c r="K1117" s="14">
        <f t="shared" ca="1" si="225"/>
        <v>232.60000000000002</v>
      </c>
      <c r="L1117" s="14">
        <f t="shared" ca="1" si="226"/>
        <v>0</v>
      </c>
      <c r="M1117" s="15">
        <f t="shared" ca="1" si="227"/>
        <v>232.60000000000002</v>
      </c>
      <c r="N1117" s="16">
        <f ca="1">SUM($M$9:M1117)/A1117</f>
        <v>338.88728584310189</v>
      </c>
      <c r="O1117" s="6"/>
    </row>
    <row r="1118" spans="1:15" x14ac:dyDescent="0.25">
      <c r="A1118" s="8">
        <v>1110</v>
      </c>
      <c r="B1118" s="9">
        <f t="shared" ca="1" si="219"/>
        <v>1163</v>
      </c>
      <c r="C1118" s="10">
        <f t="shared" ca="1" si="220"/>
        <v>0</v>
      </c>
      <c r="D1118" s="11">
        <f t="shared" ca="1" si="228"/>
        <v>0.38691161519040429</v>
      </c>
      <c r="E1118" s="9">
        <f t="shared" ca="1" si="229"/>
        <v>385</v>
      </c>
      <c r="F1118" s="9">
        <f t="shared" ca="1" si="221"/>
        <v>778</v>
      </c>
      <c r="G1118" s="12" t="str">
        <f t="shared" ca="1" si="222"/>
        <v>Yes</v>
      </c>
      <c r="H1118" s="12">
        <f t="shared" ca="1" si="230"/>
        <v>0.45630075760419353</v>
      </c>
      <c r="I1118" s="10">
        <f t="shared" ca="1" si="223"/>
        <v>1</v>
      </c>
      <c r="J1118" s="13">
        <f t="shared" ca="1" si="224"/>
        <v>300</v>
      </c>
      <c r="K1118" s="14">
        <f t="shared" ca="1" si="225"/>
        <v>155.60000000000002</v>
      </c>
      <c r="L1118" s="14">
        <f t="shared" ca="1" si="226"/>
        <v>0</v>
      </c>
      <c r="M1118" s="15">
        <f t="shared" ca="1" si="227"/>
        <v>455.6</v>
      </c>
      <c r="N1118" s="16">
        <f ca="1">SUM($M$9:M1118)/A1118</f>
        <v>338.99243243243239</v>
      </c>
      <c r="O1118" s="6"/>
    </row>
    <row r="1119" spans="1:15" x14ac:dyDescent="0.25">
      <c r="A1119" s="8">
        <v>1111</v>
      </c>
      <c r="B1119" s="9">
        <f t="shared" ca="1" si="219"/>
        <v>2578</v>
      </c>
      <c r="C1119" s="10">
        <f t="shared" ca="1" si="220"/>
        <v>1800</v>
      </c>
      <c r="D1119" s="11">
        <f t="shared" ca="1" si="228"/>
        <v>0.6982164112101239</v>
      </c>
      <c r="E1119" s="9">
        <f t="shared" ca="1" si="229"/>
        <v>425</v>
      </c>
      <c r="F1119" s="9">
        <f t="shared" ca="1" si="221"/>
        <v>2153</v>
      </c>
      <c r="G1119" s="12" t="str">
        <f t="shared" ca="1" si="222"/>
        <v>No</v>
      </c>
      <c r="H1119" s="12">
        <f t="shared" ca="1" si="230"/>
        <v>0</v>
      </c>
      <c r="I1119" s="10">
        <f t="shared" ca="1" si="223"/>
        <v>0</v>
      </c>
      <c r="J1119" s="13">
        <f t="shared" ca="1" si="224"/>
        <v>0</v>
      </c>
      <c r="K1119" s="14">
        <f t="shared" ca="1" si="225"/>
        <v>430.6</v>
      </c>
      <c r="L1119" s="14">
        <f t="shared" ca="1" si="226"/>
        <v>0</v>
      </c>
      <c r="M1119" s="15">
        <f t="shared" ca="1" si="227"/>
        <v>430.6</v>
      </c>
      <c r="N1119" s="16">
        <f ca="1">SUM($M$9:M1119)/A1119</f>
        <v>339.07488748874886</v>
      </c>
      <c r="O1119" s="6"/>
    </row>
    <row r="1120" spans="1:15" x14ac:dyDescent="0.25">
      <c r="A1120" s="8">
        <v>1112</v>
      </c>
      <c r="B1120" s="9">
        <f t="shared" ca="1" si="219"/>
        <v>2153</v>
      </c>
      <c r="C1120" s="10">
        <f t="shared" ca="1" si="220"/>
        <v>0</v>
      </c>
      <c r="D1120" s="11">
        <f t="shared" ca="1" si="228"/>
        <v>0.45052529733482638</v>
      </c>
      <c r="E1120" s="9">
        <f t="shared" ca="1" si="229"/>
        <v>393</v>
      </c>
      <c r="F1120" s="9">
        <f t="shared" ca="1" si="221"/>
        <v>1760</v>
      </c>
      <c r="G1120" s="12" t="str">
        <f t="shared" ca="1" si="222"/>
        <v>No</v>
      </c>
      <c r="H1120" s="12">
        <f t="shared" ca="1" si="230"/>
        <v>0</v>
      </c>
      <c r="I1120" s="10">
        <f t="shared" ca="1" si="223"/>
        <v>0</v>
      </c>
      <c r="J1120" s="13">
        <f t="shared" ca="1" si="224"/>
        <v>0</v>
      </c>
      <c r="K1120" s="14">
        <f t="shared" ca="1" si="225"/>
        <v>352</v>
      </c>
      <c r="L1120" s="14">
        <f t="shared" ca="1" si="226"/>
        <v>0</v>
      </c>
      <c r="M1120" s="15">
        <f t="shared" ca="1" si="227"/>
        <v>352</v>
      </c>
      <c r="N1120" s="16">
        <f ca="1">SUM($M$9:M1120)/A1120</f>
        <v>339.08651079136689</v>
      </c>
      <c r="O1120" s="6"/>
    </row>
    <row r="1121" spans="1:15" x14ac:dyDescent="0.25">
      <c r="A1121" s="8">
        <v>1113</v>
      </c>
      <c r="B1121" s="9">
        <f t="shared" ca="1" si="219"/>
        <v>1760</v>
      </c>
      <c r="C1121" s="10">
        <f t="shared" ca="1" si="220"/>
        <v>0</v>
      </c>
      <c r="D1121" s="11">
        <f t="shared" ca="1" si="228"/>
        <v>0.44237490399421175</v>
      </c>
      <c r="E1121" s="9">
        <f t="shared" ca="1" si="229"/>
        <v>392</v>
      </c>
      <c r="F1121" s="9">
        <f t="shared" ca="1" si="221"/>
        <v>1368</v>
      </c>
      <c r="G1121" s="12" t="str">
        <f t="shared" ca="1" si="222"/>
        <v>No</v>
      </c>
      <c r="H1121" s="12">
        <f t="shared" ca="1" si="230"/>
        <v>0</v>
      </c>
      <c r="I1121" s="10">
        <f t="shared" ca="1" si="223"/>
        <v>0</v>
      </c>
      <c r="J1121" s="13">
        <f t="shared" ca="1" si="224"/>
        <v>0</v>
      </c>
      <c r="K1121" s="14">
        <f t="shared" ca="1" si="225"/>
        <v>273.60000000000002</v>
      </c>
      <c r="L1121" s="14">
        <f t="shared" ca="1" si="226"/>
        <v>0</v>
      </c>
      <c r="M1121" s="15">
        <f t="shared" ca="1" si="227"/>
        <v>273.60000000000002</v>
      </c>
      <c r="N1121" s="16">
        <f ca="1">SUM($M$9:M1121)/A1121</f>
        <v>339.02767295597477</v>
      </c>
      <c r="O1121" s="6"/>
    </row>
    <row r="1122" spans="1:15" x14ac:dyDescent="0.25">
      <c r="A1122" s="8">
        <v>1114</v>
      </c>
      <c r="B1122" s="9">
        <f t="shared" ca="1" si="219"/>
        <v>1368</v>
      </c>
      <c r="C1122" s="10">
        <f t="shared" ca="1" si="220"/>
        <v>0</v>
      </c>
      <c r="D1122" s="11">
        <f t="shared" ca="1" si="228"/>
        <v>0.25895833427695769</v>
      </c>
      <c r="E1122" s="9">
        <f t="shared" ca="1" si="229"/>
        <v>367</v>
      </c>
      <c r="F1122" s="9">
        <f t="shared" ca="1" si="221"/>
        <v>1001</v>
      </c>
      <c r="G1122" s="12" t="str">
        <f t="shared" ca="1" si="222"/>
        <v>Yes</v>
      </c>
      <c r="H1122" s="12">
        <f t="shared" ca="1" si="230"/>
        <v>0.7480213129000064</v>
      </c>
      <c r="I1122" s="10">
        <f t="shared" ca="1" si="223"/>
        <v>2</v>
      </c>
      <c r="J1122" s="13">
        <f t="shared" ca="1" si="224"/>
        <v>300</v>
      </c>
      <c r="K1122" s="14">
        <f t="shared" ca="1" si="225"/>
        <v>200.20000000000002</v>
      </c>
      <c r="L1122" s="14">
        <f t="shared" ca="1" si="226"/>
        <v>0</v>
      </c>
      <c r="M1122" s="15">
        <f t="shared" ca="1" si="227"/>
        <v>500.20000000000005</v>
      </c>
      <c r="N1122" s="16">
        <f ca="1">SUM($M$9:M1122)/A1122</f>
        <v>339.17235188509869</v>
      </c>
      <c r="O1122" s="6"/>
    </row>
    <row r="1123" spans="1:15" x14ac:dyDescent="0.25">
      <c r="A1123" s="8">
        <v>1115</v>
      </c>
      <c r="B1123" s="9">
        <f t="shared" ca="1" si="219"/>
        <v>1001</v>
      </c>
      <c r="C1123" s="10">
        <f t="shared" ca="1" si="220"/>
        <v>0</v>
      </c>
      <c r="D1123" s="11">
        <f t="shared" ca="1" si="228"/>
        <v>3.4958697372017289E-3</v>
      </c>
      <c r="E1123" s="9">
        <f t="shared" ca="1" si="229"/>
        <v>265</v>
      </c>
      <c r="F1123" s="9">
        <f t="shared" ca="1" si="221"/>
        <v>736</v>
      </c>
      <c r="G1123" s="12" t="str">
        <f t="shared" ca="1" si="222"/>
        <v>No</v>
      </c>
      <c r="H1123" s="12">
        <f t="shared" ca="1" si="230"/>
        <v>0</v>
      </c>
      <c r="I1123" s="10">
        <f t="shared" ca="1" si="223"/>
        <v>1</v>
      </c>
      <c r="J1123" s="13">
        <f t="shared" ca="1" si="224"/>
        <v>0</v>
      </c>
      <c r="K1123" s="14">
        <f t="shared" ca="1" si="225"/>
        <v>147.20000000000002</v>
      </c>
      <c r="L1123" s="14">
        <f t="shared" ca="1" si="226"/>
        <v>0</v>
      </c>
      <c r="M1123" s="15">
        <f t="shared" ca="1" si="227"/>
        <v>147.20000000000002</v>
      </c>
      <c r="N1123" s="16">
        <f ca="1">SUM($M$9:M1123)/A1123</f>
        <v>339.00017937219729</v>
      </c>
      <c r="O1123" s="6"/>
    </row>
    <row r="1124" spans="1:15" x14ac:dyDescent="0.25">
      <c r="A1124" s="8">
        <v>1116</v>
      </c>
      <c r="B1124" s="9">
        <f t="shared" ca="1" si="219"/>
        <v>2536</v>
      </c>
      <c r="C1124" s="10">
        <f t="shared" ca="1" si="220"/>
        <v>1800</v>
      </c>
      <c r="D1124" s="11">
        <f t="shared" ca="1" si="228"/>
        <v>0.84002452157427865</v>
      </c>
      <c r="E1124" s="9">
        <f t="shared" ca="1" si="229"/>
        <v>449</v>
      </c>
      <c r="F1124" s="9">
        <f t="shared" ca="1" si="221"/>
        <v>2087</v>
      </c>
      <c r="G1124" s="12" t="str">
        <f t="shared" ca="1" si="222"/>
        <v>No</v>
      </c>
      <c r="H1124" s="12">
        <f t="shared" ca="1" si="230"/>
        <v>0</v>
      </c>
      <c r="I1124" s="10">
        <f t="shared" ca="1" si="223"/>
        <v>0</v>
      </c>
      <c r="J1124" s="13">
        <f t="shared" ca="1" si="224"/>
        <v>0</v>
      </c>
      <c r="K1124" s="14">
        <f t="shared" ca="1" si="225"/>
        <v>417.40000000000003</v>
      </c>
      <c r="L1124" s="14">
        <f t="shared" ca="1" si="226"/>
        <v>0</v>
      </c>
      <c r="M1124" s="15">
        <f t="shared" ca="1" si="227"/>
        <v>417.40000000000003</v>
      </c>
      <c r="N1124" s="16">
        <f ca="1">SUM($M$9:M1124)/A1124</f>
        <v>339.07043010752687</v>
      </c>
      <c r="O1124" s="6"/>
    </row>
    <row r="1125" spans="1:15" x14ac:dyDescent="0.25">
      <c r="A1125" s="8">
        <v>1117</v>
      </c>
      <c r="B1125" s="9">
        <f t="shared" ca="1" si="219"/>
        <v>2087</v>
      </c>
      <c r="C1125" s="10">
        <f t="shared" ca="1" si="220"/>
        <v>0</v>
      </c>
      <c r="D1125" s="11">
        <f t="shared" ca="1" si="228"/>
        <v>0.41811633480544552</v>
      </c>
      <c r="E1125" s="9">
        <f t="shared" ca="1" si="229"/>
        <v>389</v>
      </c>
      <c r="F1125" s="9">
        <f t="shared" ca="1" si="221"/>
        <v>1698</v>
      </c>
      <c r="G1125" s="12" t="str">
        <f t="shared" ca="1" si="222"/>
        <v>No</v>
      </c>
      <c r="H1125" s="12">
        <f t="shared" ca="1" si="230"/>
        <v>0</v>
      </c>
      <c r="I1125" s="10">
        <f t="shared" ca="1" si="223"/>
        <v>0</v>
      </c>
      <c r="J1125" s="13">
        <f t="shared" ca="1" si="224"/>
        <v>0</v>
      </c>
      <c r="K1125" s="14">
        <f t="shared" ca="1" si="225"/>
        <v>339.6</v>
      </c>
      <c r="L1125" s="14">
        <f t="shared" ca="1" si="226"/>
        <v>0</v>
      </c>
      <c r="M1125" s="15">
        <f t="shared" ca="1" si="227"/>
        <v>339.6</v>
      </c>
      <c r="N1125" s="16">
        <f ca="1">SUM($M$9:M1125)/A1125</f>
        <v>339.07090420769913</v>
      </c>
      <c r="O1125" s="6"/>
    </row>
    <row r="1126" spans="1:15" x14ac:dyDescent="0.25">
      <c r="A1126" s="8">
        <v>1118</v>
      </c>
      <c r="B1126" s="9">
        <f t="shared" ca="1" si="219"/>
        <v>1698</v>
      </c>
      <c r="C1126" s="10">
        <f t="shared" ca="1" si="220"/>
        <v>0</v>
      </c>
      <c r="D1126" s="11">
        <f t="shared" ca="1" si="228"/>
        <v>0.33897649264545382</v>
      </c>
      <c r="E1126" s="9">
        <f t="shared" ca="1" si="229"/>
        <v>379</v>
      </c>
      <c r="F1126" s="9">
        <f t="shared" ca="1" si="221"/>
        <v>1319</v>
      </c>
      <c r="G1126" s="12" t="str">
        <f t="shared" ca="1" si="222"/>
        <v>No</v>
      </c>
      <c r="H1126" s="12">
        <f t="shared" ca="1" si="230"/>
        <v>0</v>
      </c>
      <c r="I1126" s="10">
        <f t="shared" ca="1" si="223"/>
        <v>0</v>
      </c>
      <c r="J1126" s="13">
        <f t="shared" ca="1" si="224"/>
        <v>0</v>
      </c>
      <c r="K1126" s="14">
        <f t="shared" ca="1" si="225"/>
        <v>263.8</v>
      </c>
      <c r="L1126" s="14">
        <f t="shared" ca="1" si="226"/>
        <v>0</v>
      </c>
      <c r="M1126" s="15">
        <f t="shared" ca="1" si="227"/>
        <v>263.8</v>
      </c>
      <c r="N1126" s="16">
        <f ca="1">SUM($M$9:M1126)/A1126</f>
        <v>339.00357781753127</v>
      </c>
      <c r="O1126" s="6"/>
    </row>
    <row r="1127" spans="1:15" x14ac:dyDescent="0.25">
      <c r="A1127" s="8">
        <v>1119</v>
      </c>
      <c r="B1127" s="9">
        <f t="shared" ca="1" si="219"/>
        <v>1319</v>
      </c>
      <c r="C1127" s="10">
        <f t="shared" ca="1" si="220"/>
        <v>0</v>
      </c>
      <c r="D1127" s="11">
        <f t="shared" ca="1" si="228"/>
        <v>0.46050293218796268</v>
      </c>
      <c r="E1127" s="9">
        <f t="shared" ca="1" si="229"/>
        <v>395</v>
      </c>
      <c r="F1127" s="9">
        <f t="shared" ca="1" si="221"/>
        <v>924</v>
      </c>
      <c r="G1127" s="12" t="str">
        <f t="shared" ca="1" si="222"/>
        <v>Yes</v>
      </c>
      <c r="H1127" s="12">
        <f t="shared" ca="1" si="230"/>
        <v>0.23995475320951443</v>
      </c>
      <c r="I1127" s="10">
        <f t="shared" ca="1" si="223"/>
        <v>1</v>
      </c>
      <c r="J1127" s="13">
        <f t="shared" ca="1" si="224"/>
        <v>300</v>
      </c>
      <c r="K1127" s="14">
        <f t="shared" ca="1" si="225"/>
        <v>184.8</v>
      </c>
      <c r="L1127" s="14">
        <f t="shared" ca="1" si="226"/>
        <v>0</v>
      </c>
      <c r="M1127" s="15">
        <f t="shared" ca="1" si="227"/>
        <v>484.8</v>
      </c>
      <c r="N1127" s="16">
        <f ca="1">SUM($M$9:M1127)/A1127</f>
        <v>339.13386952636279</v>
      </c>
      <c r="O1127" s="6"/>
    </row>
    <row r="1128" spans="1:15" x14ac:dyDescent="0.25">
      <c r="A1128" s="8">
        <v>1120</v>
      </c>
      <c r="B1128" s="9">
        <f t="shared" ca="1" si="219"/>
        <v>2724</v>
      </c>
      <c r="C1128" s="10">
        <f t="shared" ca="1" si="220"/>
        <v>1800</v>
      </c>
      <c r="D1128" s="11">
        <f t="shared" ca="1" si="228"/>
        <v>0.76307566838527674</v>
      </c>
      <c r="E1128" s="9">
        <f t="shared" ca="1" si="229"/>
        <v>435</v>
      </c>
      <c r="F1128" s="9">
        <f t="shared" ca="1" si="221"/>
        <v>2289</v>
      </c>
      <c r="G1128" s="12" t="str">
        <f t="shared" ca="1" si="222"/>
        <v>No</v>
      </c>
      <c r="H1128" s="12">
        <f t="shared" ca="1" si="230"/>
        <v>0</v>
      </c>
      <c r="I1128" s="10">
        <f t="shared" ca="1" si="223"/>
        <v>0</v>
      </c>
      <c r="J1128" s="13">
        <f t="shared" ca="1" si="224"/>
        <v>0</v>
      </c>
      <c r="K1128" s="14">
        <f t="shared" ca="1" si="225"/>
        <v>457.8</v>
      </c>
      <c r="L1128" s="14">
        <f t="shared" ca="1" si="226"/>
        <v>0</v>
      </c>
      <c r="M1128" s="15">
        <f t="shared" ca="1" si="227"/>
        <v>457.8</v>
      </c>
      <c r="N1128" s="16">
        <f ca="1">SUM($M$9:M1128)/A1128</f>
        <v>339.23982142857136</v>
      </c>
      <c r="O1128" s="6"/>
    </row>
    <row r="1129" spans="1:15" x14ac:dyDescent="0.25">
      <c r="A1129" s="8">
        <v>1121</v>
      </c>
      <c r="B1129" s="9">
        <f t="shared" ca="1" si="219"/>
        <v>2289</v>
      </c>
      <c r="C1129" s="10">
        <f t="shared" ca="1" si="220"/>
        <v>0</v>
      </c>
      <c r="D1129" s="11">
        <f t="shared" ca="1" si="228"/>
        <v>0.14425159796218223</v>
      </c>
      <c r="E1129" s="9">
        <f t="shared" ca="1" si="229"/>
        <v>346</v>
      </c>
      <c r="F1129" s="9">
        <f t="shared" ca="1" si="221"/>
        <v>1943</v>
      </c>
      <c r="G1129" s="12" t="str">
        <f t="shared" ca="1" si="222"/>
        <v>No</v>
      </c>
      <c r="H1129" s="12">
        <f t="shared" ca="1" si="230"/>
        <v>0</v>
      </c>
      <c r="I1129" s="10">
        <f t="shared" ca="1" si="223"/>
        <v>0</v>
      </c>
      <c r="J1129" s="13">
        <f t="shared" ca="1" si="224"/>
        <v>0</v>
      </c>
      <c r="K1129" s="14">
        <f t="shared" ca="1" si="225"/>
        <v>388.6</v>
      </c>
      <c r="L1129" s="14">
        <f t="shared" ca="1" si="226"/>
        <v>0</v>
      </c>
      <c r="M1129" s="15">
        <f t="shared" ca="1" si="227"/>
        <v>388.6</v>
      </c>
      <c r="N1129" s="16">
        <f ca="1">SUM($M$9:M1129)/A1129</f>
        <v>339.28385370205166</v>
      </c>
      <c r="O1129" s="6"/>
    </row>
    <row r="1130" spans="1:15" x14ac:dyDescent="0.25">
      <c r="A1130" s="8">
        <v>1122</v>
      </c>
      <c r="B1130" s="9">
        <f t="shared" ca="1" si="219"/>
        <v>1943</v>
      </c>
      <c r="C1130" s="10">
        <f t="shared" ca="1" si="220"/>
        <v>0</v>
      </c>
      <c r="D1130" s="11">
        <f t="shared" ca="1" si="228"/>
        <v>0.276963705849671</v>
      </c>
      <c r="E1130" s="9">
        <f t="shared" ca="1" si="229"/>
        <v>370</v>
      </c>
      <c r="F1130" s="9">
        <f t="shared" ca="1" si="221"/>
        <v>1573</v>
      </c>
      <c r="G1130" s="12" t="str">
        <f t="shared" ca="1" si="222"/>
        <v>No</v>
      </c>
      <c r="H1130" s="12">
        <f t="shared" ca="1" si="230"/>
        <v>0</v>
      </c>
      <c r="I1130" s="10">
        <f t="shared" ca="1" si="223"/>
        <v>0</v>
      </c>
      <c r="J1130" s="13">
        <f t="shared" ca="1" si="224"/>
        <v>0</v>
      </c>
      <c r="K1130" s="14">
        <f t="shared" ca="1" si="225"/>
        <v>314.60000000000002</v>
      </c>
      <c r="L1130" s="14">
        <f t="shared" ca="1" si="226"/>
        <v>0</v>
      </c>
      <c r="M1130" s="15">
        <f t="shared" ca="1" si="227"/>
        <v>314.60000000000002</v>
      </c>
      <c r="N1130" s="16">
        <f ca="1">SUM($M$9:M1130)/A1130</f>
        <v>339.26185383244194</v>
      </c>
      <c r="O1130" s="6"/>
    </row>
    <row r="1131" spans="1:15" x14ac:dyDescent="0.25">
      <c r="A1131" s="8">
        <v>1123</v>
      </c>
      <c r="B1131" s="9">
        <f t="shared" ca="1" si="219"/>
        <v>1573</v>
      </c>
      <c r="C1131" s="10">
        <f t="shared" ca="1" si="220"/>
        <v>0</v>
      </c>
      <c r="D1131" s="11">
        <f t="shared" ca="1" si="228"/>
        <v>0.70833875634085219</v>
      </c>
      <c r="E1131" s="9">
        <f t="shared" ca="1" si="229"/>
        <v>427</v>
      </c>
      <c r="F1131" s="9">
        <f t="shared" ca="1" si="221"/>
        <v>1146</v>
      </c>
      <c r="G1131" s="12" t="str">
        <f t="shared" ca="1" si="222"/>
        <v>No</v>
      </c>
      <c r="H1131" s="12">
        <f t="shared" ca="1" si="230"/>
        <v>0</v>
      </c>
      <c r="I1131" s="10">
        <f t="shared" ca="1" si="223"/>
        <v>0</v>
      </c>
      <c r="J1131" s="13">
        <f t="shared" ca="1" si="224"/>
        <v>0</v>
      </c>
      <c r="K1131" s="14">
        <f t="shared" ca="1" si="225"/>
        <v>229.20000000000002</v>
      </c>
      <c r="L1131" s="14">
        <f t="shared" ca="1" si="226"/>
        <v>0</v>
      </c>
      <c r="M1131" s="15">
        <f t="shared" ca="1" si="227"/>
        <v>229.20000000000002</v>
      </c>
      <c r="N1131" s="16">
        <f ca="1">SUM($M$9:M1131)/A1131</f>
        <v>339.1638468388245</v>
      </c>
      <c r="O1131" s="6"/>
    </row>
    <row r="1132" spans="1:15" x14ac:dyDescent="0.25">
      <c r="A1132" s="8">
        <v>1124</v>
      </c>
      <c r="B1132" s="9">
        <f t="shared" ca="1" si="219"/>
        <v>1146</v>
      </c>
      <c r="C1132" s="10">
        <f t="shared" ca="1" si="220"/>
        <v>0</v>
      </c>
      <c r="D1132" s="11">
        <f t="shared" ca="1" si="228"/>
        <v>0.97084724503821895</v>
      </c>
      <c r="E1132" s="9">
        <f t="shared" ca="1" si="229"/>
        <v>494</v>
      </c>
      <c r="F1132" s="9">
        <f t="shared" ca="1" si="221"/>
        <v>652</v>
      </c>
      <c r="G1132" s="12" t="str">
        <f t="shared" ca="1" si="222"/>
        <v>Yes</v>
      </c>
      <c r="H1132" s="12">
        <f t="shared" ca="1" si="230"/>
        <v>0.319180981812626</v>
      </c>
      <c r="I1132" s="10">
        <f t="shared" ca="1" si="223"/>
        <v>1</v>
      </c>
      <c r="J1132" s="13">
        <f t="shared" ca="1" si="224"/>
        <v>300</v>
      </c>
      <c r="K1132" s="14">
        <f t="shared" ca="1" si="225"/>
        <v>130.4</v>
      </c>
      <c r="L1132" s="14">
        <f t="shared" ca="1" si="226"/>
        <v>0</v>
      </c>
      <c r="M1132" s="15">
        <f t="shared" ca="1" si="227"/>
        <v>430.4</v>
      </c>
      <c r="N1132" s="16">
        <f ca="1">SUM($M$9:M1132)/A1132</f>
        <v>339.24501779359423</v>
      </c>
      <c r="O1132" s="6"/>
    </row>
    <row r="1133" spans="1:15" x14ac:dyDescent="0.25">
      <c r="A1133" s="8">
        <v>1125</v>
      </c>
      <c r="B1133" s="9">
        <f t="shared" ca="1" si="219"/>
        <v>2452</v>
      </c>
      <c r="C1133" s="10">
        <f t="shared" ca="1" si="220"/>
        <v>1800</v>
      </c>
      <c r="D1133" s="11">
        <f t="shared" ca="1" si="228"/>
        <v>0.58401052896404149</v>
      </c>
      <c r="E1133" s="9">
        <f t="shared" ca="1" si="229"/>
        <v>410</v>
      </c>
      <c r="F1133" s="9">
        <f t="shared" ca="1" si="221"/>
        <v>2042</v>
      </c>
      <c r="G1133" s="12" t="str">
        <f t="shared" ca="1" si="222"/>
        <v>No</v>
      </c>
      <c r="H1133" s="12">
        <f t="shared" ca="1" si="230"/>
        <v>0</v>
      </c>
      <c r="I1133" s="10">
        <f t="shared" ca="1" si="223"/>
        <v>0</v>
      </c>
      <c r="J1133" s="13">
        <f t="shared" ca="1" si="224"/>
        <v>0</v>
      </c>
      <c r="K1133" s="14">
        <f t="shared" ca="1" si="225"/>
        <v>408.40000000000003</v>
      </c>
      <c r="L1133" s="14">
        <f t="shared" ca="1" si="226"/>
        <v>0</v>
      </c>
      <c r="M1133" s="15">
        <f t="shared" ca="1" si="227"/>
        <v>408.40000000000003</v>
      </c>
      <c r="N1133" s="16">
        <f ca="1">SUM($M$9:M1133)/A1133</f>
        <v>339.30648888888885</v>
      </c>
      <c r="O1133" s="6"/>
    </row>
    <row r="1134" spans="1:15" x14ac:dyDescent="0.25">
      <c r="A1134" s="8">
        <v>1126</v>
      </c>
      <c r="B1134" s="9">
        <f t="shared" ca="1" si="219"/>
        <v>2042</v>
      </c>
      <c r="C1134" s="10">
        <f t="shared" ca="1" si="220"/>
        <v>0</v>
      </c>
      <c r="D1134" s="11">
        <f t="shared" ca="1" si="228"/>
        <v>0.10169718992824295</v>
      </c>
      <c r="E1134" s="9">
        <f t="shared" ca="1" si="229"/>
        <v>336</v>
      </c>
      <c r="F1134" s="9">
        <f t="shared" ca="1" si="221"/>
        <v>1706</v>
      </c>
      <c r="G1134" s="12" t="str">
        <f t="shared" ca="1" si="222"/>
        <v>No</v>
      </c>
      <c r="H1134" s="12">
        <f t="shared" ca="1" si="230"/>
        <v>0</v>
      </c>
      <c r="I1134" s="10">
        <f t="shared" ca="1" si="223"/>
        <v>0</v>
      </c>
      <c r="J1134" s="13">
        <f t="shared" ca="1" si="224"/>
        <v>0</v>
      </c>
      <c r="K1134" s="14">
        <f t="shared" ca="1" si="225"/>
        <v>341.20000000000005</v>
      </c>
      <c r="L1134" s="14">
        <f t="shared" ca="1" si="226"/>
        <v>0</v>
      </c>
      <c r="M1134" s="15">
        <f t="shared" ca="1" si="227"/>
        <v>341.20000000000005</v>
      </c>
      <c r="N1134" s="16">
        <f ca="1">SUM($M$9:M1134)/A1134</f>
        <v>339.30817051509763</v>
      </c>
      <c r="O1134" s="6"/>
    </row>
    <row r="1135" spans="1:15" x14ac:dyDescent="0.25">
      <c r="A1135" s="8">
        <v>1127</v>
      </c>
      <c r="B1135" s="9">
        <f t="shared" ca="1" si="219"/>
        <v>1706</v>
      </c>
      <c r="C1135" s="10">
        <f t="shared" ca="1" si="220"/>
        <v>0</v>
      </c>
      <c r="D1135" s="11">
        <f t="shared" ca="1" si="228"/>
        <v>0.69611108588666304</v>
      </c>
      <c r="E1135" s="9">
        <f t="shared" ca="1" si="229"/>
        <v>425</v>
      </c>
      <c r="F1135" s="9">
        <f t="shared" ca="1" si="221"/>
        <v>1281</v>
      </c>
      <c r="G1135" s="12" t="str">
        <f t="shared" ca="1" si="222"/>
        <v>No</v>
      </c>
      <c r="H1135" s="12">
        <f t="shared" ca="1" si="230"/>
        <v>0</v>
      </c>
      <c r="I1135" s="10">
        <f t="shared" ca="1" si="223"/>
        <v>0</v>
      </c>
      <c r="J1135" s="13">
        <f t="shared" ca="1" si="224"/>
        <v>0</v>
      </c>
      <c r="K1135" s="14">
        <f t="shared" ca="1" si="225"/>
        <v>256.2</v>
      </c>
      <c r="L1135" s="14">
        <f t="shared" ca="1" si="226"/>
        <v>0</v>
      </c>
      <c r="M1135" s="15">
        <f t="shared" ca="1" si="227"/>
        <v>256.2</v>
      </c>
      <c r="N1135" s="16">
        <f ca="1">SUM($M$9:M1135)/A1135</f>
        <v>339.23442768411707</v>
      </c>
      <c r="O1135" s="6"/>
    </row>
    <row r="1136" spans="1:15" x14ac:dyDescent="0.25">
      <c r="A1136" s="8">
        <v>1128</v>
      </c>
      <c r="B1136" s="9">
        <f t="shared" ca="1" si="219"/>
        <v>1281</v>
      </c>
      <c r="C1136" s="10">
        <f t="shared" ca="1" si="220"/>
        <v>0</v>
      </c>
      <c r="D1136" s="11">
        <f t="shared" ca="1" si="228"/>
        <v>0.13362315605802744</v>
      </c>
      <c r="E1136" s="9">
        <f t="shared" ca="1" si="229"/>
        <v>344</v>
      </c>
      <c r="F1136" s="9">
        <f t="shared" ca="1" si="221"/>
        <v>937</v>
      </c>
      <c r="G1136" s="12" t="str">
        <f t="shared" ca="1" si="222"/>
        <v>Yes</v>
      </c>
      <c r="H1136" s="12">
        <f t="shared" ca="1" si="230"/>
        <v>0.73324212605327899</v>
      </c>
      <c r="I1136" s="10">
        <f t="shared" ca="1" si="223"/>
        <v>2</v>
      </c>
      <c r="J1136" s="13">
        <f t="shared" ca="1" si="224"/>
        <v>300</v>
      </c>
      <c r="K1136" s="14">
        <f t="shared" ca="1" si="225"/>
        <v>187.4</v>
      </c>
      <c r="L1136" s="14">
        <f t="shared" ca="1" si="226"/>
        <v>0</v>
      </c>
      <c r="M1136" s="15">
        <f t="shared" ca="1" si="227"/>
        <v>487.4</v>
      </c>
      <c r="N1136" s="16">
        <f ca="1">SUM($M$9:M1136)/A1136</f>
        <v>339.36578014184397</v>
      </c>
      <c r="O1136" s="6"/>
    </row>
    <row r="1137" spans="1:15" x14ac:dyDescent="0.25">
      <c r="A1137" s="8">
        <v>1129</v>
      </c>
      <c r="B1137" s="9">
        <f t="shared" ca="1" si="219"/>
        <v>937</v>
      </c>
      <c r="C1137" s="10">
        <f t="shared" ca="1" si="220"/>
        <v>0</v>
      </c>
      <c r="D1137" s="11">
        <f t="shared" ca="1" si="228"/>
        <v>0.80264123381742947</v>
      </c>
      <c r="E1137" s="9">
        <f t="shared" ca="1" si="229"/>
        <v>442</v>
      </c>
      <c r="F1137" s="9">
        <f t="shared" ca="1" si="221"/>
        <v>495</v>
      </c>
      <c r="G1137" s="12" t="str">
        <f t="shared" ca="1" si="222"/>
        <v>No</v>
      </c>
      <c r="H1137" s="12">
        <f t="shared" ca="1" si="230"/>
        <v>0</v>
      </c>
      <c r="I1137" s="10">
        <f t="shared" ca="1" si="223"/>
        <v>1</v>
      </c>
      <c r="J1137" s="13">
        <f t="shared" ca="1" si="224"/>
        <v>0</v>
      </c>
      <c r="K1137" s="14">
        <f t="shared" ca="1" si="225"/>
        <v>99</v>
      </c>
      <c r="L1137" s="14">
        <f t="shared" ca="1" si="226"/>
        <v>0</v>
      </c>
      <c r="M1137" s="15">
        <f t="shared" ca="1" si="227"/>
        <v>99</v>
      </c>
      <c r="N1137" s="16">
        <f ca="1">SUM($M$9:M1137)/A1137</f>
        <v>339.15287865367577</v>
      </c>
      <c r="O1137" s="6"/>
    </row>
    <row r="1138" spans="1:15" x14ac:dyDescent="0.25">
      <c r="A1138" s="8">
        <v>1130</v>
      </c>
      <c r="B1138" s="9">
        <f t="shared" ca="1" si="219"/>
        <v>2295</v>
      </c>
      <c r="C1138" s="10">
        <f t="shared" ca="1" si="220"/>
        <v>1800</v>
      </c>
      <c r="D1138" s="11">
        <f t="shared" ca="1" si="228"/>
        <v>0.30574076787916316</v>
      </c>
      <c r="E1138" s="9">
        <f t="shared" ca="1" si="229"/>
        <v>374</v>
      </c>
      <c r="F1138" s="9">
        <f t="shared" ca="1" si="221"/>
        <v>1921</v>
      </c>
      <c r="G1138" s="12" t="str">
        <f t="shared" ca="1" si="222"/>
        <v>No</v>
      </c>
      <c r="H1138" s="12">
        <f t="shared" ca="1" si="230"/>
        <v>0</v>
      </c>
      <c r="I1138" s="10">
        <f t="shared" ca="1" si="223"/>
        <v>0</v>
      </c>
      <c r="J1138" s="13">
        <f t="shared" ca="1" si="224"/>
        <v>0</v>
      </c>
      <c r="K1138" s="14">
        <f t="shared" ca="1" si="225"/>
        <v>384.20000000000005</v>
      </c>
      <c r="L1138" s="14">
        <f t="shared" ca="1" si="226"/>
        <v>0</v>
      </c>
      <c r="M1138" s="15">
        <f t="shared" ca="1" si="227"/>
        <v>384.20000000000005</v>
      </c>
      <c r="N1138" s="16">
        <f ca="1">SUM($M$9:M1138)/A1138</f>
        <v>339.19274336283183</v>
      </c>
      <c r="O1138" s="6"/>
    </row>
    <row r="1139" spans="1:15" x14ac:dyDescent="0.25">
      <c r="A1139" s="8">
        <v>1131</v>
      </c>
      <c r="B1139" s="9">
        <f t="shared" ca="1" si="219"/>
        <v>1921</v>
      </c>
      <c r="C1139" s="10">
        <f t="shared" ca="1" si="220"/>
        <v>0</v>
      </c>
      <c r="D1139" s="11">
        <f t="shared" ca="1" si="228"/>
        <v>0.34291065371585139</v>
      </c>
      <c r="E1139" s="9">
        <f t="shared" ca="1" si="229"/>
        <v>379</v>
      </c>
      <c r="F1139" s="9">
        <f t="shared" ca="1" si="221"/>
        <v>1542</v>
      </c>
      <c r="G1139" s="12" t="str">
        <f t="shared" ca="1" si="222"/>
        <v>No</v>
      </c>
      <c r="H1139" s="12">
        <f t="shared" ca="1" si="230"/>
        <v>0</v>
      </c>
      <c r="I1139" s="10">
        <f t="shared" ca="1" si="223"/>
        <v>0</v>
      </c>
      <c r="J1139" s="13">
        <f t="shared" ca="1" si="224"/>
        <v>0</v>
      </c>
      <c r="K1139" s="14">
        <f t="shared" ca="1" si="225"/>
        <v>308.40000000000003</v>
      </c>
      <c r="L1139" s="14">
        <f t="shared" ca="1" si="226"/>
        <v>0</v>
      </c>
      <c r="M1139" s="15">
        <f t="shared" ca="1" si="227"/>
        <v>308.40000000000003</v>
      </c>
      <c r="N1139" s="16">
        <f ca="1">SUM($M$9:M1139)/A1139</f>
        <v>339.16551724137935</v>
      </c>
      <c r="O1139" s="6"/>
    </row>
    <row r="1140" spans="1:15" x14ac:dyDescent="0.25">
      <c r="A1140" s="8">
        <v>1132</v>
      </c>
      <c r="B1140" s="9">
        <f t="shared" ca="1" si="219"/>
        <v>1542</v>
      </c>
      <c r="C1140" s="10">
        <f t="shared" ca="1" si="220"/>
        <v>0</v>
      </c>
      <c r="D1140" s="11">
        <f t="shared" ca="1" si="228"/>
        <v>0.46427256829782837</v>
      </c>
      <c r="E1140" s="9">
        <f t="shared" ca="1" si="229"/>
        <v>395</v>
      </c>
      <c r="F1140" s="9">
        <f t="shared" ca="1" si="221"/>
        <v>1147</v>
      </c>
      <c r="G1140" s="12" t="str">
        <f t="shared" ca="1" si="222"/>
        <v>No</v>
      </c>
      <c r="H1140" s="12">
        <f t="shared" ca="1" si="230"/>
        <v>0</v>
      </c>
      <c r="I1140" s="10">
        <f t="shared" ca="1" si="223"/>
        <v>0</v>
      </c>
      <c r="J1140" s="13">
        <f t="shared" ca="1" si="224"/>
        <v>0</v>
      </c>
      <c r="K1140" s="14">
        <f t="shared" ca="1" si="225"/>
        <v>229.4</v>
      </c>
      <c r="L1140" s="14">
        <f t="shared" ca="1" si="226"/>
        <v>0</v>
      </c>
      <c r="M1140" s="15">
        <f t="shared" ca="1" si="227"/>
        <v>229.4</v>
      </c>
      <c r="N1140" s="16">
        <f ca="1">SUM($M$9:M1140)/A1140</f>
        <v>339.06855123674916</v>
      </c>
      <c r="O1140" s="6"/>
    </row>
    <row r="1141" spans="1:15" x14ac:dyDescent="0.25">
      <c r="A1141" s="8">
        <v>1133</v>
      </c>
      <c r="B1141" s="9">
        <f t="shared" ca="1" si="219"/>
        <v>1147</v>
      </c>
      <c r="C1141" s="10">
        <f t="shared" ca="1" si="220"/>
        <v>0</v>
      </c>
      <c r="D1141" s="11">
        <f t="shared" ca="1" si="228"/>
        <v>0.29782580415480642</v>
      </c>
      <c r="E1141" s="9">
        <f t="shared" ca="1" si="229"/>
        <v>373</v>
      </c>
      <c r="F1141" s="9">
        <f t="shared" ca="1" si="221"/>
        <v>774</v>
      </c>
      <c r="G1141" s="12" t="str">
        <f t="shared" ca="1" si="222"/>
        <v>Yes</v>
      </c>
      <c r="H1141" s="12">
        <f t="shared" ca="1" si="230"/>
        <v>0.81286398952861993</v>
      </c>
      <c r="I1141" s="10">
        <f t="shared" ca="1" si="223"/>
        <v>2</v>
      </c>
      <c r="J1141" s="13">
        <f t="shared" ca="1" si="224"/>
        <v>300</v>
      </c>
      <c r="K1141" s="14">
        <f t="shared" ca="1" si="225"/>
        <v>154.80000000000001</v>
      </c>
      <c r="L1141" s="14">
        <f t="shared" ca="1" si="226"/>
        <v>0</v>
      </c>
      <c r="M1141" s="15">
        <f t="shared" ca="1" si="227"/>
        <v>454.8</v>
      </c>
      <c r="N1141" s="16">
        <f ca="1">SUM($M$9:M1141)/A1141</f>
        <v>339.17069726390116</v>
      </c>
      <c r="O1141" s="6"/>
    </row>
    <row r="1142" spans="1:15" x14ac:dyDescent="0.25">
      <c r="A1142" s="8">
        <v>1134</v>
      </c>
      <c r="B1142" s="9">
        <f t="shared" ca="1" si="219"/>
        <v>774</v>
      </c>
      <c r="C1142" s="10">
        <f t="shared" ca="1" si="220"/>
        <v>0</v>
      </c>
      <c r="D1142" s="11">
        <f t="shared" ca="1" si="228"/>
        <v>0.24365582620816972</v>
      </c>
      <c r="E1142" s="9">
        <f t="shared" ca="1" si="229"/>
        <v>365</v>
      </c>
      <c r="F1142" s="9">
        <f t="shared" ca="1" si="221"/>
        <v>409</v>
      </c>
      <c r="G1142" s="12" t="str">
        <f t="shared" ca="1" si="222"/>
        <v>No</v>
      </c>
      <c r="H1142" s="12">
        <f t="shared" ca="1" si="230"/>
        <v>0</v>
      </c>
      <c r="I1142" s="10">
        <f t="shared" ca="1" si="223"/>
        <v>1</v>
      </c>
      <c r="J1142" s="13">
        <f t="shared" ca="1" si="224"/>
        <v>0</v>
      </c>
      <c r="K1142" s="14">
        <f t="shared" ca="1" si="225"/>
        <v>81.800000000000011</v>
      </c>
      <c r="L1142" s="14">
        <f t="shared" ca="1" si="226"/>
        <v>0</v>
      </c>
      <c r="M1142" s="15">
        <f t="shared" ca="1" si="227"/>
        <v>81.800000000000011</v>
      </c>
      <c r="N1142" s="16">
        <f ca="1">SUM($M$9:M1142)/A1142</f>
        <v>338.94373897707231</v>
      </c>
      <c r="O1142" s="6"/>
    </row>
    <row r="1143" spans="1:15" x14ac:dyDescent="0.25">
      <c r="A1143" s="8">
        <v>1135</v>
      </c>
      <c r="B1143" s="9">
        <f t="shared" ca="1" si="219"/>
        <v>2209</v>
      </c>
      <c r="C1143" s="10">
        <f t="shared" ca="1" si="220"/>
        <v>1800</v>
      </c>
      <c r="D1143" s="11">
        <f t="shared" ca="1" si="228"/>
        <v>1.5722151442480237E-2</v>
      </c>
      <c r="E1143" s="9">
        <f t="shared" ca="1" si="229"/>
        <v>292</v>
      </c>
      <c r="F1143" s="9">
        <f t="shared" ca="1" si="221"/>
        <v>1917</v>
      </c>
      <c r="G1143" s="12" t="str">
        <f t="shared" ca="1" si="222"/>
        <v>No</v>
      </c>
      <c r="H1143" s="12">
        <f t="shared" ca="1" si="230"/>
        <v>0</v>
      </c>
      <c r="I1143" s="10">
        <f t="shared" ca="1" si="223"/>
        <v>0</v>
      </c>
      <c r="J1143" s="13">
        <f t="shared" ca="1" si="224"/>
        <v>0</v>
      </c>
      <c r="K1143" s="14">
        <f t="shared" ca="1" si="225"/>
        <v>383.40000000000003</v>
      </c>
      <c r="L1143" s="14">
        <f t="shared" ca="1" si="226"/>
        <v>0</v>
      </c>
      <c r="M1143" s="15">
        <f t="shared" ca="1" si="227"/>
        <v>383.40000000000003</v>
      </c>
      <c r="N1143" s="16">
        <f ca="1">SUM($M$9:M1143)/A1143</f>
        <v>338.98290748898683</v>
      </c>
      <c r="O1143" s="6"/>
    </row>
    <row r="1144" spans="1:15" x14ac:dyDescent="0.25">
      <c r="A1144" s="8">
        <v>1136</v>
      </c>
      <c r="B1144" s="9">
        <f t="shared" ca="1" si="219"/>
        <v>1917</v>
      </c>
      <c r="C1144" s="10">
        <f t="shared" ca="1" si="220"/>
        <v>0</v>
      </c>
      <c r="D1144" s="11">
        <f t="shared" ca="1" si="228"/>
        <v>0.49968066665752975</v>
      </c>
      <c r="E1144" s="9">
        <f t="shared" ca="1" si="229"/>
        <v>399</v>
      </c>
      <c r="F1144" s="9">
        <f t="shared" ca="1" si="221"/>
        <v>1518</v>
      </c>
      <c r="G1144" s="12" t="str">
        <f t="shared" ca="1" si="222"/>
        <v>No</v>
      </c>
      <c r="H1144" s="12">
        <f t="shared" ca="1" si="230"/>
        <v>0</v>
      </c>
      <c r="I1144" s="10">
        <f t="shared" ca="1" si="223"/>
        <v>0</v>
      </c>
      <c r="J1144" s="13">
        <f t="shared" ca="1" si="224"/>
        <v>0</v>
      </c>
      <c r="K1144" s="14">
        <f t="shared" ca="1" si="225"/>
        <v>303.60000000000002</v>
      </c>
      <c r="L1144" s="14">
        <f t="shared" ca="1" si="226"/>
        <v>0</v>
      </c>
      <c r="M1144" s="15">
        <f t="shared" ca="1" si="227"/>
        <v>303.60000000000002</v>
      </c>
      <c r="N1144" s="16">
        <f ca="1">SUM($M$9:M1144)/A1144</f>
        <v>338.95176056338028</v>
      </c>
      <c r="O1144" s="6"/>
    </row>
    <row r="1145" spans="1:15" x14ac:dyDescent="0.25">
      <c r="A1145" s="8">
        <v>1137</v>
      </c>
      <c r="B1145" s="9">
        <f t="shared" ca="1" si="219"/>
        <v>1518</v>
      </c>
      <c r="C1145" s="10">
        <f t="shared" ca="1" si="220"/>
        <v>0</v>
      </c>
      <c r="D1145" s="11">
        <f t="shared" ca="1" si="228"/>
        <v>0.44933365575763096</v>
      </c>
      <c r="E1145" s="9">
        <f t="shared" ca="1" si="229"/>
        <v>393</v>
      </c>
      <c r="F1145" s="9">
        <f t="shared" ca="1" si="221"/>
        <v>1125</v>
      </c>
      <c r="G1145" s="12" t="str">
        <f t="shared" ca="1" si="222"/>
        <v>No</v>
      </c>
      <c r="H1145" s="12">
        <f t="shared" ca="1" si="230"/>
        <v>0</v>
      </c>
      <c r="I1145" s="10">
        <f t="shared" ca="1" si="223"/>
        <v>0</v>
      </c>
      <c r="J1145" s="13">
        <f t="shared" ca="1" si="224"/>
        <v>0</v>
      </c>
      <c r="K1145" s="14">
        <f t="shared" ca="1" si="225"/>
        <v>225</v>
      </c>
      <c r="L1145" s="14">
        <f t="shared" ca="1" si="226"/>
        <v>0</v>
      </c>
      <c r="M1145" s="15">
        <f t="shared" ca="1" si="227"/>
        <v>225</v>
      </c>
      <c r="N1145" s="16">
        <f ca="1">SUM($M$9:M1145)/A1145</f>
        <v>338.85153913808267</v>
      </c>
      <c r="O1145" s="6"/>
    </row>
    <row r="1146" spans="1:15" x14ac:dyDescent="0.25">
      <c r="A1146" s="8">
        <v>1138</v>
      </c>
      <c r="B1146" s="9">
        <f t="shared" ca="1" si="219"/>
        <v>1125</v>
      </c>
      <c r="C1146" s="10">
        <f t="shared" ca="1" si="220"/>
        <v>0</v>
      </c>
      <c r="D1146" s="11">
        <f t="shared" ca="1" si="228"/>
        <v>0.49346229059246816</v>
      </c>
      <c r="E1146" s="9">
        <f t="shared" ca="1" si="229"/>
        <v>399</v>
      </c>
      <c r="F1146" s="9">
        <f t="shared" ca="1" si="221"/>
        <v>726</v>
      </c>
      <c r="G1146" s="12" t="str">
        <f t="shared" ca="1" si="222"/>
        <v>Yes</v>
      </c>
      <c r="H1146" s="12">
        <f t="shared" ca="1" si="230"/>
        <v>6.1148429582038699E-2</v>
      </c>
      <c r="I1146" s="10">
        <f t="shared" ca="1" si="223"/>
        <v>1</v>
      </c>
      <c r="J1146" s="13">
        <f t="shared" ca="1" si="224"/>
        <v>300</v>
      </c>
      <c r="K1146" s="14">
        <f t="shared" ca="1" si="225"/>
        <v>145.20000000000002</v>
      </c>
      <c r="L1146" s="14">
        <f t="shared" ca="1" si="226"/>
        <v>0</v>
      </c>
      <c r="M1146" s="15">
        <f t="shared" ca="1" si="227"/>
        <v>445.20000000000005</v>
      </c>
      <c r="N1146" s="16">
        <f ca="1">SUM($M$9:M1146)/A1146</f>
        <v>338.9449912126538</v>
      </c>
      <c r="O1146" s="6"/>
    </row>
    <row r="1147" spans="1:15" x14ac:dyDescent="0.25">
      <c r="A1147" s="8">
        <v>1139</v>
      </c>
      <c r="B1147" s="9">
        <f t="shared" ca="1" si="219"/>
        <v>2526</v>
      </c>
      <c r="C1147" s="10">
        <f t="shared" ca="1" si="220"/>
        <v>1800</v>
      </c>
      <c r="D1147" s="11">
        <f t="shared" ca="1" si="228"/>
        <v>0.79065484102118155</v>
      </c>
      <c r="E1147" s="9">
        <f t="shared" ca="1" si="229"/>
        <v>440</v>
      </c>
      <c r="F1147" s="9">
        <f t="shared" ca="1" si="221"/>
        <v>2086</v>
      </c>
      <c r="G1147" s="12" t="str">
        <f t="shared" ca="1" si="222"/>
        <v>No</v>
      </c>
      <c r="H1147" s="12">
        <f t="shared" ca="1" si="230"/>
        <v>0</v>
      </c>
      <c r="I1147" s="10">
        <f t="shared" ca="1" si="223"/>
        <v>0</v>
      </c>
      <c r="J1147" s="13">
        <f t="shared" ca="1" si="224"/>
        <v>0</v>
      </c>
      <c r="K1147" s="14">
        <f t="shared" ca="1" si="225"/>
        <v>417.20000000000005</v>
      </c>
      <c r="L1147" s="14">
        <f t="shared" ca="1" si="226"/>
        <v>0</v>
      </c>
      <c r="M1147" s="15">
        <f t="shared" ca="1" si="227"/>
        <v>417.20000000000005</v>
      </c>
      <c r="N1147" s="16">
        <f ca="1">SUM($M$9:M1147)/A1147</f>
        <v>339.01369622475858</v>
      </c>
      <c r="O1147" s="6"/>
    </row>
    <row r="1148" spans="1:15" x14ac:dyDescent="0.25">
      <c r="A1148" s="8">
        <v>1140</v>
      </c>
      <c r="B1148" s="9">
        <f t="shared" ca="1" si="219"/>
        <v>2086</v>
      </c>
      <c r="C1148" s="10">
        <f t="shared" ca="1" si="220"/>
        <v>0</v>
      </c>
      <c r="D1148" s="11">
        <f t="shared" ca="1" si="228"/>
        <v>0.20143238606739555</v>
      </c>
      <c r="E1148" s="9">
        <f t="shared" ca="1" si="229"/>
        <v>358</v>
      </c>
      <c r="F1148" s="9">
        <f t="shared" ca="1" si="221"/>
        <v>1728</v>
      </c>
      <c r="G1148" s="12" t="str">
        <f t="shared" ca="1" si="222"/>
        <v>No</v>
      </c>
      <c r="H1148" s="12">
        <f t="shared" ca="1" si="230"/>
        <v>0</v>
      </c>
      <c r="I1148" s="10">
        <f t="shared" ca="1" si="223"/>
        <v>0</v>
      </c>
      <c r="J1148" s="13">
        <f t="shared" ca="1" si="224"/>
        <v>0</v>
      </c>
      <c r="K1148" s="14">
        <f t="shared" ca="1" si="225"/>
        <v>345.6</v>
      </c>
      <c r="L1148" s="14">
        <f t="shared" ca="1" si="226"/>
        <v>0</v>
      </c>
      <c r="M1148" s="15">
        <f t="shared" ca="1" si="227"/>
        <v>345.6</v>
      </c>
      <c r="N1148" s="16">
        <f ca="1">SUM($M$9:M1148)/A1148</f>
        <v>339.01947368421054</v>
      </c>
      <c r="O1148" s="6"/>
    </row>
    <row r="1149" spans="1:15" x14ac:dyDescent="0.25">
      <c r="A1149" s="8">
        <v>1141</v>
      </c>
      <c r="B1149" s="9">
        <f t="shared" ref="B1149:B1212" ca="1" si="231">IF(I1148=1,F1148+Quantity,F1148)</f>
        <v>1728</v>
      </c>
      <c r="C1149" s="10">
        <f t="shared" ref="C1149:C1212" ca="1" si="232">IF(I1148=1,Quantity,0)</f>
        <v>0</v>
      </c>
      <c r="D1149" s="11">
        <f t="shared" ca="1" si="228"/>
        <v>0.58036859612731051</v>
      </c>
      <c r="E1149" s="9">
        <f t="shared" ca="1" si="229"/>
        <v>410</v>
      </c>
      <c r="F1149" s="9">
        <f t="shared" ref="F1149:F1212" ca="1" si="233">IF(B1149+C1149-E1149&lt;0,0,B1149-E1149)</f>
        <v>1318</v>
      </c>
      <c r="G1149" s="12" t="str">
        <f t="shared" ref="G1149:G1212" ca="1" si="234">IF(B1149&lt;Point,IF(I1148=0,"Yes","No"),"No")</f>
        <v>No</v>
      </c>
      <c r="H1149" s="12">
        <f t="shared" ca="1" si="230"/>
        <v>0</v>
      </c>
      <c r="I1149" s="10">
        <f t="shared" ref="I1149:I1212" ca="1" si="235">IF(I1148&gt;0,I1148-1,(IF(G1149="Yes",(VLOOKUP(H1149,LTD,3)),0)))</f>
        <v>0</v>
      </c>
      <c r="J1149" s="13">
        <f t="shared" ref="J1149:J1212" ca="1" si="236">IF(G1149="Yes",Order_Cost,0)</f>
        <v>0</v>
      </c>
      <c r="K1149" s="14">
        <f t="shared" ref="K1149:K1212" ca="1" si="237">F1149*Holding_Cost</f>
        <v>263.60000000000002</v>
      </c>
      <c r="L1149" s="14">
        <f t="shared" ref="L1149:L1212" ca="1" si="238">IF(B1149+C1149&lt;E1149,Shortage_Cost*(E1149-B1149-C1149),0)</f>
        <v>0</v>
      </c>
      <c r="M1149" s="15">
        <f t="shared" ref="M1149:M1212" ca="1" si="239">SUM(J1149:L1149)</f>
        <v>263.60000000000002</v>
      </c>
      <c r="N1149" s="16">
        <f ca="1">SUM($M$9:M1149)/A1149</f>
        <v>338.95337423312884</v>
      </c>
      <c r="O1149" s="6"/>
    </row>
    <row r="1150" spans="1:15" x14ac:dyDescent="0.25">
      <c r="A1150" s="8">
        <v>1142</v>
      </c>
      <c r="B1150" s="9">
        <f t="shared" ca="1" si="231"/>
        <v>1318</v>
      </c>
      <c r="C1150" s="10">
        <f t="shared" ca="1" si="232"/>
        <v>0</v>
      </c>
      <c r="D1150" s="11">
        <f t="shared" ca="1" si="228"/>
        <v>0.82742891724373713</v>
      </c>
      <c r="E1150" s="9">
        <f t="shared" ca="1" si="229"/>
        <v>447</v>
      </c>
      <c r="F1150" s="9">
        <f t="shared" ca="1" si="233"/>
        <v>871</v>
      </c>
      <c r="G1150" s="12" t="str">
        <f t="shared" ca="1" si="234"/>
        <v>Yes</v>
      </c>
      <c r="H1150" s="12">
        <f t="shared" ca="1" si="230"/>
        <v>0.52142821489328217</v>
      </c>
      <c r="I1150" s="10">
        <f t="shared" ca="1" si="235"/>
        <v>1</v>
      </c>
      <c r="J1150" s="13">
        <f t="shared" ca="1" si="236"/>
        <v>300</v>
      </c>
      <c r="K1150" s="14">
        <f t="shared" ca="1" si="237"/>
        <v>174.20000000000002</v>
      </c>
      <c r="L1150" s="14">
        <f t="shared" ca="1" si="238"/>
        <v>0</v>
      </c>
      <c r="M1150" s="15">
        <f t="shared" ca="1" si="239"/>
        <v>474.20000000000005</v>
      </c>
      <c r="N1150" s="16">
        <f ca="1">SUM($M$9:M1150)/A1150</f>
        <v>339.07180385288967</v>
      </c>
      <c r="O1150" s="6"/>
    </row>
    <row r="1151" spans="1:15" x14ac:dyDescent="0.25">
      <c r="A1151" s="8">
        <v>1143</v>
      </c>
      <c r="B1151" s="9">
        <f t="shared" ca="1" si="231"/>
        <v>2671</v>
      </c>
      <c r="C1151" s="10">
        <f t="shared" ca="1" si="232"/>
        <v>1800</v>
      </c>
      <c r="D1151" s="11">
        <f t="shared" ca="1" si="228"/>
        <v>1.7493488372552601E-2</v>
      </c>
      <c r="E1151" s="9">
        <f t="shared" ca="1" si="229"/>
        <v>294</v>
      </c>
      <c r="F1151" s="9">
        <f t="shared" ca="1" si="233"/>
        <v>2377</v>
      </c>
      <c r="G1151" s="12" t="str">
        <f t="shared" ca="1" si="234"/>
        <v>No</v>
      </c>
      <c r="H1151" s="12">
        <f t="shared" ca="1" si="230"/>
        <v>0</v>
      </c>
      <c r="I1151" s="10">
        <f t="shared" ca="1" si="235"/>
        <v>0</v>
      </c>
      <c r="J1151" s="13">
        <f t="shared" ca="1" si="236"/>
        <v>0</v>
      </c>
      <c r="K1151" s="14">
        <f t="shared" ca="1" si="237"/>
        <v>475.40000000000003</v>
      </c>
      <c r="L1151" s="14">
        <f t="shared" ca="1" si="238"/>
        <v>0</v>
      </c>
      <c r="M1151" s="15">
        <f t="shared" ca="1" si="239"/>
        <v>475.40000000000003</v>
      </c>
      <c r="N1151" s="16">
        <f ca="1">SUM($M$9:M1151)/A1151</f>
        <v>339.1910761154856</v>
      </c>
      <c r="O1151" s="6"/>
    </row>
    <row r="1152" spans="1:15" x14ac:dyDescent="0.25">
      <c r="A1152" s="8">
        <v>1144</v>
      </c>
      <c r="B1152" s="9">
        <f t="shared" ca="1" si="231"/>
        <v>2377</v>
      </c>
      <c r="C1152" s="10">
        <f t="shared" ca="1" si="232"/>
        <v>0</v>
      </c>
      <c r="D1152" s="11">
        <f t="shared" ca="1" si="228"/>
        <v>0.21083939427548382</v>
      </c>
      <c r="E1152" s="9">
        <f t="shared" ca="1" si="229"/>
        <v>359</v>
      </c>
      <c r="F1152" s="9">
        <f t="shared" ca="1" si="233"/>
        <v>2018</v>
      </c>
      <c r="G1152" s="12" t="str">
        <f t="shared" ca="1" si="234"/>
        <v>No</v>
      </c>
      <c r="H1152" s="12">
        <f t="shared" ca="1" si="230"/>
        <v>0</v>
      </c>
      <c r="I1152" s="10">
        <f t="shared" ca="1" si="235"/>
        <v>0</v>
      </c>
      <c r="J1152" s="13">
        <f t="shared" ca="1" si="236"/>
        <v>0</v>
      </c>
      <c r="K1152" s="14">
        <f t="shared" ca="1" si="237"/>
        <v>403.6</v>
      </c>
      <c r="L1152" s="14">
        <f t="shared" ca="1" si="238"/>
        <v>0</v>
      </c>
      <c r="M1152" s="15">
        <f t="shared" ca="1" si="239"/>
        <v>403.6</v>
      </c>
      <c r="N1152" s="16">
        <f ca="1">SUM($M$9:M1152)/A1152</f>
        <v>339.2473776223776</v>
      </c>
      <c r="O1152" s="6"/>
    </row>
    <row r="1153" spans="1:15" x14ac:dyDescent="0.25">
      <c r="A1153" s="8">
        <v>1145</v>
      </c>
      <c r="B1153" s="9">
        <f t="shared" ca="1" si="231"/>
        <v>2018</v>
      </c>
      <c r="C1153" s="10">
        <f t="shared" ca="1" si="232"/>
        <v>0</v>
      </c>
      <c r="D1153" s="11">
        <f t="shared" ca="1" si="228"/>
        <v>0.67545408934777251</v>
      </c>
      <c r="E1153" s="9">
        <f t="shared" ca="1" si="229"/>
        <v>422</v>
      </c>
      <c r="F1153" s="9">
        <f t="shared" ca="1" si="233"/>
        <v>1596</v>
      </c>
      <c r="G1153" s="12" t="str">
        <f t="shared" ca="1" si="234"/>
        <v>No</v>
      </c>
      <c r="H1153" s="12">
        <f t="shared" ca="1" si="230"/>
        <v>0</v>
      </c>
      <c r="I1153" s="10">
        <f t="shared" ca="1" si="235"/>
        <v>0</v>
      </c>
      <c r="J1153" s="13">
        <f t="shared" ca="1" si="236"/>
        <v>0</v>
      </c>
      <c r="K1153" s="14">
        <f t="shared" ca="1" si="237"/>
        <v>319.20000000000005</v>
      </c>
      <c r="L1153" s="14">
        <f t="shared" ca="1" si="238"/>
        <v>0</v>
      </c>
      <c r="M1153" s="15">
        <f t="shared" ca="1" si="239"/>
        <v>319.20000000000005</v>
      </c>
      <c r="N1153" s="16">
        <f ca="1">SUM($M$9:M1153)/A1153</f>
        <v>339.22986899563318</v>
      </c>
      <c r="O1153" s="6"/>
    </row>
    <row r="1154" spans="1:15" x14ac:dyDescent="0.25">
      <c r="A1154" s="8">
        <v>1146</v>
      </c>
      <c r="B1154" s="9">
        <f t="shared" ca="1" si="231"/>
        <v>1596</v>
      </c>
      <c r="C1154" s="10">
        <f t="shared" ca="1" si="232"/>
        <v>0</v>
      </c>
      <c r="D1154" s="11">
        <f t="shared" ca="1" si="228"/>
        <v>0.6286631168108805</v>
      </c>
      <c r="E1154" s="9">
        <f t="shared" ca="1" si="229"/>
        <v>416</v>
      </c>
      <c r="F1154" s="9">
        <f t="shared" ca="1" si="233"/>
        <v>1180</v>
      </c>
      <c r="G1154" s="12" t="str">
        <f t="shared" ca="1" si="234"/>
        <v>No</v>
      </c>
      <c r="H1154" s="12">
        <f t="shared" ca="1" si="230"/>
        <v>0</v>
      </c>
      <c r="I1154" s="10">
        <f t="shared" ca="1" si="235"/>
        <v>0</v>
      </c>
      <c r="J1154" s="13">
        <f t="shared" ca="1" si="236"/>
        <v>0</v>
      </c>
      <c r="K1154" s="14">
        <f t="shared" ca="1" si="237"/>
        <v>236</v>
      </c>
      <c r="L1154" s="14">
        <f t="shared" ca="1" si="238"/>
        <v>0</v>
      </c>
      <c r="M1154" s="15">
        <f t="shared" ca="1" si="239"/>
        <v>236</v>
      </c>
      <c r="N1154" s="16">
        <f ca="1">SUM($M$9:M1154)/A1154</f>
        <v>339.13979057591627</v>
      </c>
      <c r="O1154" s="6"/>
    </row>
    <row r="1155" spans="1:15" x14ac:dyDescent="0.25">
      <c r="A1155" s="8">
        <v>1147</v>
      </c>
      <c r="B1155" s="9">
        <f t="shared" ca="1" si="231"/>
        <v>1180</v>
      </c>
      <c r="C1155" s="10">
        <f t="shared" ca="1" si="232"/>
        <v>0</v>
      </c>
      <c r="D1155" s="11">
        <f t="shared" ca="1" si="228"/>
        <v>2.8402941868092002E-2</v>
      </c>
      <c r="E1155" s="9">
        <f t="shared" ca="1" si="229"/>
        <v>304</v>
      </c>
      <c r="F1155" s="9">
        <f t="shared" ca="1" si="233"/>
        <v>876</v>
      </c>
      <c r="G1155" s="12" t="str">
        <f t="shared" ca="1" si="234"/>
        <v>Yes</v>
      </c>
      <c r="H1155" s="12">
        <f t="shared" ca="1" si="230"/>
        <v>0.78825779228466453</v>
      </c>
      <c r="I1155" s="10">
        <f t="shared" ca="1" si="235"/>
        <v>2</v>
      </c>
      <c r="J1155" s="13">
        <f t="shared" ca="1" si="236"/>
        <v>300</v>
      </c>
      <c r="K1155" s="14">
        <f t="shared" ca="1" si="237"/>
        <v>175.20000000000002</v>
      </c>
      <c r="L1155" s="14">
        <f t="shared" ca="1" si="238"/>
        <v>0</v>
      </c>
      <c r="M1155" s="15">
        <f t="shared" ca="1" si="239"/>
        <v>475.20000000000005</v>
      </c>
      <c r="N1155" s="16">
        <f ca="1">SUM($M$9:M1155)/A1155</f>
        <v>339.25841325196166</v>
      </c>
      <c r="O1155" s="6"/>
    </row>
    <row r="1156" spans="1:15" x14ac:dyDescent="0.25">
      <c r="A1156" s="8">
        <v>1148</v>
      </c>
      <c r="B1156" s="9">
        <f t="shared" ca="1" si="231"/>
        <v>876</v>
      </c>
      <c r="C1156" s="10">
        <f t="shared" ca="1" si="232"/>
        <v>0</v>
      </c>
      <c r="D1156" s="11">
        <f t="shared" ca="1" si="228"/>
        <v>0.66138284594784857</v>
      </c>
      <c r="E1156" s="9">
        <f t="shared" ca="1" si="229"/>
        <v>420</v>
      </c>
      <c r="F1156" s="9">
        <f t="shared" ca="1" si="233"/>
        <v>456</v>
      </c>
      <c r="G1156" s="12" t="str">
        <f t="shared" ca="1" si="234"/>
        <v>No</v>
      </c>
      <c r="H1156" s="12">
        <f t="shared" ca="1" si="230"/>
        <v>0</v>
      </c>
      <c r="I1156" s="10">
        <f t="shared" ca="1" si="235"/>
        <v>1</v>
      </c>
      <c r="J1156" s="13">
        <f t="shared" ca="1" si="236"/>
        <v>0</v>
      </c>
      <c r="K1156" s="14">
        <f t="shared" ca="1" si="237"/>
        <v>91.2</v>
      </c>
      <c r="L1156" s="14">
        <f t="shared" ca="1" si="238"/>
        <v>0</v>
      </c>
      <c r="M1156" s="15">
        <f t="shared" ca="1" si="239"/>
        <v>91.2</v>
      </c>
      <c r="N1156" s="16">
        <f ca="1">SUM($M$9:M1156)/A1156</f>
        <v>339.04233449477357</v>
      </c>
      <c r="O1156" s="6"/>
    </row>
    <row r="1157" spans="1:15" x14ac:dyDescent="0.25">
      <c r="A1157" s="8">
        <v>1149</v>
      </c>
      <c r="B1157" s="9">
        <f t="shared" ca="1" si="231"/>
        <v>2256</v>
      </c>
      <c r="C1157" s="10">
        <f t="shared" ca="1" si="232"/>
        <v>1800</v>
      </c>
      <c r="D1157" s="11">
        <f t="shared" ca="1" si="228"/>
        <v>0.34478849487382435</v>
      </c>
      <c r="E1157" s="9">
        <f t="shared" ca="1" si="229"/>
        <v>380</v>
      </c>
      <c r="F1157" s="9">
        <f t="shared" ca="1" si="233"/>
        <v>1876</v>
      </c>
      <c r="G1157" s="12" t="str">
        <f t="shared" ca="1" si="234"/>
        <v>No</v>
      </c>
      <c r="H1157" s="12">
        <f t="shared" ca="1" si="230"/>
        <v>0</v>
      </c>
      <c r="I1157" s="10">
        <f t="shared" ca="1" si="235"/>
        <v>0</v>
      </c>
      <c r="J1157" s="13">
        <f t="shared" ca="1" si="236"/>
        <v>0</v>
      </c>
      <c r="K1157" s="14">
        <f t="shared" ca="1" si="237"/>
        <v>375.20000000000005</v>
      </c>
      <c r="L1157" s="14">
        <f t="shared" ca="1" si="238"/>
        <v>0</v>
      </c>
      <c r="M1157" s="15">
        <f t="shared" ca="1" si="239"/>
        <v>375.20000000000005</v>
      </c>
      <c r="N1157" s="16">
        <f ca="1">SUM($M$9:M1157)/A1157</f>
        <v>339.07380330722373</v>
      </c>
      <c r="O1157" s="6"/>
    </row>
    <row r="1158" spans="1:15" x14ac:dyDescent="0.25">
      <c r="A1158" s="8">
        <v>1150</v>
      </c>
      <c r="B1158" s="9">
        <f t="shared" ca="1" si="231"/>
        <v>1876</v>
      </c>
      <c r="C1158" s="10">
        <f t="shared" ca="1" si="232"/>
        <v>0</v>
      </c>
      <c r="D1158" s="11">
        <f t="shared" ca="1" si="228"/>
        <v>0.10600469044511662</v>
      </c>
      <c r="E1158" s="9">
        <f t="shared" ca="1" si="229"/>
        <v>337</v>
      </c>
      <c r="F1158" s="9">
        <f t="shared" ca="1" si="233"/>
        <v>1539</v>
      </c>
      <c r="G1158" s="12" t="str">
        <f t="shared" ca="1" si="234"/>
        <v>No</v>
      </c>
      <c r="H1158" s="12">
        <f t="shared" ca="1" si="230"/>
        <v>0</v>
      </c>
      <c r="I1158" s="10">
        <f t="shared" ca="1" si="235"/>
        <v>0</v>
      </c>
      <c r="J1158" s="13">
        <f t="shared" ca="1" si="236"/>
        <v>0</v>
      </c>
      <c r="K1158" s="14">
        <f t="shared" ca="1" si="237"/>
        <v>307.8</v>
      </c>
      <c r="L1158" s="14">
        <f t="shared" ca="1" si="238"/>
        <v>0</v>
      </c>
      <c r="M1158" s="15">
        <f t="shared" ca="1" si="239"/>
        <v>307.8</v>
      </c>
      <c r="N1158" s="16">
        <f ca="1">SUM($M$9:M1158)/A1158</f>
        <v>339.0466086956522</v>
      </c>
      <c r="O1158" s="6"/>
    </row>
    <row r="1159" spans="1:15" x14ac:dyDescent="0.25">
      <c r="A1159" s="8">
        <v>1151</v>
      </c>
      <c r="B1159" s="9">
        <f t="shared" ca="1" si="231"/>
        <v>1539</v>
      </c>
      <c r="C1159" s="10">
        <f t="shared" ca="1" si="232"/>
        <v>0</v>
      </c>
      <c r="D1159" s="11">
        <f t="shared" ca="1" si="228"/>
        <v>0.29712584083319338</v>
      </c>
      <c r="E1159" s="9">
        <f t="shared" ca="1" si="229"/>
        <v>373</v>
      </c>
      <c r="F1159" s="9">
        <f t="shared" ca="1" si="233"/>
        <v>1166</v>
      </c>
      <c r="G1159" s="12" t="str">
        <f t="shared" ca="1" si="234"/>
        <v>No</v>
      </c>
      <c r="H1159" s="12">
        <f t="shared" ca="1" si="230"/>
        <v>0</v>
      </c>
      <c r="I1159" s="10">
        <f t="shared" ca="1" si="235"/>
        <v>0</v>
      </c>
      <c r="J1159" s="13">
        <f t="shared" ca="1" si="236"/>
        <v>0</v>
      </c>
      <c r="K1159" s="14">
        <f t="shared" ca="1" si="237"/>
        <v>233.20000000000002</v>
      </c>
      <c r="L1159" s="14">
        <f t="shared" ca="1" si="238"/>
        <v>0</v>
      </c>
      <c r="M1159" s="15">
        <f t="shared" ca="1" si="239"/>
        <v>233.20000000000002</v>
      </c>
      <c r="N1159" s="16">
        <f ca="1">SUM($M$9:M1159)/A1159</f>
        <v>338.95464813205911</v>
      </c>
      <c r="O1159" s="6"/>
    </row>
    <row r="1160" spans="1:15" x14ac:dyDescent="0.25">
      <c r="A1160" s="8">
        <v>1152</v>
      </c>
      <c r="B1160" s="9">
        <f t="shared" ca="1" si="231"/>
        <v>1166</v>
      </c>
      <c r="C1160" s="10">
        <f t="shared" ca="1" si="232"/>
        <v>0</v>
      </c>
      <c r="D1160" s="11">
        <f t="shared" ca="1" si="228"/>
        <v>4.3710632109202785E-2</v>
      </c>
      <c r="E1160" s="9">
        <f t="shared" ca="1" si="229"/>
        <v>314</v>
      </c>
      <c r="F1160" s="9">
        <f t="shared" ca="1" si="233"/>
        <v>852</v>
      </c>
      <c r="G1160" s="12" t="str">
        <f t="shared" ca="1" si="234"/>
        <v>Yes</v>
      </c>
      <c r="H1160" s="12">
        <f t="shared" ca="1" si="230"/>
        <v>0.96272568097525169</v>
      </c>
      <c r="I1160" s="10">
        <f t="shared" ca="1" si="235"/>
        <v>3</v>
      </c>
      <c r="J1160" s="13">
        <f t="shared" ca="1" si="236"/>
        <v>300</v>
      </c>
      <c r="K1160" s="14">
        <f t="shared" ca="1" si="237"/>
        <v>170.4</v>
      </c>
      <c r="L1160" s="14">
        <f t="shared" ca="1" si="238"/>
        <v>0</v>
      </c>
      <c r="M1160" s="15">
        <f t="shared" ca="1" si="239"/>
        <v>470.4</v>
      </c>
      <c r="N1160" s="16">
        <f ca="1">SUM($M$9:M1160)/A1160</f>
        <v>339.06875000000008</v>
      </c>
      <c r="O1160" s="6"/>
    </row>
    <row r="1161" spans="1:15" x14ac:dyDescent="0.25">
      <c r="A1161" s="8">
        <v>1153</v>
      </c>
      <c r="B1161" s="9">
        <f t="shared" ca="1" si="231"/>
        <v>852</v>
      </c>
      <c r="C1161" s="10">
        <f t="shared" ca="1" si="232"/>
        <v>0</v>
      </c>
      <c r="D1161" s="11">
        <f t="shared" ca="1" si="228"/>
        <v>3.3686619088983294E-2</v>
      </c>
      <c r="E1161" s="9">
        <f t="shared" ca="1" si="229"/>
        <v>308</v>
      </c>
      <c r="F1161" s="9">
        <f t="shared" ca="1" si="233"/>
        <v>544</v>
      </c>
      <c r="G1161" s="12" t="str">
        <f t="shared" ca="1" si="234"/>
        <v>No</v>
      </c>
      <c r="H1161" s="12">
        <f t="shared" ca="1" si="230"/>
        <v>0</v>
      </c>
      <c r="I1161" s="10">
        <f t="shared" ca="1" si="235"/>
        <v>2</v>
      </c>
      <c r="J1161" s="13">
        <f t="shared" ca="1" si="236"/>
        <v>0</v>
      </c>
      <c r="K1161" s="14">
        <f t="shared" ca="1" si="237"/>
        <v>108.80000000000001</v>
      </c>
      <c r="L1161" s="14">
        <f t="shared" ca="1" si="238"/>
        <v>0</v>
      </c>
      <c r="M1161" s="15">
        <f t="shared" ca="1" si="239"/>
        <v>108.80000000000001</v>
      </c>
      <c r="N1161" s="16">
        <f ca="1">SUM($M$9:M1161)/A1161</f>
        <v>338.86903729401564</v>
      </c>
      <c r="O1161" s="6"/>
    </row>
    <row r="1162" spans="1:15" x14ac:dyDescent="0.25">
      <c r="A1162" s="8">
        <v>1154</v>
      </c>
      <c r="B1162" s="9">
        <f t="shared" ca="1" si="231"/>
        <v>544</v>
      </c>
      <c r="C1162" s="10">
        <f t="shared" ca="1" si="232"/>
        <v>0</v>
      </c>
      <c r="D1162" s="11">
        <f t="shared" ref="D1162:D1225" ca="1" si="240">RAND()</f>
        <v>0.3405555754758457</v>
      </c>
      <c r="E1162" s="9">
        <f t="shared" ref="E1162:E1225" ca="1" si="241">INT(NORMINV(D1162,D_Mean,D_StdDev))</f>
        <v>379</v>
      </c>
      <c r="F1162" s="9">
        <f t="shared" ca="1" si="233"/>
        <v>165</v>
      </c>
      <c r="G1162" s="12" t="str">
        <f t="shared" ca="1" si="234"/>
        <v>No</v>
      </c>
      <c r="H1162" s="12">
        <f t="shared" ref="H1162:H1225" ca="1" si="242">IF(G1162="Yes",RAND(),0)</f>
        <v>0</v>
      </c>
      <c r="I1162" s="10">
        <f t="shared" ca="1" si="235"/>
        <v>1</v>
      </c>
      <c r="J1162" s="13">
        <f t="shared" ca="1" si="236"/>
        <v>0</v>
      </c>
      <c r="K1162" s="14">
        <f t="shared" ca="1" si="237"/>
        <v>33</v>
      </c>
      <c r="L1162" s="14">
        <f t="shared" ca="1" si="238"/>
        <v>0</v>
      </c>
      <c r="M1162" s="15">
        <f t="shared" ca="1" si="239"/>
        <v>33</v>
      </c>
      <c r="N1162" s="16">
        <f ca="1">SUM($M$9:M1162)/A1162</f>
        <v>338.60398613518203</v>
      </c>
      <c r="O1162" s="6"/>
    </row>
    <row r="1163" spans="1:15" x14ac:dyDescent="0.25">
      <c r="A1163" s="8">
        <v>1155</v>
      </c>
      <c r="B1163" s="9">
        <f t="shared" ca="1" si="231"/>
        <v>1965</v>
      </c>
      <c r="C1163" s="10">
        <f t="shared" ca="1" si="232"/>
        <v>1800</v>
      </c>
      <c r="D1163" s="11">
        <f t="shared" ca="1" si="240"/>
        <v>0.27230573696851523</v>
      </c>
      <c r="E1163" s="9">
        <f t="shared" ca="1" si="241"/>
        <v>369</v>
      </c>
      <c r="F1163" s="9">
        <f t="shared" ca="1" si="233"/>
        <v>1596</v>
      </c>
      <c r="G1163" s="12" t="str">
        <f t="shared" ca="1" si="234"/>
        <v>No</v>
      </c>
      <c r="H1163" s="12">
        <f t="shared" ca="1" si="242"/>
        <v>0</v>
      </c>
      <c r="I1163" s="10">
        <f t="shared" ca="1" si="235"/>
        <v>0</v>
      </c>
      <c r="J1163" s="13">
        <f t="shared" ca="1" si="236"/>
        <v>0</v>
      </c>
      <c r="K1163" s="14">
        <f t="shared" ca="1" si="237"/>
        <v>319.20000000000005</v>
      </c>
      <c r="L1163" s="14">
        <f t="shared" ca="1" si="238"/>
        <v>0</v>
      </c>
      <c r="M1163" s="15">
        <f t="shared" ca="1" si="239"/>
        <v>319.20000000000005</v>
      </c>
      <c r="N1163" s="16">
        <f ca="1">SUM($M$9:M1163)/A1163</f>
        <v>338.58718614718623</v>
      </c>
      <c r="O1163" s="6"/>
    </row>
    <row r="1164" spans="1:15" x14ac:dyDescent="0.25">
      <c r="A1164" s="8">
        <v>1156</v>
      </c>
      <c r="B1164" s="9">
        <f t="shared" ca="1" si="231"/>
        <v>1596</v>
      </c>
      <c r="C1164" s="10">
        <f t="shared" ca="1" si="232"/>
        <v>0</v>
      </c>
      <c r="D1164" s="11">
        <f t="shared" ca="1" si="240"/>
        <v>0.17541197416760279</v>
      </c>
      <c r="E1164" s="9">
        <f t="shared" ca="1" si="241"/>
        <v>353</v>
      </c>
      <c r="F1164" s="9">
        <f t="shared" ca="1" si="233"/>
        <v>1243</v>
      </c>
      <c r="G1164" s="12" t="str">
        <f t="shared" ca="1" si="234"/>
        <v>No</v>
      </c>
      <c r="H1164" s="12">
        <f t="shared" ca="1" si="242"/>
        <v>0</v>
      </c>
      <c r="I1164" s="10">
        <f t="shared" ca="1" si="235"/>
        <v>0</v>
      </c>
      <c r="J1164" s="13">
        <f t="shared" ca="1" si="236"/>
        <v>0</v>
      </c>
      <c r="K1164" s="14">
        <f t="shared" ca="1" si="237"/>
        <v>248.60000000000002</v>
      </c>
      <c r="L1164" s="14">
        <f t="shared" ca="1" si="238"/>
        <v>0</v>
      </c>
      <c r="M1164" s="15">
        <f t="shared" ca="1" si="239"/>
        <v>248.60000000000002</v>
      </c>
      <c r="N1164" s="16">
        <f ca="1">SUM($M$9:M1164)/A1164</f>
        <v>338.50934256055365</v>
      </c>
      <c r="O1164" s="6"/>
    </row>
    <row r="1165" spans="1:15" x14ac:dyDescent="0.25">
      <c r="A1165" s="8">
        <v>1157</v>
      </c>
      <c r="B1165" s="9">
        <f t="shared" ca="1" si="231"/>
        <v>1243</v>
      </c>
      <c r="C1165" s="10">
        <f t="shared" ca="1" si="232"/>
        <v>0</v>
      </c>
      <c r="D1165" s="11">
        <f t="shared" ca="1" si="240"/>
        <v>8.8287595896063942E-2</v>
      </c>
      <c r="E1165" s="9">
        <f t="shared" ca="1" si="241"/>
        <v>332</v>
      </c>
      <c r="F1165" s="9">
        <f t="shared" ca="1" si="233"/>
        <v>911</v>
      </c>
      <c r="G1165" s="12" t="str">
        <f t="shared" ca="1" si="234"/>
        <v>Yes</v>
      </c>
      <c r="H1165" s="12">
        <f t="shared" ca="1" si="242"/>
        <v>0.30973753060276832</v>
      </c>
      <c r="I1165" s="10">
        <f t="shared" ca="1" si="235"/>
        <v>1</v>
      </c>
      <c r="J1165" s="13">
        <f t="shared" ca="1" si="236"/>
        <v>300</v>
      </c>
      <c r="K1165" s="14">
        <f t="shared" ca="1" si="237"/>
        <v>182.20000000000002</v>
      </c>
      <c r="L1165" s="14">
        <f t="shared" ca="1" si="238"/>
        <v>0</v>
      </c>
      <c r="M1165" s="15">
        <f t="shared" ca="1" si="239"/>
        <v>482.20000000000005</v>
      </c>
      <c r="N1165" s="16">
        <f ca="1">SUM($M$9:M1165)/A1165</f>
        <v>338.63353500432157</v>
      </c>
      <c r="O1165" s="6"/>
    </row>
    <row r="1166" spans="1:15" x14ac:dyDescent="0.25">
      <c r="A1166" s="8">
        <v>1158</v>
      </c>
      <c r="B1166" s="9">
        <f t="shared" ca="1" si="231"/>
        <v>2711</v>
      </c>
      <c r="C1166" s="10">
        <f t="shared" ca="1" si="232"/>
        <v>1800</v>
      </c>
      <c r="D1166" s="11">
        <f t="shared" ca="1" si="240"/>
        <v>0.44641989773235413</v>
      </c>
      <c r="E1166" s="9">
        <f t="shared" ca="1" si="241"/>
        <v>393</v>
      </c>
      <c r="F1166" s="9">
        <f t="shared" ca="1" si="233"/>
        <v>2318</v>
      </c>
      <c r="G1166" s="12" t="str">
        <f t="shared" ca="1" si="234"/>
        <v>No</v>
      </c>
      <c r="H1166" s="12">
        <f t="shared" ca="1" si="242"/>
        <v>0</v>
      </c>
      <c r="I1166" s="10">
        <f t="shared" ca="1" si="235"/>
        <v>0</v>
      </c>
      <c r="J1166" s="13">
        <f t="shared" ca="1" si="236"/>
        <v>0</v>
      </c>
      <c r="K1166" s="14">
        <f t="shared" ca="1" si="237"/>
        <v>463.6</v>
      </c>
      <c r="L1166" s="14">
        <f t="shared" ca="1" si="238"/>
        <v>0</v>
      </c>
      <c r="M1166" s="15">
        <f t="shared" ca="1" si="239"/>
        <v>463.6</v>
      </c>
      <c r="N1166" s="16">
        <f ca="1">SUM($M$9:M1166)/A1166</f>
        <v>338.74145077720209</v>
      </c>
      <c r="O1166" s="6"/>
    </row>
    <row r="1167" spans="1:15" x14ac:dyDescent="0.25">
      <c r="A1167" s="8">
        <v>1159</v>
      </c>
      <c r="B1167" s="9">
        <f t="shared" ca="1" si="231"/>
        <v>2318</v>
      </c>
      <c r="C1167" s="10">
        <f t="shared" ca="1" si="232"/>
        <v>0</v>
      </c>
      <c r="D1167" s="11">
        <f t="shared" ca="1" si="240"/>
        <v>0.8660628725855547</v>
      </c>
      <c r="E1167" s="9">
        <f t="shared" ca="1" si="241"/>
        <v>455</v>
      </c>
      <c r="F1167" s="9">
        <f t="shared" ca="1" si="233"/>
        <v>1863</v>
      </c>
      <c r="G1167" s="12" t="str">
        <f t="shared" ca="1" si="234"/>
        <v>No</v>
      </c>
      <c r="H1167" s="12">
        <f t="shared" ca="1" si="242"/>
        <v>0</v>
      </c>
      <c r="I1167" s="10">
        <f t="shared" ca="1" si="235"/>
        <v>0</v>
      </c>
      <c r="J1167" s="13">
        <f t="shared" ca="1" si="236"/>
        <v>0</v>
      </c>
      <c r="K1167" s="14">
        <f t="shared" ca="1" si="237"/>
        <v>372.6</v>
      </c>
      <c r="L1167" s="14">
        <f t="shared" ca="1" si="238"/>
        <v>0</v>
      </c>
      <c r="M1167" s="15">
        <f t="shared" ca="1" si="239"/>
        <v>372.6</v>
      </c>
      <c r="N1167" s="16">
        <f ca="1">SUM($M$9:M1167)/A1167</f>
        <v>338.7706643658326</v>
      </c>
      <c r="O1167" s="6"/>
    </row>
    <row r="1168" spans="1:15" x14ac:dyDescent="0.25">
      <c r="A1168" s="8">
        <v>1160</v>
      </c>
      <c r="B1168" s="9">
        <f t="shared" ca="1" si="231"/>
        <v>1863</v>
      </c>
      <c r="C1168" s="10">
        <f t="shared" ca="1" si="232"/>
        <v>0</v>
      </c>
      <c r="D1168" s="11">
        <f t="shared" ca="1" si="240"/>
        <v>0.30724929097132936</v>
      </c>
      <c r="E1168" s="9">
        <f t="shared" ca="1" si="241"/>
        <v>374</v>
      </c>
      <c r="F1168" s="9">
        <f t="shared" ca="1" si="233"/>
        <v>1489</v>
      </c>
      <c r="G1168" s="12" t="str">
        <f t="shared" ca="1" si="234"/>
        <v>No</v>
      </c>
      <c r="H1168" s="12">
        <f t="shared" ca="1" si="242"/>
        <v>0</v>
      </c>
      <c r="I1168" s="10">
        <f t="shared" ca="1" si="235"/>
        <v>0</v>
      </c>
      <c r="J1168" s="13">
        <f t="shared" ca="1" si="236"/>
        <v>0</v>
      </c>
      <c r="K1168" s="14">
        <f t="shared" ca="1" si="237"/>
        <v>297.8</v>
      </c>
      <c r="L1168" s="14">
        <f t="shared" ca="1" si="238"/>
        <v>0</v>
      </c>
      <c r="M1168" s="15">
        <f t="shared" ca="1" si="239"/>
        <v>297.8</v>
      </c>
      <c r="N1168" s="16">
        <f ca="1">SUM($M$9:M1168)/A1168</f>
        <v>338.73534482758623</v>
      </c>
      <c r="O1168" s="6"/>
    </row>
    <row r="1169" spans="1:15" x14ac:dyDescent="0.25">
      <c r="A1169" s="8">
        <v>1161</v>
      </c>
      <c r="B1169" s="9">
        <f t="shared" ca="1" si="231"/>
        <v>1489</v>
      </c>
      <c r="C1169" s="10">
        <f t="shared" ca="1" si="232"/>
        <v>0</v>
      </c>
      <c r="D1169" s="11">
        <f t="shared" ca="1" si="240"/>
        <v>0.48807430033400934</v>
      </c>
      <c r="E1169" s="9">
        <f t="shared" ca="1" si="241"/>
        <v>398</v>
      </c>
      <c r="F1169" s="9">
        <f t="shared" ca="1" si="233"/>
        <v>1091</v>
      </c>
      <c r="G1169" s="12" t="str">
        <f t="shared" ca="1" si="234"/>
        <v>No</v>
      </c>
      <c r="H1169" s="12">
        <f t="shared" ca="1" si="242"/>
        <v>0</v>
      </c>
      <c r="I1169" s="10">
        <f t="shared" ca="1" si="235"/>
        <v>0</v>
      </c>
      <c r="J1169" s="13">
        <f t="shared" ca="1" si="236"/>
        <v>0</v>
      </c>
      <c r="K1169" s="14">
        <f t="shared" ca="1" si="237"/>
        <v>218.20000000000002</v>
      </c>
      <c r="L1169" s="14">
        <f t="shared" ca="1" si="238"/>
        <v>0</v>
      </c>
      <c r="M1169" s="15">
        <f t="shared" ca="1" si="239"/>
        <v>218.20000000000002</v>
      </c>
      <c r="N1169" s="16">
        <f ca="1">SUM($M$9:M1169)/A1169</f>
        <v>338.63152454780362</v>
      </c>
      <c r="O1169" s="6"/>
    </row>
    <row r="1170" spans="1:15" x14ac:dyDescent="0.25">
      <c r="A1170" s="8">
        <v>1162</v>
      </c>
      <c r="B1170" s="9">
        <f t="shared" ca="1" si="231"/>
        <v>1091</v>
      </c>
      <c r="C1170" s="10">
        <f t="shared" ca="1" si="232"/>
        <v>0</v>
      </c>
      <c r="D1170" s="11">
        <f t="shared" ca="1" si="240"/>
        <v>8.5700131558659742E-2</v>
      </c>
      <c r="E1170" s="9">
        <f t="shared" ca="1" si="241"/>
        <v>331</v>
      </c>
      <c r="F1170" s="9">
        <f t="shared" ca="1" si="233"/>
        <v>760</v>
      </c>
      <c r="G1170" s="12" t="str">
        <f t="shared" ca="1" si="234"/>
        <v>Yes</v>
      </c>
      <c r="H1170" s="12">
        <f t="shared" ca="1" si="242"/>
        <v>0.38574718195404079</v>
      </c>
      <c r="I1170" s="10">
        <f t="shared" ca="1" si="235"/>
        <v>1</v>
      </c>
      <c r="J1170" s="13">
        <f t="shared" ca="1" si="236"/>
        <v>300</v>
      </c>
      <c r="K1170" s="14">
        <f t="shared" ca="1" si="237"/>
        <v>152</v>
      </c>
      <c r="L1170" s="14">
        <f t="shared" ca="1" si="238"/>
        <v>0</v>
      </c>
      <c r="M1170" s="15">
        <f t="shared" ca="1" si="239"/>
        <v>452</v>
      </c>
      <c r="N1170" s="16">
        <f ca="1">SUM($M$9:M1170)/A1170</f>
        <v>338.72908777969019</v>
      </c>
      <c r="O1170" s="6"/>
    </row>
    <row r="1171" spans="1:15" x14ac:dyDescent="0.25">
      <c r="A1171" s="8">
        <v>1163</v>
      </c>
      <c r="B1171" s="9">
        <f t="shared" ca="1" si="231"/>
        <v>2560</v>
      </c>
      <c r="C1171" s="10">
        <f t="shared" ca="1" si="232"/>
        <v>1800</v>
      </c>
      <c r="D1171" s="11">
        <f t="shared" ca="1" si="240"/>
        <v>4.9803556314680586E-2</v>
      </c>
      <c r="E1171" s="9">
        <f t="shared" ca="1" si="241"/>
        <v>317</v>
      </c>
      <c r="F1171" s="9">
        <f t="shared" ca="1" si="233"/>
        <v>2243</v>
      </c>
      <c r="G1171" s="12" t="str">
        <f t="shared" ca="1" si="234"/>
        <v>No</v>
      </c>
      <c r="H1171" s="12">
        <f t="shared" ca="1" si="242"/>
        <v>0</v>
      </c>
      <c r="I1171" s="10">
        <f t="shared" ca="1" si="235"/>
        <v>0</v>
      </c>
      <c r="J1171" s="13">
        <f t="shared" ca="1" si="236"/>
        <v>0</v>
      </c>
      <c r="K1171" s="14">
        <f t="shared" ca="1" si="237"/>
        <v>448.6</v>
      </c>
      <c r="L1171" s="14">
        <f t="shared" ca="1" si="238"/>
        <v>0</v>
      </c>
      <c r="M1171" s="15">
        <f t="shared" ca="1" si="239"/>
        <v>448.6</v>
      </c>
      <c r="N1171" s="16">
        <f ca="1">SUM($M$9:M1171)/A1171</f>
        <v>338.82355975924332</v>
      </c>
      <c r="O1171" s="6"/>
    </row>
    <row r="1172" spans="1:15" x14ac:dyDescent="0.25">
      <c r="A1172" s="8">
        <v>1164</v>
      </c>
      <c r="B1172" s="9">
        <f t="shared" ca="1" si="231"/>
        <v>2243</v>
      </c>
      <c r="C1172" s="10">
        <f t="shared" ca="1" si="232"/>
        <v>0</v>
      </c>
      <c r="D1172" s="11">
        <f t="shared" ca="1" si="240"/>
        <v>0.48195636388448548</v>
      </c>
      <c r="E1172" s="9">
        <f t="shared" ca="1" si="241"/>
        <v>397</v>
      </c>
      <c r="F1172" s="9">
        <f t="shared" ca="1" si="233"/>
        <v>1846</v>
      </c>
      <c r="G1172" s="12" t="str">
        <f t="shared" ca="1" si="234"/>
        <v>No</v>
      </c>
      <c r="H1172" s="12">
        <f t="shared" ca="1" si="242"/>
        <v>0</v>
      </c>
      <c r="I1172" s="10">
        <f t="shared" ca="1" si="235"/>
        <v>0</v>
      </c>
      <c r="J1172" s="13">
        <f t="shared" ca="1" si="236"/>
        <v>0</v>
      </c>
      <c r="K1172" s="14">
        <f t="shared" ca="1" si="237"/>
        <v>369.20000000000005</v>
      </c>
      <c r="L1172" s="14">
        <f t="shared" ca="1" si="238"/>
        <v>0</v>
      </c>
      <c r="M1172" s="15">
        <f t="shared" ca="1" si="239"/>
        <v>369.20000000000005</v>
      </c>
      <c r="N1172" s="16">
        <f ca="1">SUM($M$9:M1172)/A1172</f>
        <v>338.84965635738831</v>
      </c>
      <c r="O1172" s="6"/>
    </row>
    <row r="1173" spans="1:15" x14ac:dyDescent="0.25">
      <c r="A1173" s="8">
        <v>1165</v>
      </c>
      <c r="B1173" s="9">
        <f t="shared" ca="1" si="231"/>
        <v>1846</v>
      </c>
      <c r="C1173" s="10">
        <f t="shared" ca="1" si="232"/>
        <v>0</v>
      </c>
      <c r="D1173" s="11">
        <f t="shared" ca="1" si="240"/>
        <v>0.24416817975718175</v>
      </c>
      <c r="E1173" s="9">
        <f t="shared" ca="1" si="241"/>
        <v>365</v>
      </c>
      <c r="F1173" s="9">
        <f t="shared" ca="1" si="233"/>
        <v>1481</v>
      </c>
      <c r="G1173" s="12" t="str">
        <f t="shared" ca="1" si="234"/>
        <v>No</v>
      </c>
      <c r="H1173" s="12">
        <f t="shared" ca="1" si="242"/>
        <v>0</v>
      </c>
      <c r="I1173" s="10">
        <f t="shared" ca="1" si="235"/>
        <v>0</v>
      </c>
      <c r="J1173" s="13">
        <f t="shared" ca="1" si="236"/>
        <v>0</v>
      </c>
      <c r="K1173" s="14">
        <f t="shared" ca="1" si="237"/>
        <v>296.2</v>
      </c>
      <c r="L1173" s="14">
        <f t="shared" ca="1" si="238"/>
        <v>0</v>
      </c>
      <c r="M1173" s="15">
        <f t="shared" ca="1" si="239"/>
        <v>296.2</v>
      </c>
      <c r="N1173" s="16">
        <f ca="1">SUM($M$9:M1173)/A1173</f>
        <v>338.81304721030045</v>
      </c>
      <c r="O1173" s="6"/>
    </row>
    <row r="1174" spans="1:15" x14ac:dyDescent="0.25">
      <c r="A1174" s="8">
        <v>1166</v>
      </c>
      <c r="B1174" s="9">
        <f t="shared" ca="1" si="231"/>
        <v>1481</v>
      </c>
      <c r="C1174" s="10">
        <f t="shared" ca="1" si="232"/>
        <v>0</v>
      </c>
      <c r="D1174" s="11">
        <f t="shared" ca="1" si="240"/>
        <v>0.78389793679558484</v>
      </c>
      <c r="E1174" s="9">
        <f t="shared" ca="1" si="241"/>
        <v>439</v>
      </c>
      <c r="F1174" s="9">
        <f t="shared" ca="1" si="233"/>
        <v>1042</v>
      </c>
      <c r="G1174" s="12" t="str">
        <f t="shared" ca="1" si="234"/>
        <v>No</v>
      </c>
      <c r="H1174" s="12">
        <f t="shared" ca="1" si="242"/>
        <v>0</v>
      </c>
      <c r="I1174" s="10">
        <f t="shared" ca="1" si="235"/>
        <v>0</v>
      </c>
      <c r="J1174" s="13">
        <f t="shared" ca="1" si="236"/>
        <v>0</v>
      </c>
      <c r="K1174" s="14">
        <f t="shared" ca="1" si="237"/>
        <v>208.4</v>
      </c>
      <c r="L1174" s="14">
        <f t="shared" ca="1" si="238"/>
        <v>0</v>
      </c>
      <c r="M1174" s="15">
        <f t="shared" ca="1" si="239"/>
        <v>208.4</v>
      </c>
      <c r="N1174" s="16">
        <f ca="1">SUM($M$9:M1174)/A1174</f>
        <v>338.7012006861064</v>
      </c>
      <c r="O1174" s="6"/>
    </row>
    <row r="1175" spans="1:15" x14ac:dyDescent="0.25">
      <c r="A1175" s="8">
        <v>1167</v>
      </c>
      <c r="B1175" s="9">
        <f t="shared" ca="1" si="231"/>
        <v>1042</v>
      </c>
      <c r="C1175" s="10">
        <f t="shared" ca="1" si="232"/>
        <v>0</v>
      </c>
      <c r="D1175" s="11">
        <f t="shared" ca="1" si="240"/>
        <v>0.66848141592846821</v>
      </c>
      <c r="E1175" s="9">
        <f t="shared" ca="1" si="241"/>
        <v>421</v>
      </c>
      <c r="F1175" s="9">
        <f t="shared" ca="1" si="233"/>
        <v>621</v>
      </c>
      <c r="G1175" s="12" t="str">
        <f t="shared" ca="1" si="234"/>
        <v>Yes</v>
      </c>
      <c r="H1175" s="12">
        <f t="shared" ca="1" si="242"/>
        <v>0.99726862689029716</v>
      </c>
      <c r="I1175" s="10">
        <f t="shared" ca="1" si="235"/>
        <v>3</v>
      </c>
      <c r="J1175" s="13">
        <f t="shared" ca="1" si="236"/>
        <v>300</v>
      </c>
      <c r="K1175" s="14">
        <f t="shared" ca="1" si="237"/>
        <v>124.2</v>
      </c>
      <c r="L1175" s="14">
        <f t="shared" ca="1" si="238"/>
        <v>0</v>
      </c>
      <c r="M1175" s="15">
        <f t="shared" ca="1" si="239"/>
        <v>424.2</v>
      </c>
      <c r="N1175" s="16">
        <f ca="1">SUM($M$9:M1175)/A1175</f>
        <v>338.77446443873185</v>
      </c>
      <c r="O1175" s="6"/>
    </row>
    <row r="1176" spans="1:15" x14ac:dyDescent="0.25">
      <c r="A1176" s="8">
        <v>1168</v>
      </c>
      <c r="B1176" s="9">
        <f t="shared" ca="1" si="231"/>
        <v>621</v>
      </c>
      <c r="C1176" s="10">
        <f t="shared" ca="1" si="232"/>
        <v>0</v>
      </c>
      <c r="D1176" s="11">
        <f t="shared" ca="1" si="240"/>
        <v>0.22221889900515523</v>
      </c>
      <c r="E1176" s="9">
        <f t="shared" ca="1" si="241"/>
        <v>361</v>
      </c>
      <c r="F1176" s="9">
        <f t="shared" ca="1" si="233"/>
        <v>260</v>
      </c>
      <c r="G1176" s="12" t="str">
        <f t="shared" ca="1" si="234"/>
        <v>No</v>
      </c>
      <c r="H1176" s="12">
        <f t="shared" ca="1" si="242"/>
        <v>0</v>
      </c>
      <c r="I1176" s="10">
        <f t="shared" ca="1" si="235"/>
        <v>2</v>
      </c>
      <c r="J1176" s="13">
        <f t="shared" ca="1" si="236"/>
        <v>0</v>
      </c>
      <c r="K1176" s="14">
        <f t="shared" ca="1" si="237"/>
        <v>52</v>
      </c>
      <c r="L1176" s="14">
        <f t="shared" ca="1" si="238"/>
        <v>0</v>
      </c>
      <c r="M1176" s="15">
        <f t="shared" ca="1" si="239"/>
        <v>52</v>
      </c>
      <c r="N1176" s="16">
        <f ca="1">SUM($M$9:M1176)/A1176</f>
        <v>338.52893835616442</v>
      </c>
      <c r="O1176" s="6"/>
    </row>
    <row r="1177" spans="1:15" x14ac:dyDescent="0.25">
      <c r="A1177" s="8">
        <v>1169</v>
      </c>
      <c r="B1177" s="9">
        <f t="shared" ca="1" si="231"/>
        <v>260</v>
      </c>
      <c r="C1177" s="10">
        <f t="shared" ca="1" si="232"/>
        <v>0</v>
      </c>
      <c r="D1177" s="11">
        <f t="shared" ca="1" si="240"/>
        <v>0.83346880740654605</v>
      </c>
      <c r="E1177" s="9">
        <f t="shared" ca="1" si="241"/>
        <v>448</v>
      </c>
      <c r="F1177" s="9">
        <f t="shared" ca="1" si="233"/>
        <v>0</v>
      </c>
      <c r="G1177" s="12" t="str">
        <f t="shared" ca="1" si="234"/>
        <v>No</v>
      </c>
      <c r="H1177" s="12">
        <f t="shared" ca="1" si="242"/>
        <v>0</v>
      </c>
      <c r="I1177" s="10">
        <f t="shared" ca="1" si="235"/>
        <v>1</v>
      </c>
      <c r="J1177" s="13">
        <f t="shared" ca="1" si="236"/>
        <v>0</v>
      </c>
      <c r="K1177" s="14">
        <f t="shared" ca="1" si="237"/>
        <v>0</v>
      </c>
      <c r="L1177" s="14">
        <f t="shared" ca="1" si="238"/>
        <v>376</v>
      </c>
      <c r="M1177" s="15">
        <f t="shared" ca="1" si="239"/>
        <v>376</v>
      </c>
      <c r="N1177" s="16">
        <f ca="1">SUM($M$9:M1177)/A1177</f>
        <v>338.56099230111209</v>
      </c>
      <c r="O1177" s="6"/>
    </row>
    <row r="1178" spans="1:15" x14ac:dyDescent="0.25">
      <c r="A1178" s="8">
        <v>1170</v>
      </c>
      <c r="B1178" s="9">
        <f t="shared" ca="1" si="231"/>
        <v>1800</v>
      </c>
      <c r="C1178" s="10">
        <f t="shared" ca="1" si="232"/>
        <v>1800</v>
      </c>
      <c r="D1178" s="11">
        <f t="shared" ca="1" si="240"/>
        <v>0.64406304472687015</v>
      </c>
      <c r="E1178" s="9">
        <f t="shared" ca="1" si="241"/>
        <v>418</v>
      </c>
      <c r="F1178" s="9">
        <f t="shared" ca="1" si="233"/>
        <v>1382</v>
      </c>
      <c r="G1178" s="12" t="str">
        <f t="shared" ca="1" si="234"/>
        <v>No</v>
      </c>
      <c r="H1178" s="12">
        <f t="shared" ca="1" si="242"/>
        <v>0</v>
      </c>
      <c r="I1178" s="10">
        <f t="shared" ca="1" si="235"/>
        <v>0</v>
      </c>
      <c r="J1178" s="13">
        <f t="shared" ca="1" si="236"/>
        <v>0</v>
      </c>
      <c r="K1178" s="14">
        <f t="shared" ca="1" si="237"/>
        <v>276.40000000000003</v>
      </c>
      <c r="L1178" s="14">
        <f t="shared" ca="1" si="238"/>
        <v>0</v>
      </c>
      <c r="M1178" s="15">
        <f t="shared" ca="1" si="239"/>
        <v>276.40000000000003</v>
      </c>
      <c r="N1178" s="16">
        <f ca="1">SUM($M$9:M1178)/A1178</f>
        <v>338.50786324786333</v>
      </c>
      <c r="O1178" s="6"/>
    </row>
    <row r="1179" spans="1:15" x14ac:dyDescent="0.25">
      <c r="A1179" s="8">
        <v>1171</v>
      </c>
      <c r="B1179" s="9">
        <f t="shared" ca="1" si="231"/>
        <v>1382</v>
      </c>
      <c r="C1179" s="10">
        <f t="shared" ca="1" si="232"/>
        <v>0</v>
      </c>
      <c r="D1179" s="11">
        <f t="shared" ca="1" si="240"/>
        <v>0.48758966706896167</v>
      </c>
      <c r="E1179" s="9">
        <f t="shared" ca="1" si="241"/>
        <v>398</v>
      </c>
      <c r="F1179" s="9">
        <f t="shared" ca="1" si="233"/>
        <v>984</v>
      </c>
      <c r="G1179" s="12" t="str">
        <f t="shared" ca="1" si="234"/>
        <v>Yes</v>
      </c>
      <c r="H1179" s="12">
        <f t="shared" ca="1" si="242"/>
        <v>0.63482875649145631</v>
      </c>
      <c r="I1179" s="10">
        <f t="shared" ca="1" si="235"/>
        <v>1</v>
      </c>
      <c r="J1179" s="13">
        <f t="shared" ca="1" si="236"/>
        <v>300</v>
      </c>
      <c r="K1179" s="14">
        <f t="shared" ca="1" si="237"/>
        <v>196.8</v>
      </c>
      <c r="L1179" s="14">
        <f t="shared" ca="1" si="238"/>
        <v>0</v>
      </c>
      <c r="M1179" s="15">
        <f t="shared" ca="1" si="239"/>
        <v>496.8</v>
      </c>
      <c r="N1179" s="16">
        <f ca="1">SUM($M$9:M1179)/A1179</f>
        <v>338.64304013663542</v>
      </c>
      <c r="O1179" s="6"/>
    </row>
    <row r="1180" spans="1:15" x14ac:dyDescent="0.25">
      <c r="A1180" s="8">
        <v>1172</v>
      </c>
      <c r="B1180" s="9">
        <f t="shared" ca="1" si="231"/>
        <v>2784</v>
      </c>
      <c r="C1180" s="10">
        <f t="shared" ca="1" si="232"/>
        <v>1800</v>
      </c>
      <c r="D1180" s="11">
        <f t="shared" ca="1" si="240"/>
        <v>0.91395429160953456</v>
      </c>
      <c r="E1180" s="9">
        <f t="shared" ca="1" si="241"/>
        <v>468</v>
      </c>
      <c r="F1180" s="9">
        <f t="shared" ca="1" si="233"/>
        <v>2316</v>
      </c>
      <c r="G1180" s="12" t="str">
        <f t="shared" ca="1" si="234"/>
        <v>No</v>
      </c>
      <c r="H1180" s="12">
        <f t="shared" ca="1" si="242"/>
        <v>0</v>
      </c>
      <c r="I1180" s="10">
        <f t="shared" ca="1" si="235"/>
        <v>0</v>
      </c>
      <c r="J1180" s="13">
        <f t="shared" ca="1" si="236"/>
        <v>0</v>
      </c>
      <c r="K1180" s="14">
        <f t="shared" ca="1" si="237"/>
        <v>463.20000000000005</v>
      </c>
      <c r="L1180" s="14">
        <f t="shared" ca="1" si="238"/>
        <v>0</v>
      </c>
      <c r="M1180" s="15">
        <f t="shared" ca="1" si="239"/>
        <v>463.20000000000005</v>
      </c>
      <c r="N1180" s="16">
        <f ca="1">SUM($M$9:M1180)/A1180</f>
        <v>338.7493174061434</v>
      </c>
      <c r="O1180" s="6"/>
    </row>
    <row r="1181" spans="1:15" x14ac:dyDescent="0.25">
      <c r="A1181" s="8">
        <v>1173</v>
      </c>
      <c r="B1181" s="9">
        <f t="shared" ca="1" si="231"/>
        <v>2316</v>
      </c>
      <c r="C1181" s="10">
        <f t="shared" ca="1" si="232"/>
        <v>0</v>
      </c>
      <c r="D1181" s="11">
        <f t="shared" ca="1" si="240"/>
        <v>0.60343252534433123</v>
      </c>
      <c r="E1181" s="9">
        <f t="shared" ca="1" si="241"/>
        <v>413</v>
      </c>
      <c r="F1181" s="9">
        <f t="shared" ca="1" si="233"/>
        <v>1903</v>
      </c>
      <c r="G1181" s="12" t="str">
        <f t="shared" ca="1" si="234"/>
        <v>No</v>
      </c>
      <c r="H1181" s="12">
        <f t="shared" ca="1" si="242"/>
        <v>0</v>
      </c>
      <c r="I1181" s="10">
        <f t="shared" ca="1" si="235"/>
        <v>0</v>
      </c>
      <c r="J1181" s="13">
        <f t="shared" ca="1" si="236"/>
        <v>0</v>
      </c>
      <c r="K1181" s="14">
        <f t="shared" ca="1" si="237"/>
        <v>380.6</v>
      </c>
      <c r="L1181" s="14">
        <f t="shared" ca="1" si="238"/>
        <v>0</v>
      </c>
      <c r="M1181" s="15">
        <f t="shared" ca="1" si="239"/>
        <v>380.6</v>
      </c>
      <c r="N1181" s="16">
        <f ca="1">SUM($M$9:M1181)/A1181</f>
        <v>338.78499573742545</v>
      </c>
      <c r="O1181" s="6"/>
    </row>
    <row r="1182" spans="1:15" x14ac:dyDescent="0.25">
      <c r="A1182" s="8">
        <v>1174</v>
      </c>
      <c r="B1182" s="9">
        <f t="shared" ca="1" si="231"/>
        <v>1903</v>
      </c>
      <c r="C1182" s="10">
        <f t="shared" ca="1" si="232"/>
        <v>0</v>
      </c>
      <c r="D1182" s="11">
        <f t="shared" ca="1" si="240"/>
        <v>9.0337567203496172E-2</v>
      </c>
      <c r="E1182" s="9">
        <f t="shared" ca="1" si="241"/>
        <v>333</v>
      </c>
      <c r="F1182" s="9">
        <f t="shared" ca="1" si="233"/>
        <v>1570</v>
      </c>
      <c r="G1182" s="12" t="str">
        <f t="shared" ca="1" si="234"/>
        <v>No</v>
      </c>
      <c r="H1182" s="12">
        <f t="shared" ca="1" si="242"/>
        <v>0</v>
      </c>
      <c r="I1182" s="10">
        <f t="shared" ca="1" si="235"/>
        <v>0</v>
      </c>
      <c r="J1182" s="13">
        <f t="shared" ca="1" si="236"/>
        <v>0</v>
      </c>
      <c r="K1182" s="14">
        <f t="shared" ca="1" si="237"/>
        <v>314</v>
      </c>
      <c r="L1182" s="14">
        <f t="shared" ca="1" si="238"/>
        <v>0</v>
      </c>
      <c r="M1182" s="15">
        <f t="shared" ca="1" si="239"/>
        <v>314</v>
      </c>
      <c r="N1182" s="16">
        <f ca="1">SUM($M$9:M1182)/A1182</f>
        <v>338.76388415672915</v>
      </c>
      <c r="O1182" s="6"/>
    </row>
    <row r="1183" spans="1:15" x14ac:dyDescent="0.25">
      <c r="A1183" s="8">
        <v>1175</v>
      </c>
      <c r="B1183" s="9">
        <f t="shared" ca="1" si="231"/>
        <v>1570</v>
      </c>
      <c r="C1183" s="10">
        <f t="shared" ca="1" si="232"/>
        <v>0</v>
      </c>
      <c r="D1183" s="11">
        <f t="shared" ca="1" si="240"/>
        <v>0.8957212798151365</v>
      </c>
      <c r="E1183" s="9">
        <f t="shared" ca="1" si="241"/>
        <v>462</v>
      </c>
      <c r="F1183" s="9">
        <f t="shared" ca="1" si="233"/>
        <v>1108</v>
      </c>
      <c r="G1183" s="12" t="str">
        <f t="shared" ca="1" si="234"/>
        <v>No</v>
      </c>
      <c r="H1183" s="12">
        <f t="shared" ca="1" si="242"/>
        <v>0</v>
      </c>
      <c r="I1183" s="10">
        <f t="shared" ca="1" si="235"/>
        <v>0</v>
      </c>
      <c r="J1183" s="13">
        <f t="shared" ca="1" si="236"/>
        <v>0</v>
      </c>
      <c r="K1183" s="14">
        <f t="shared" ca="1" si="237"/>
        <v>221.60000000000002</v>
      </c>
      <c r="L1183" s="14">
        <f t="shared" ca="1" si="238"/>
        <v>0</v>
      </c>
      <c r="M1183" s="15">
        <f t="shared" ca="1" si="239"/>
        <v>221.60000000000002</v>
      </c>
      <c r="N1183" s="16">
        <f ca="1">SUM($M$9:M1183)/A1183</f>
        <v>338.66417021276595</v>
      </c>
      <c r="O1183" s="6"/>
    </row>
    <row r="1184" spans="1:15" x14ac:dyDescent="0.25">
      <c r="A1184" s="8">
        <v>1176</v>
      </c>
      <c r="B1184" s="9">
        <f t="shared" ca="1" si="231"/>
        <v>1108</v>
      </c>
      <c r="C1184" s="10">
        <f t="shared" ca="1" si="232"/>
        <v>0</v>
      </c>
      <c r="D1184" s="11">
        <f t="shared" ca="1" si="240"/>
        <v>0.84681579991732647</v>
      </c>
      <c r="E1184" s="9">
        <f t="shared" ca="1" si="241"/>
        <v>451</v>
      </c>
      <c r="F1184" s="9">
        <f t="shared" ca="1" si="233"/>
        <v>657</v>
      </c>
      <c r="G1184" s="12" t="str">
        <f t="shared" ca="1" si="234"/>
        <v>Yes</v>
      </c>
      <c r="H1184" s="12">
        <f t="shared" ca="1" si="242"/>
        <v>0.40945747454175419</v>
      </c>
      <c r="I1184" s="10">
        <f t="shared" ca="1" si="235"/>
        <v>1</v>
      </c>
      <c r="J1184" s="13">
        <f t="shared" ca="1" si="236"/>
        <v>300</v>
      </c>
      <c r="K1184" s="14">
        <f t="shared" ca="1" si="237"/>
        <v>131.4</v>
      </c>
      <c r="L1184" s="14">
        <f t="shared" ca="1" si="238"/>
        <v>0</v>
      </c>
      <c r="M1184" s="15">
        <f t="shared" ca="1" si="239"/>
        <v>431.4</v>
      </c>
      <c r="N1184" s="16">
        <f ca="1">SUM($M$9:M1184)/A1184</f>
        <v>338.74302721088441</v>
      </c>
      <c r="O1184" s="6"/>
    </row>
    <row r="1185" spans="1:15" x14ac:dyDescent="0.25">
      <c r="A1185" s="8">
        <v>1177</v>
      </c>
      <c r="B1185" s="9">
        <f t="shared" ca="1" si="231"/>
        <v>2457</v>
      </c>
      <c r="C1185" s="10">
        <f t="shared" ca="1" si="232"/>
        <v>1800</v>
      </c>
      <c r="D1185" s="11">
        <f t="shared" ca="1" si="240"/>
        <v>0.22004987705040224</v>
      </c>
      <c r="E1185" s="9">
        <f t="shared" ca="1" si="241"/>
        <v>361</v>
      </c>
      <c r="F1185" s="9">
        <f t="shared" ca="1" si="233"/>
        <v>2096</v>
      </c>
      <c r="G1185" s="12" t="str">
        <f t="shared" ca="1" si="234"/>
        <v>No</v>
      </c>
      <c r="H1185" s="12">
        <f t="shared" ca="1" si="242"/>
        <v>0</v>
      </c>
      <c r="I1185" s="10">
        <f t="shared" ca="1" si="235"/>
        <v>0</v>
      </c>
      <c r="J1185" s="13">
        <f t="shared" ca="1" si="236"/>
        <v>0</v>
      </c>
      <c r="K1185" s="14">
        <f t="shared" ca="1" si="237"/>
        <v>419.20000000000005</v>
      </c>
      <c r="L1185" s="14">
        <f t="shared" ca="1" si="238"/>
        <v>0</v>
      </c>
      <c r="M1185" s="15">
        <f t="shared" ca="1" si="239"/>
        <v>419.20000000000005</v>
      </c>
      <c r="N1185" s="16">
        <f ca="1">SUM($M$9:M1185)/A1185</f>
        <v>338.8113848768055</v>
      </c>
      <c r="O1185" s="6"/>
    </row>
    <row r="1186" spans="1:15" x14ac:dyDescent="0.25">
      <c r="A1186" s="8">
        <v>1178</v>
      </c>
      <c r="B1186" s="9">
        <f t="shared" ca="1" si="231"/>
        <v>2096</v>
      </c>
      <c r="C1186" s="10">
        <f t="shared" ca="1" si="232"/>
        <v>0</v>
      </c>
      <c r="D1186" s="11">
        <f t="shared" ca="1" si="240"/>
        <v>0.4938046379326233</v>
      </c>
      <c r="E1186" s="9">
        <f t="shared" ca="1" si="241"/>
        <v>399</v>
      </c>
      <c r="F1186" s="9">
        <f t="shared" ca="1" si="233"/>
        <v>1697</v>
      </c>
      <c r="G1186" s="12" t="str">
        <f t="shared" ca="1" si="234"/>
        <v>No</v>
      </c>
      <c r="H1186" s="12">
        <f t="shared" ca="1" si="242"/>
        <v>0</v>
      </c>
      <c r="I1186" s="10">
        <f t="shared" ca="1" si="235"/>
        <v>0</v>
      </c>
      <c r="J1186" s="13">
        <f t="shared" ca="1" si="236"/>
        <v>0</v>
      </c>
      <c r="K1186" s="14">
        <f t="shared" ca="1" si="237"/>
        <v>339.40000000000003</v>
      </c>
      <c r="L1186" s="14">
        <f t="shared" ca="1" si="238"/>
        <v>0</v>
      </c>
      <c r="M1186" s="15">
        <f t="shared" ca="1" si="239"/>
        <v>339.40000000000003</v>
      </c>
      <c r="N1186" s="16">
        <f ca="1">SUM($M$9:M1186)/A1186</f>
        <v>338.81188455008498</v>
      </c>
      <c r="O1186" s="6"/>
    </row>
    <row r="1187" spans="1:15" x14ac:dyDescent="0.25">
      <c r="A1187" s="8">
        <v>1179</v>
      </c>
      <c r="B1187" s="9">
        <f t="shared" ca="1" si="231"/>
        <v>1697</v>
      </c>
      <c r="C1187" s="10">
        <f t="shared" ca="1" si="232"/>
        <v>0</v>
      </c>
      <c r="D1187" s="11">
        <f t="shared" ca="1" si="240"/>
        <v>0.43404910065597357</v>
      </c>
      <c r="E1187" s="9">
        <f t="shared" ca="1" si="241"/>
        <v>391</v>
      </c>
      <c r="F1187" s="9">
        <f t="shared" ca="1" si="233"/>
        <v>1306</v>
      </c>
      <c r="G1187" s="12" t="str">
        <f t="shared" ca="1" si="234"/>
        <v>No</v>
      </c>
      <c r="H1187" s="12">
        <f t="shared" ca="1" si="242"/>
        <v>0</v>
      </c>
      <c r="I1187" s="10">
        <f t="shared" ca="1" si="235"/>
        <v>0</v>
      </c>
      <c r="J1187" s="13">
        <f t="shared" ca="1" si="236"/>
        <v>0</v>
      </c>
      <c r="K1187" s="14">
        <f t="shared" ca="1" si="237"/>
        <v>261.2</v>
      </c>
      <c r="L1187" s="14">
        <f t="shared" ca="1" si="238"/>
        <v>0</v>
      </c>
      <c r="M1187" s="15">
        <f t="shared" ca="1" si="239"/>
        <v>261.2</v>
      </c>
      <c r="N1187" s="16">
        <f ca="1">SUM($M$9:M1187)/A1187</f>
        <v>338.74605597964387</v>
      </c>
      <c r="O1187" s="6"/>
    </row>
    <row r="1188" spans="1:15" x14ac:dyDescent="0.25">
      <c r="A1188" s="8">
        <v>1180</v>
      </c>
      <c r="B1188" s="9">
        <f t="shared" ca="1" si="231"/>
        <v>1306</v>
      </c>
      <c r="C1188" s="10">
        <f t="shared" ca="1" si="232"/>
        <v>0</v>
      </c>
      <c r="D1188" s="11">
        <f t="shared" ca="1" si="240"/>
        <v>4.5611015253254394E-2</v>
      </c>
      <c r="E1188" s="9">
        <f t="shared" ca="1" si="241"/>
        <v>315</v>
      </c>
      <c r="F1188" s="9">
        <f t="shared" ca="1" si="233"/>
        <v>991</v>
      </c>
      <c r="G1188" s="12" t="str">
        <f t="shared" ca="1" si="234"/>
        <v>Yes</v>
      </c>
      <c r="H1188" s="12">
        <f t="shared" ca="1" si="242"/>
        <v>0.43218588952021386</v>
      </c>
      <c r="I1188" s="10">
        <f t="shared" ca="1" si="235"/>
        <v>1</v>
      </c>
      <c r="J1188" s="13">
        <f t="shared" ca="1" si="236"/>
        <v>300</v>
      </c>
      <c r="K1188" s="14">
        <f t="shared" ca="1" si="237"/>
        <v>198.20000000000002</v>
      </c>
      <c r="L1188" s="14">
        <f t="shared" ca="1" si="238"/>
        <v>0</v>
      </c>
      <c r="M1188" s="15">
        <f t="shared" ca="1" si="239"/>
        <v>498.20000000000005</v>
      </c>
      <c r="N1188" s="16">
        <f ca="1">SUM($M$9:M1188)/A1188</f>
        <v>338.88118644067805</v>
      </c>
      <c r="O1188" s="6"/>
    </row>
    <row r="1189" spans="1:15" x14ac:dyDescent="0.25">
      <c r="A1189" s="8">
        <v>1181</v>
      </c>
      <c r="B1189" s="9">
        <f t="shared" ca="1" si="231"/>
        <v>2791</v>
      </c>
      <c r="C1189" s="10">
        <f t="shared" ca="1" si="232"/>
        <v>1800</v>
      </c>
      <c r="D1189" s="11">
        <f t="shared" ca="1" si="240"/>
        <v>0.90994109111037014</v>
      </c>
      <c r="E1189" s="9">
        <f t="shared" ca="1" si="241"/>
        <v>467</v>
      </c>
      <c r="F1189" s="9">
        <f t="shared" ca="1" si="233"/>
        <v>2324</v>
      </c>
      <c r="G1189" s="12" t="str">
        <f t="shared" ca="1" si="234"/>
        <v>No</v>
      </c>
      <c r="H1189" s="12">
        <f t="shared" ca="1" si="242"/>
        <v>0</v>
      </c>
      <c r="I1189" s="10">
        <f t="shared" ca="1" si="235"/>
        <v>0</v>
      </c>
      <c r="J1189" s="13">
        <f t="shared" ca="1" si="236"/>
        <v>0</v>
      </c>
      <c r="K1189" s="14">
        <f t="shared" ca="1" si="237"/>
        <v>464.8</v>
      </c>
      <c r="L1189" s="14">
        <f t="shared" ca="1" si="238"/>
        <v>0</v>
      </c>
      <c r="M1189" s="15">
        <f t="shared" ca="1" si="239"/>
        <v>464.8</v>
      </c>
      <c r="N1189" s="16">
        <f ca="1">SUM($M$9:M1189)/A1189</f>
        <v>338.98780694326848</v>
      </c>
      <c r="O1189" s="6"/>
    </row>
    <row r="1190" spans="1:15" x14ac:dyDescent="0.25">
      <c r="A1190" s="8">
        <v>1182</v>
      </c>
      <c r="B1190" s="9">
        <f t="shared" ca="1" si="231"/>
        <v>2324</v>
      </c>
      <c r="C1190" s="10">
        <f t="shared" ca="1" si="232"/>
        <v>0</v>
      </c>
      <c r="D1190" s="11">
        <f t="shared" ca="1" si="240"/>
        <v>0.42858649278162986</v>
      </c>
      <c r="E1190" s="9">
        <f t="shared" ca="1" si="241"/>
        <v>391</v>
      </c>
      <c r="F1190" s="9">
        <f t="shared" ca="1" si="233"/>
        <v>1933</v>
      </c>
      <c r="G1190" s="12" t="str">
        <f t="shared" ca="1" si="234"/>
        <v>No</v>
      </c>
      <c r="H1190" s="12">
        <f t="shared" ca="1" si="242"/>
        <v>0</v>
      </c>
      <c r="I1190" s="10">
        <f t="shared" ca="1" si="235"/>
        <v>0</v>
      </c>
      <c r="J1190" s="13">
        <f t="shared" ca="1" si="236"/>
        <v>0</v>
      </c>
      <c r="K1190" s="14">
        <f t="shared" ca="1" si="237"/>
        <v>386.6</v>
      </c>
      <c r="L1190" s="14">
        <f t="shared" ca="1" si="238"/>
        <v>0</v>
      </c>
      <c r="M1190" s="15">
        <f t="shared" ca="1" si="239"/>
        <v>386.6</v>
      </c>
      <c r="N1190" s="16">
        <f ca="1">SUM($M$9:M1190)/A1190</f>
        <v>339.02808798646367</v>
      </c>
      <c r="O1190" s="6"/>
    </row>
    <row r="1191" spans="1:15" x14ac:dyDescent="0.25">
      <c r="A1191" s="8">
        <v>1183</v>
      </c>
      <c r="B1191" s="9">
        <f t="shared" ca="1" si="231"/>
        <v>1933</v>
      </c>
      <c r="C1191" s="10">
        <f t="shared" ca="1" si="232"/>
        <v>0</v>
      </c>
      <c r="D1191" s="11">
        <f t="shared" ca="1" si="240"/>
        <v>4.7753074711207488E-2</v>
      </c>
      <c r="E1191" s="9">
        <f t="shared" ca="1" si="241"/>
        <v>316</v>
      </c>
      <c r="F1191" s="9">
        <f t="shared" ca="1" si="233"/>
        <v>1617</v>
      </c>
      <c r="G1191" s="12" t="str">
        <f t="shared" ca="1" si="234"/>
        <v>No</v>
      </c>
      <c r="H1191" s="12">
        <f t="shared" ca="1" si="242"/>
        <v>0</v>
      </c>
      <c r="I1191" s="10">
        <f t="shared" ca="1" si="235"/>
        <v>0</v>
      </c>
      <c r="J1191" s="13">
        <f t="shared" ca="1" si="236"/>
        <v>0</v>
      </c>
      <c r="K1191" s="14">
        <f t="shared" ca="1" si="237"/>
        <v>323.40000000000003</v>
      </c>
      <c r="L1191" s="14">
        <f t="shared" ca="1" si="238"/>
        <v>0</v>
      </c>
      <c r="M1191" s="15">
        <f t="shared" ca="1" si="239"/>
        <v>323.40000000000003</v>
      </c>
      <c r="N1191" s="16">
        <f ca="1">SUM($M$9:M1191)/A1191</f>
        <v>339.01487743026212</v>
      </c>
      <c r="O1191" s="6"/>
    </row>
    <row r="1192" spans="1:15" x14ac:dyDescent="0.25">
      <c r="A1192" s="8">
        <v>1184</v>
      </c>
      <c r="B1192" s="9">
        <f t="shared" ca="1" si="231"/>
        <v>1617</v>
      </c>
      <c r="C1192" s="10">
        <f t="shared" ca="1" si="232"/>
        <v>0</v>
      </c>
      <c r="D1192" s="11">
        <f t="shared" ca="1" si="240"/>
        <v>0.51500964847080677</v>
      </c>
      <c r="E1192" s="9">
        <f t="shared" ca="1" si="241"/>
        <v>401</v>
      </c>
      <c r="F1192" s="9">
        <f t="shared" ca="1" si="233"/>
        <v>1216</v>
      </c>
      <c r="G1192" s="12" t="str">
        <f t="shared" ca="1" si="234"/>
        <v>No</v>
      </c>
      <c r="H1192" s="12">
        <f t="shared" ca="1" si="242"/>
        <v>0</v>
      </c>
      <c r="I1192" s="10">
        <f t="shared" ca="1" si="235"/>
        <v>0</v>
      </c>
      <c r="J1192" s="13">
        <f t="shared" ca="1" si="236"/>
        <v>0</v>
      </c>
      <c r="K1192" s="14">
        <f t="shared" ca="1" si="237"/>
        <v>243.20000000000002</v>
      </c>
      <c r="L1192" s="14">
        <f t="shared" ca="1" si="238"/>
        <v>0</v>
      </c>
      <c r="M1192" s="15">
        <f t="shared" ca="1" si="239"/>
        <v>243.20000000000002</v>
      </c>
      <c r="N1192" s="16">
        <f ca="1">SUM($M$9:M1192)/A1192</f>
        <v>338.93395270270281</v>
      </c>
      <c r="O1192" s="6"/>
    </row>
    <row r="1193" spans="1:15" x14ac:dyDescent="0.25">
      <c r="A1193" s="8">
        <v>1185</v>
      </c>
      <c r="B1193" s="9">
        <f t="shared" ca="1" si="231"/>
        <v>1216</v>
      </c>
      <c r="C1193" s="10">
        <f t="shared" ca="1" si="232"/>
        <v>0</v>
      </c>
      <c r="D1193" s="11">
        <f t="shared" ca="1" si="240"/>
        <v>9.418983360177835E-2</v>
      </c>
      <c r="E1193" s="9">
        <f t="shared" ca="1" si="241"/>
        <v>334</v>
      </c>
      <c r="F1193" s="9">
        <f t="shared" ca="1" si="233"/>
        <v>882</v>
      </c>
      <c r="G1193" s="12" t="str">
        <f t="shared" ca="1" si="234"/>
        <v>Yes</v>
      </c>
      <c r="H1193" s="12">
        <f t="shared" ca="1" si="242"/>
        <v>0.70943483813371389</v>
      </c>
      <c r="I1193" s="10">
        <f t="shared" ca="1" si="235"/>
        <v>2</v>
      </c>
      <c r="J1193" s="13">
        <f t="shared" ca="1" si="236"/>
        <v>300</v>
      </c>
      <c r="K1193" s="14">
        <f t="shared" ca="1" si="237"/>
        <v>176.4</v>
      </c>
      <c r="L1193" s="14">
        <f t="shared" ca="1" si="238"/>
        <v>0</v>
      </c>
      <c r="M1193" s="15">
        <f t="shared" ca="1" si="239"/>
        <v>476.4</v>
      </c>
      <c r="N1193" s="16">
        <f ca="1">SUM($M$9:M1193)/A1193</f>
        <v>339.0499578059073</v>
      </c>
      <c r="O1193" s="6"/>
    </row>
    <row r="1194" spans="1:15" x14ac:dyDescent="0.25">
      <c r="A1194" s="8">
        <v>1186</v>
      </c>
      <c r="B1194" s="9">
        <f t="shared" ca="1" si="231"/>
        <v>882</v>
      </c>
      <c r="C1194" s="10">
        <f t="shared" ca="1" si="232"/>
        <v>0</v>
      </c>
      <c r="D1194" s="11">
        <f t="shared" ca="1" si="240"/>
        <v>0.10732125862779751</v>
      </c>
      <c r="E1194" s="9">
        <f t="shared" ca="1" si="241"/>
        <v>337</v>
      </c>
      <c r="F1194" s="9">
        <f t="shared" ca="1" si="233"/>
        <v>545</v>
      </c>
      <c r="G1194" s="12" t="str">
        <f t="shared" ca="1" si="234"/>
        <v>No</v>
      </c>
      <c r="H1194" s="12">
        <f t="shared" ca="1" si="242"/>
        <v>0</v>
      </c>
      <c r="I1194" s="10">
        <f t="shared" ca="1" si="235"/>
        <v>1</v>
      </c>
      <c r="J1194" s="13">
        <f t="shared" ca="1" si="236"/>
        <v>0</v>
      </c>
      <c r="K1194" s="14">
        <f t="shared" ca="1" si="237"/>
        <v>109</v>
      </c>
      <c r="L1194" s="14">
        <f t="shared" ca="1" si="238"/>
        <v>0</v>
      </c>
      <c r="M1194" s="15">
        <f t="shared" ca="1" si="239"/>
        <v>109</v>
      </c>
      <c r="N1194" s="16">
        <f ca="1">SUM($M$9:M1194)/A1194</f>
        <v>338.855986509275</v>
      </c>
      <c r="O1194" s="6"/>
    </row>
    <row r="1195" spans="1:15" x14ac:dyDescent="0.25">
      <c r="A1195" s="8">
        <v>1187</v>
      </c>
      <c r="B1195" s="9">
        <f t="shared" ca="1" si="231"/>
        <v>2345</v>
      </c>
      <c r="C1195" s="10">
        <f t="shared" ca="1" si="232"/>
        <v>1800</v>
      </c>
      <c r="D1195" s="11">
        <f t="shared" ca="1" si="240"/>
        <v>0.65165038554037014</v>
      </c>
      <c r="E1195" s="9">
        <f t="shared" ca="1" si="241"/>
        <v>419</v>
      </c>
      <c r="F1195" s="9">
        <f t="shared" ca="1" si="233"/>
        <v>1926</v>
      </c>
      <c r="G1195" s="12" t="str">
        <f t="shared" ca="1" si="234"/>
        <v>No</v>
      </c>
      <c r="H1195" s="12">
        <f t="shared" ca="1" si="242"/>
        <v>0</v>
      </c>
      <c r="I1195" s="10">
        <f t="shared" ca="1" si="235"/>
        <v>0</v>
      </c>
      <c r="J1195" s="13">
        <f t="shared" ca="1" si="236"/>
        <v>0</v>
      </c>
      <c r="K1195" s="14">
        <f t="shared" ca="1" si="237"/>
        <v>385.20000000000005</v>
      </c>
      <c r="L1195" s="14">
        <f t="shared" ca="1" si="238"/>
        <v>0</v>
      </c>
      <c r="M1195" s="15">
        <f t="shared" ca="1" si="239"/>
        <v>385.20000000000005</v>
      </c>
      <c r="N1195" s="16">
        <f ca="1">SUM($M$9:M1195)/A1195</f>
        <v>338.89502948609953</v>
      </c>
      <c r="O1195" s="6"/>
    </row>
    <row r="1196" spans="1:15" x14ac:dyDescent="0.25">
      <c r="A1196" s="8">
        <v>1188</v>
      </c>
      <c r="B1196" s="9">
        <f t="shared" ca="1" si="231"/>
        <v>1926</v>
      </c>
      <c r="C1196" s="10">
        <f t="shared" ca="1" si="232"/>
        <v>0</v>
      </c>
      <c r="D1196" s="11">
        <f t="shared" ca="1" si="240"/>
        <v>0.53172600628200128</v>
      </c>
      <c r="E1196" s="9">
        <f t="shared" ca="1" si="241"/>
        <v>403</v>
      </c>
      <c r="F1196" s="9">
        <f t="shared" ca="1" si="233"/>
        <v>1523</v>
      </c>
      <c r="G1196" s="12" t="str">
        <f t="shared" ca="1" si="234"/>
        <v>No</v>
      </c>
      <c r="H1196" s="12">
        <f t="shared" ca="1" si="242"/>
        <v>0</v>
      </c>
      <c r="I1196" s="10">
        <f t="shared" ca="1" si="235"/>
        <v>0</v>
      </c>
      <c r="J1196" s="13">
        <f t="shared" ca="1" si="236"/>
        <v>0</v>
      </c>
      <c r="K1196" s="14">
        <f t="shared" ca="1" si="237"/>
        <v>304.60000000000002</v>
      </c>
      <c r="L1196" s="14">
        <f t="shared" ca="1" si="238"/>
        <v>0</v>
      </c>
      <c r="M1196" s="15">
        <f t="shared" ca="1" si="239"/>
        <v>304.60000000000002</v>
      </c>
      <c r="N1196" s="16">
        <f ca="1">SUM($M$9:M1196)/A1196</f>
        <v>338.86616161616172</v>
      </c>
      <c r="O1196" s="6"/>
    </row>
    <row r="1197" spans="1:15" x14ac:dyDescent="0.25">
      <c r="A1197" s="8">
        <v>1189</v>
      </c>
      <c r="B1197" s="9">
        <f t="shared" ca="1" si="231"/>
        <v>1523</v>
      </c>
      <c r="C1197" s="10">
        <f t="shared" ca="1" si="232"/>
        <v>0</v>
      </c>
      <c r="D1197" s="11">
        <f t="shared" ca="1" si="240"/>
        <v>0.43766925284911906</v>
      </c>
      <c r="E1197" s="9">
        <f t="shared" ca="1" si="241"/>
        <v>392</v>
      </c>
      <c r="F1197" s="9">
        <f t="shared" ca="1" si="233"/>
        <v>1131</v>
      </c>
      <c r="G1197" s="12" t="str">
        <f t="shared" ca="1" si="234"/>
        <v>No</v>
      </c>
      <c r="H1197" s="12">
        <f t="shared" ca="1" si="242"/>
        <v>0</v>
      </c>
      <c r="I1197" s="10">
        <f t="shared" ca="1" si="235"/>
        <v>0</v>
      </c>
      <c r="J1197" s="13">
        <f t="shared" ca="1" si="236"/>
        <v>0</v>
      </c>
      <c r="K1197" s="14">
        <f t="shared" ca="1" si="237"/>
        <v>226.20000000000002</v>
      </c>
      <c r="L1197" s="14">
        <f t="shared" ca="1" si="238"/>
        <v>0</v>
      </c>
      <c r="M1197" s="15">
        <f t="shared" ca="1" si="239"/>
        <v>226.20000000000002</v>
      </c>
      <c r="N1197" s="16">
        <f ca="1">SUM($M$9:M1197)/A1197</f>
        <v>338.77140454163174</v>
      </c>
      <c r="O1197" s="6"/>
    </row>
    <row r="1198" spans="1:15" x14ac:dyDescent="0.25">
      <c r="A1198" s="8">
        <v>1190</v>
      </c>
      <c r="B1198" s="9">
        <f t="shared" ca="1" si="231"/>
        <v>1131</v>
      </c>
      <c r="C1198" s="10">
        <f t="shared" ca="1" si="232"/>
        <v>0</v>
      </c>
      <c r="D1198" s="11">
        <f t="shared" ca="1" si="240"/>
        <v>0.10563914611775593</v>
      </c>
      <c r="E1198" s="9">
        <f t="shared" ca="1" si="241"/>
        <v>337</v>
      </c>
      <c r="F1198" s="9">
        <f t="shared" ca="1" si="233"/>
        <v>794</v>
      </c>
      <c r="G1198" s="12" t="str">
        <f t="shared" ca="1" si="234"/>
        <v>Yes</v>
      </c>
      <c r="H1198" s="12">
        <f t="shared" ca="1" si="242"/>
        <v>0.5283372623169007</v>
      </c>
      <c r="I1198" s="10">
        <f t="shared" ca="1" si="235"/>
        <v>1</v>
      </c>
      <c r="J1198" s="13">
        <f t="shared" ca="1" si="236"/>
        <v>300</v>
      </c>
      <c r="K1198" s="14">
        <f t="shared" ca="1" si="237"/>
        <v>158.80000000000001</v>
      </c>
      <c r="L1198" s="14">
        <f t="shared" ca="1" si="238"/>
        <v>0</v>
      </c>
      <c r="M1198" s="15">
        <f t="shared" ca="1" si="239"/>
        <v>458.8</v>
      </c>
      <c r="N1198" s="16">
        <f ca="1">SUM($M$9:M1198)/A1198</f>
        <v>338.87226890756313</v>
      </c>
      <c r="O1198" s="6"/>
    </row>
    <row r="1199" spans="1:15" x14ac:dyDescent="0.25">
      <c r="A1199" s="8">
        <v>1191</v>
      </c>
      <c r="B1199" s="9">
        <f t="shared" ca="1" si="231"/>
        <v>2594</v>
      </c>
      <c r="C1199" s="10">
        <f t="shared" ca="1" si="232"/>
        <v>1800</v>
      </c>
      <c r="D1199" s="11">
        <f t="shared" ca="1" si="240"/>
        <v>0.12918336792427654</v>
      </c>
      <c r="E1199" s="9">
        <f t="shared" ca="1" si="241"/>
        <v>343</v>
      </c>
      <c r="F1199" s="9">
        <f t="shared" ca="1" si="233"/>
        <v>2251</v>
      </c>
      <c r="G1199" s="12" t="str">
        <f t="shared" ca="1" si="234"/>
        <v>No</v>
      </c>
      <c r="H1199" s="12">
        <f t="shared" ca="1" si="242"/>
        <v>0</v>
      </c>
      <c r="I1199" s="10">
        <f t="shared" ca="1" si="235"/>
        <v>0</v>
      </c>
      <c r="J1199" s="13">
        <f t="shared" ca="1" si="236"/>
        <v>0</v>
      </c>
      <c r="K1199" s="14">
        <f t="shared" ca="1" si="237"/>
        <v>450.20000000000005</v>
      </c>
      <c r="L1199" s="14">
        <f t="shared" ca="1" si="238"/>
        <v>0</v>
      </c>
      <c r="M1199" s="15">
        <f t="shared" ca="1" si="239"/>
        <v>450.20000000000005</v>
      </c>
      <c r="N1199" s="16">
        <f ca="1">SUM($M$9:M1199)/A1199</f>
        <v>338.96574307304797</v>
      </c>
      <c r="O1199" s="6"/>
    </row>
    <row r="1200" spans="1:15" x14ac:dyDescent="0.25">
      <c r="A1200" s="8">
        <v>1192</v>
      </c>
      <c r="B1200" s="9">
        <f t="shared" ca="1" si="231"/>
        <v>2251</v>
      </c>
      <c r="C1200" s="10">
        <f t="shared" ca="1" si="232"/>
        <v>0</v>
      </c>
      <c r="D1200" s="11">
        <f t="shared" ca="1" si="240"/>
        <v>0.94056605904814072</v>
      </c>
      <c r="E1200" s="9">
        <f t="shared" ca="1" si="241"/>
        <v>477</v>
      </c>
      <c r="F1200" s="9">
        <f t="shared" ca="1" si="233"/>
        <v>1774</v>
      </c>
      <c r="G1200" s="12" t="str">
        <f t="shared" ca="1" si="234"/>
        <v>No</v>
      </c>
      <c r="H1200" s="12">
        <f t="shared" ca="1" si="242"/>
        <v>0</v>
      </c>
      <c r="I1200" s="10">
        <f t="shared" ca="1" si="235"/>
        <v>0</v>
      </c>
      <c r="J1200" s="13">
        <f t="shared" ca="1" si="236"/>
        <v>0</v>
      </c>
      <c r="K1200" s="14">
        <f t="shared" ca="1" si="237"/>
        <v>354.8</v>
      </c>
      <c r="L1200" s="14">
        <f t="shared" ca="1" si="238"/>
        <v>0</v>
      </c>
      <c r="M1200" s="15">
        <f t="shared" ca="1" si="239"/>
        <v>354.8</v>
      </c>
      <c r="N1200" s="16">
        <f ca="1">SUM($M$9:M1200)/A1200</f>
        <v>338.97902684563769</v>
      </c>
      <c r="O1200" s="6"/>
    </row>
    <row r="1201" spans="1:15" x14ac:dyDescent="0.25">
      <c r="A1201" s="8">
        <v>1193</v>
      </c>
      <c r="B1201" s="9">
        <f t="shared" ca="1" si="231"/>
        <v>1774</v>
      </c>
      <c r="C1201" s="10">
        <f t="shared" ca="1" si="232"/>
        <v>0</v>
      </c>
      <c r="D1201" s="11">
        <f t="shared" ca="1" si="240"/>
        <v>0.51490580974537203</v>
      </c>
      <c r="E1201" s="9">
        <f t="shared" ca="1" si="241"/>
        <v>401</v>
      </c>
      <c r="F1201" s="9">
        <f t="shared" ca="1" si="233"/>
        <v>1373</v>
      </c>
      <c r="G1201" s="12" t="str">
        <f t="shared" ca="1" si="234"/>
        <v>No</v>
      </c>
      <c r="H1201" s="12">
        <f t="shared" ca="1" si="242"/>
        <v>0</v>
      </c>
      <c r="I1201" s="10">
        <f t="shared" ca="1" si="235"/>
        <v>0</v>
      </c>
      <c r="J1201" s="13">
        <f t="shared" ca="1" si="236"/>
        <v>0</v>
      </c>
      <c r="K1201" s="14">
        <f t="shared" ca="1" si="237"/>
        <v>274.60000000000002</v>
      </c>
      <c r="L1201" s="14">
        <f t="shared" ca="1" si="238"/>
        <v>0</v>
      </c>
      <c r="M1201" s="15">
        <f t="shared" ca="1" si="239"/>
        <v>274.60000000000002</v>
      </c>
      <c r="N1201" s="16">
        <f ca="1">SUM($M$9:M1201)/A1201</f>
        <v>338.92506286672261</v>
      </c>
      <c r="O1201" s="6"/>
    </row>
    <row r="1202" spans="1:15" x14ac:dyDescent="0.25">
      <c r="A1202" s="8">
        <v>1194</v>
      </c>
      <c r="B1202" s="9">
        <f t="shared" ca="1" si="231"/>
        <v>1373</v>
      </c>
      <c r="C1202" s="10">
        <f t="shared" ca="1" si="232"/>
        <v>0</v>
      </c>
      <c r="D1202" s="11">
        <f t="shared" ca="1" si="240"/>
        <v>5.5784906724222316E-2</v>
      </c>
      <c r="E1202" s="9">
        <f t="shared" ca="1" si="241"/>
        <v>320</v>
      </c>
      <c r="F1202" s="9">
        <f t="shared" ca="1" si="233"/>
        <v>1053</v>
      </c>
      <c r="G1202" s="12" t="str">
        <f t="shared" ca="1" si="234"/>
        <v>Yes</v>
      </c>
      <c r="H1202" s="12">
        <f t="shared" ca="1" si="242"/>
        <v>0.45859911028703693</v>
      </c>
      <c r="I1202" s="10">
        <f t="shared" ca="1" si="235"/>
        <v>1</v>
      </c>
      <c r="J1202" s="13">
        <f t="shared" ca="1" si="236"/>
        <v>300</v>
      </c>
      <c r="K1202" s="14">
        <f t="shared" ca="1" si="237"/>
        <v>210.60000000000002</v>
      </c>
      <c r="L1202" s="14">
        <f t="shared" ca="1" si="238"/>
        <v>0</v>
      </c>
      <c r="M1202" s="15">
        <f t="shared" ca="1" si="239"/>
        <v>510.6</v>
      </c>
      <c r="N1202" s="16">
        <f ca="1">SUM($M$9:M1202)/A1202</f>
        <v>339.06884422110556</v>
      </c>
      <c r="O1202" s="6"/>
    </row>
    <row r="1203" spans="1:15" x14ac:dyDescent="0.25">
      <c r="A1203" s="8">
        <v>1195</v>
      </c>
      <c r="B1203" s="9">
        <f t="shared" ca="1" si="231"/>
        <v>2853</v>
      </c>
      <c r="C1203" s="10">
        <f t="shared" ca="1" si="232"/>
        <v>1800</v>
      </c>
      <c r="D1203" s="11">
        <f t="shared" ca="1" si="240"/>
        <v>0.50288427895044241</v>
      </c>
      <c r="E1203" s="9">
        <f t="shared" ca="1" si="241"/>
        <v>400</v>
      </c>
      <c r="F1203" s="9">
        <f t="shared" ca="1" si="233"/>
        <v>2453</v>
      </c>
      <c r="G1203" s="12" t="str">
        <f t="shared" ca="1" si="234"/>
        <v>No</v>
      </c>
      <c r="H1203" s="12">
        <f t="shared" ca="1" si="242"/>
        <v>0</v>
      </c>
      <c r="I1203" s="10">
        <f t="shared" ca="1" si="235"/>
        <v>0</v>
      </c>
      <c r="J1203" s="13">
        <f t="shared" ca="1" si="236"/>
        <v>0</v>
      </c>
      <c r="K1203" s="14">
        <f t="shared" ca="1" si="237"/>
        <v>490.6</v>
      </c>
      <c r="L1203" s="14">
        <f t="shared" ca="1" si="238"/>
        <v>0</v>
      </c>
      <c r="M1203" s="15">
        <f t="shared" ca="1" si="239"/>
        <v>490.6</v>
      </c>
      <c r="N1203" s="16">
        <f ca="1">SUM($M$9:M1203)/A1203</f>
        <v>339.19564853556489</v>
      </c>
      <c r="O1203" s="6"/>
    </row>
    <row r="1204" spans="1:15" x14ac:dyDescent="0.25">
      <c r="A1204" s="8">
        <v>1196</v>
      </c>
      <c r="B1204" s="9">
        <f t="shared" ca="1" si="231"/>
        <v>2453</v>
      </c>
      <c r="C1204" s="10">
        <f t="shared" ca="1" si="232"/>
        <v>0</v>
      </c>
      <c r="D1204" s="11">
        <f t="shared" ca="1" si="240"/>
        <v>0.78910876177049094</v>
      </c>
      <c r="E1204" s="9">
        <f t="shared" ca="1" si="241"/>
        <v>440</v>
      </c>
      <c r="F1204" s="9">
        <f t="shared" ca="1" si="233"/>
        <v>2013</v>
      </c>
      <c r="G1204" s="12" t="str">
        <f t="shared" ca="1" si="234"/>
        <v>No</v>
      </c>
      <c r="H1204" s="12">
        <f t="shared" ca="1" si="242"/>
        <v>0</v>
      </c>
      <c r="I1204" s="10">
        <f t="shared" ca="1" si="235"/>
        <v>0</v>
      </c>
      <c r="J1204" s="13">
        <f t="shared" ca="1" si="236"/>
        <v>0</v>
      </c>
      <c r="K1204" s="14">
        <f t="shared" ca="1" si="237"/>
        <v>402.6</v>
      </c>
      <c r="L1204" s="14">
        <f t="shared" ca="1" si="238"/>
        <v>0</v>
      </c>
      <c r="M1204" s="15">
        <f t="shared" ca="1" si="239"/>
        <v>402.6</v>
      </c>
      <c r="N1204" s="16">
        <f ca="1">SUM($M$9:M1204)/A1204</f>
        <v>339.24866220735788</v>
      </c>
      <c r="O1204" s="6"/>
    </row>
    <row r="1205" spans="1:15" x14ac:dyDescent="0.25">
      <c r="A1205" s="8">
        <v>1197</v>
      </c>
      <c r="B1205" s="9">
        <f t="shared" ca="1" si="231"/>
        <v>2013</v>
      </c>
      <c r="C1205" s="10">
        <f t="shared" ca="1" si="232"/>
        <v>0</v>
      </c>
      <c r="D1205" s="11">
        <f t="shared" ca="1" si="240"/>
        <v>0.19148620699861918</v>
      </c>
      <c r="E1205" s="9">
        <f t="shared" ca="1" si="241"/>
        <v>356</v>
      </c>
      <c r="F1205" s="9">
        <f t="shared" ca="1" si="233"/>
        <v>1657</v>
      </c>
      <c r="G1205" s="12" t="str">
        <f t="shared" ca="1" si="234"/>
        <v>No</v>
      </c>
      <c r="H1205" s="12">
        <f t="shared" ca="1" si="242"/>
        <v>0</v>
      </c>
      <c r="I1205" s="10">
        <f t="shared" ca="1" si="235"/>
        <v>0</v>
      </c>
      <c r="J1205" s="13">
        <f t="shared" ca="1" si="236"/>
        <v>0</v>
      </c>
      <c r="K1205" s="14">
        <f t="shared" ca="1" si="237"/>
        <v>331.40000000000003</v>
      </c>
      <c r="L1205" s="14">
        <f t="shared" ca="1" si="238"/>
        <v>0</v>
      </c>
      <c r="M1205" s="15">
        <f t="shared" ca="1" si="239"/>
        <v>331.40000000000003</v>
      </c>
      <c r="N1205" s="16">
        <f ca="1">SUM($M$9:M1205)/A1205</f>
        <v>339.24210526315795</v>
      </c>
      <c r="O1205" s="6"/>
    </row>
    <row r="1206" spans="1:15" x14ac:dyDescent="0.25">
      <c r="A1206" s="8">
        <v>1198</v>
      </c>
      <c r="B1206" s="9">
        <f t="shared" ca="1" si="231"/>
        <v>1657</v>
      </c>
      <c r="C1206" s="10">
        <f t="shared" ca="1" si="232"/>
        <v>0</v>
      </c>
      <c r="D1206" s="11">
        <f t="shared" ca="1" si="240"/>
        <v>0.91204405027416369</v>
      </c>
      <c r="E1206" s="9">
        <f t="shared" ca="1" si="241"/>
        <v>467</v>
      </c>
      <c r="F1206" s="9">
        <f t="shared" ca="1" si="233"/>
        <v>1190</v>
      </c>
      <c r="G1206" s="12" t="str">
        <f t="shared" ca="1" si="234"/>
        <v>No</v>
      </c>
      <c r="H1206" s="12">
        <f t="shared" ca="1" si="242"/>
        <v>0</v>
      </c>
      <c r="I1206" s="10">
        <f t="shared" ca="1" si="235"/>
        <v>0</v>
      </c>
      <c r="J1206" s="13">
        <f t="shared" ca="1" si="236"/>
        <v>0</v>
      </c>
      <c r="K1206" s="14">
        <f t="shared" ca="1" si="237"/>
        <v>238</v>
      </c>
      <c r="L1206" s="14">
        <f t="shared" ca="1" si="238"/>
        <v>0</v>
      </c>
      <c r="M1206" s="15">
        <f t="shared" ca="1" si="239"/>
        <v>238</v>
      </c>
      <c r="N1206" s="16">
        <f ca="1">SUM($M$9:M1206)/A1206</f>
        <v>339.15759599332222</v>
      </c>
      <c r="O1206" s="6"/>
    </row>
    <row r="1207" spans="1:15" x14ac:dyDescent="0.25">
      <c r="A1207" s="8">
        <v>1199</v>
      </c>
      <c r="B1207" s="9">
        <f t="shared" ca="1" si="231"/>
        <v>1190</v>
      </c>
      <c r="C1207" s="10">
        <f t="shared" ca="1" si="232"/>
        <v>0</v>
      </c>
      <c r="D1207" s="11">
        <f t="shared" ca="1" si="240"/>
        <v>9.0541732301810951E-3</v>
      </c>
      <c r="E1207" s="9">
        <f t="shared" ca="1" si="241"/>
        <v>281</v>
      </c>
      <c r="F1207" s="9">
        <f t="shared" ca="1" si="233"/>
        <v>909</v>
      </c>
      <c r="G1207" s="12" t="str">
        <f t="shared" ca="1" si="234"/>
        <v>Yes</v>
      </c>
      <c r="H1207" s="12">
        <f t="shared" ca="1" si="242"/>
        <v>0.31653952937286123</v>
      </c>
      <c r="I1207" s="10">
        <f t="shared" ca="1" si="235"/>
        <v>1</v>
      </c>
      <c r="J1207" s="13">
        <f t="shared" ca="1" si="236"/>
        <v>300</v>
      </c>
      <c r="K1207" s="14">
        <f t="shared" ca="1" si="237"/>
        <v>181.8</v>
      </c>
      <c r="L1207" s="14">
        <f t="shared" ca="1" si="238"/>
        <v>0</v>
      </c>
      <c r="M1207" s="15">
        <f t="shared" ca="1" si="239"/>
        <v>481.8</v>
      </c>
      <c r="N1207" s="16">
        <f ca="1">SUM($M$9:M1207)/A1207</f>
        <v>339.27656380316932</v>
      </c>
      <c r="O1207" s="6"/>
    </row>
    <row r="1208" spans="1:15" x14ac:dyDescent="0.25">
      <c r="A1208" s="8">
        <v>1200</v>
      </c>
      <c r="B1208" s="9">
        <f t="shared" ca="1" si="231"/>
        <v>2709</v>
      </c>
      <c r="C1208" s="10">
        <f t="shared" ca="1" si="232"/>
        <v>1800</v>
      </c>
      <c r="D1208" s="11">
        <f t="shared" ca="1" si="240"/>
        <v>0.81552945757726614</v>
      </c>
      <c r="E1208" s="9">
        <f t="shared" ca="1" si="241"/>
        <v>444</v>
      </c>
      <c r="F1208" s="9">
        <f t="shared" ca="1" si="233"/>
        <v>2265</v>
      </c>
      <c r="G1208" s="12" t="str">
        <f t="shared" ca="1" si="234"/>
        <v>No</v>
      </c>
      <c r="H1208" s="12">
        <f t="shared" ca="1" si="242"/>
        <v>0</v>
      </c>
      <c r="I1208" s="10">
        <f t="shared" ca="1" si="235"/>
        <v>0</v>
      </c>
      <c r="J1208" s="13">
        <f t="shared" ca="1" si="236"/>
        <v>0</v>
      </c>
      <c r="K1208" s="14">
        <f t="shared" ca="1" si="237"/>
        <v>453</v>
      </c>
      <c r="L1208" s="14">
        <f t="shared" ca="1" si="238"/>
        <v>0</v>
      </c>
      <c r="M1208" s="15">
        <f t="shared" ca="1" si="239"/>
        <v>453</v>
      </c>
      <c r="N1208" s="16">
        <f ca="1">SUM($M$9:M1208)/A1208</f>
        <v>339.37133333333338</v>
      </c>
      <c r="O1208" s="6"/>
    </row>
    <row r="1209" spans="1:15" x14ac:dyDescent="0.25">
      <c r="A1209" s="8">
        <v>1201</v>
      </c>
      <c r="B1209" s="9">
        <f t="shared" ca="1" si="231"/>
        <v>2265</v>
      </c>
      <c r="C1209" s="10">
        <f t="shared" ca="1" si="232"/>
        <v>0</v>
      </c>
      <c r="D1209" s="11">
        <f t="shared" ca="1" si="240"/>
        <v>0.36475382164818759</v>
      </c>
      <c r="E1209" s="9">
        <f t="shared" ca="1" si="241"/>
        <v>382</v>
      </c>
      <c r="F1209" s="9">
        <f t="shared" ca="1" si="233"/>
        <v>1883</v>
      </c>
      <c r="G1209" s="12" t="str">
        <f t="shared" ca="1" si="234"/>
        <v>No</v>
      </c>
      <c r="H1209" s="12">
        <f t="shared" ca="1" si="242"/>
        <v>0</v>
      </c>
      <c r="I1209" s="10">
        <f t="shared" ca="1" si="235"/>
        <v>0</v>
      </c>
      <c r="J1209" s="13">
        <f t="shared" ca="1" si="236"/>
        <v>0</v>
      </c>
      <c r="K1209" s="14">
        <f t="shared" ca="1" si="237"/>
        <v>376.6</v>
      </c>
      <c r="L1209" s="14">
        <f t="shared" ca="1" si="238"/>
        <v>0</v>
      </c>
      <c r="M1209" s="15">
        <f t="shared" ca="1" si="239"/>
        <v>376.6</v>
      </c>
      <c r="N1209" s="16">
        <f ca="1">SUM($M$9:M1209)/A1209</f>
        <v>339.40233139050792</v>
      </c>
      <c r="O1209" s="6"/>
    </row>
    <row r="1210" spans="1:15" x14ac:dyDescent="0.25">
      <c r="A1210" s="8">
        <v>1202</v>
      </c>
      <c r="B1210" s="9">
        <f t="shared" ca="1" si="231"/>
        <v>1883</v>
      </c>
      <c r="C1210" s="10">
        <f t="shared" ca="1" si="232"/>
        <v>0</v>
      </c>
      <c r="D1210" s="11">
        <f t="shared" ca="1" si="240"/>
        <v>0.11588589651339276</v>
      </c>
      <c r="E1210" s="9">
        <f t="shared" ca="1" si="241"/>
        <v>340</v>
      </c>
      <c r="F1210" s="9">
        <f t="shared" ca="1" si="233"/>
        <v>1543</v>
      </c>
      <c r="G1210" s="12" t="str">
        <f t="shared" ca="1" si="234"/>
        <v>No</v>
      </c>
      <c r="H1210" s="12">
        <f t="shared" ca="1" si="242"/>
        <v>0</v>
      </c>
      <c r="I1210" s="10">
        <f t="shared" ca="1" si="235"/>
        <v>0</v>
      </c>
      <c r="J1210" s="13">
        <f t="shared" ca="1" si="236"/>
        <v>0</v>
      </c>
      <c r="K1210" s="14">
        <f t="shared" ca="1" si="237"/>
        <v>308.60000000000002</v>
      </c>
      <c r="L1210" s="14">
        <f t="shared" ca="1" si="238"/>
        <v>0</v>
      </c>
      <c r="M1210" s="15">
        <f t="shared" ca="1" si="239"/>
        <v>308.60000000000002</v>
      </c>
      <c r="N1210" s="16">
        <f ca="1">SUM($M$9:M1210)/A1210</f>
        <v>339.37670549084856</v>
      </c>
      <c r="O1210" s="6"/>
    </row>
    <row r="1211" spans="1:15" x14ac:dyDescent="0.25">
      <c r="A1211" s="8">
        <v>1203</v>
      </c>
      <c r="B1211" s="9">
        <f t="shared" ca="1" si="231"/>
        <v>1543</v>
      </c>
      <c r="C1211" s="10">
        <f t="shared" ca="1" si="232"/>
        <v>0</v>
      </c>
      <c r="D1211" s="11">
        <f t="shared" ca="1" si="240"/>
        <v>0.42960812295517758</v>
      </c>
      <c r="E1211" s="9">
        <f t="shared" ca="1" si="241"/>
        <v>391</v>
      </c>
      <c r="F1211" s="9">
        <f t="shared" ca="1" si="233"/>
        <v>1152</v>
      </c>
      <c r="G1211" s="12" t="str">
        <f t="shared" ca="1" si="234"/>
        <v>No</v>
      </c>
      <c r="H1211" s="12">
        <f t="shared" ca="1" si="242"/>
        <v>0</v>
      </c>
      <c r="I1211" s="10">
        <f t="shared" ca="1" si="235"/>
        <v>0</v>
      </c>
      <c r="J1211" s="13">
        <f t="shared" ca="1" si="236"/>
        <v>0</v>
      </c>
      <c r="K1211" s="14">
        <f t="shared" ca="1" si="237"/>
        <v>230.4</v>
      </c>
      <c r="L1211" s="14">
        <f t="shared" ca="1" si="238"/>
        <v>0</v>
      </c>
      <c r="M1211" s="15">
        <f t="shared" ca="1" si="239"/>
        <v>230.4</v>
      </c>
      <c r="N1211" s="16">
        <f ca="1">SUM($M$9:M1211)/A1211</f>
        <v>339.28611803823776</v>
      </c>
      <c r="O1211" s="6"/>
    </row>
    <row r="1212" spans="1:15" x14ac:dyDescent="0.25">
      <c r="A1212" s="8">
        <v>1204</v>
      </c>
      <c r="B1212" s="9">
        <f t="shared" ca="1" si="231"/>
        <v>1152</v>
      </c>
      <c r="C1212" s="10">
        <f t="shared" ca="1" si="232"/>
        <v>0</v>
      </c>
      <c r="D1212" s="11">
        <f t="shared" ca="1" si="240"/>
        <v>0.50569424751238101</v>
      </c>
      <c r="E1212" s="9">
        <f t="shared" ca="1" si="241"/>
        <v>400</v>
      </c>
      <c r="F1212" s="9">
        <f t="shared" ca="1" si="233"/>
        <v>752</v>
      </c>
      <c r="G1212" s="12" t="str">
        <f t="shared" ca="1" si="234"/>
        <v>Yes</v>
      </c>
      <c r="H1212" s="12">
        <f t="shared" ca="1" si="242"/>
        <v>0.21695066527298268</v>
      </c>
      <c r="I1212" s="10">
        <f t="shared" ca="1" si="235"/>
        <v>1</v>
      </c>
      <c r="J1212" s="13">
        <f t="shared" ca="1" si="236"/>
        <v>300</v>
      </c>
      <c r="K1212" s="14">
        <f t="shared" ca="1" si="237"/>
        <v>150.4</v>
      </c>
      <c r="L1212" s="14">
        <f t="shared" ca="1" si="238"/>
        <v>0</v>
      </c>
      <c r="M1212" s="15">
        <f t="shared" ca="1" si="239"/>
        <v>450.4</v>
      </c>
      <c r="N1212" s="16">
        <f ca="1">SUM($M$9:M1212)/A1212</f>
        <v>339.37840531561466</v>
      </c>
      <c r="O1212" s="6"/>
    </row>
    <row r="1213" spans="1:15" x14ac:dyDescent="0.25">
      <c r="A1213" s="8">
        <v>1205</v>
      </c>
      <c r="B1213" s="9">
        <f t="shared" ref="B1213:B1276" ca="1" si="243">IF(I1212=1,F1212+Quantity,F1212)</f>
        <v>2552</v>
      </c>
      <c r="C1213" s="10">
        <f t="shared" ref="C1213:C1276" ca="1" si="244">IF(I1212=1,Quantity,0)</f>
        <v>1800</v>
      </c>
      <c r="D1213" s="11">
        <f t="shared" ca="1" si="240"/>
        <v>0.95356634555571351</v>
      </c>
      <c r="E1213" s="9">
        <f t="shared" ca="1" si="241"/>
        <v>484</v>
      </c>
      <c r="F1213" s="9">
        <f t="shared" ref="F1213:F1276" ca="1" si="245">IF(B1213+C1213-E1213&lt;0,0,B1213-E1213)</f>
        <v>2068</v>
      </c>
      <c r="G1213" s="12" t="str">
        <f t="shared" ref="G1213:G1276" ca="1" si="246">IF(B1213&lt;Point,IF(I1212=0,"Yes","No"),"No")</f>
        <v>No</v>
      </c>
      <c r="H1213" s="12">
        <f t="shared" ca="1" si="242"/>
        <v>0</v>
      </c>
      <c r="I1213" s="10">
        <f t="shared" ref="I1213:I1276" ca="1" si="247">IF(I1212&gt;0,I1212-1,(IF(G1213="Yes",(VLOOKUP(H1213,LTD,3)),0)))</f>
        <v>0</v>
      </c>
      <c r="J1213" s="13">
        <f t="shared" ref="J1213:J1276" ca="1" si="248">IF(G1213="Yes",Order_Cost,0)</f>
        <v>0</v>
      </c>
      <c r="K1213" s="14">
        <f t="shared" ref="K1213:K1276" ca="1" si="249">F1213*Holding_Cost</f>
        <v>413.6</v>
      </c>
      <c r="L1213" s="14">
        <f t="shared" ref="L1213:L1276" ca="1" si="250">IF(B1213+C1213&lt;E1213,Shortage_Cost*(E1213-B1213-C1213),0)</f>
        <v>0</v>
      </c>
      <c r="M1213" s="15">
        <f t="shared" ref="M1213:M1276" ca="1" si="251">SUM(J1213:L1213)</f>
        <v>413.6</v>
      </c>
      <c r="N1213" s="16">
        <f ca="1">SUM($M$9:M1213)/A1213</f>
        <v>339.44</v>
      </c>
      <c r="O1213" s="6"/>
    </row>
    <row r="1214" spans="1:15" x14ac:dyDescent="0.25">
      <c r="A1214" s="8">
        <v>1206</v>
      </c>
      <c r="B1214" s="9">
        <f t="shared" ca="1" si="243"/>
        <v>2068</v>
      </c>
      <c r="C1214" s="10">
        <f t="shared" ca="1" si="244"/>
        <v>0</v>
      </c>
      <c r="D1214" s="11">
        <f t="shared" ca="1" si="240"/>
        <v>0.16334292944464301</v>
      </c>
      <c r="E1214" s="9">
        <f t="shared" ca="1" si="241"/>
        <v>350</v>
      </c>
      <c r="F1214" s="9">
        <f t="shared" ca="1" si="245"/>
        <v>1718</v>
      </c>
      <c r="G1214" s="12" t="str">
        <f t="shared" ca="1" si="246"/>
        <v>No</v>
      </c>
      <c r="H1214" s="12">
        <f t="shared" ca="1" si="242"/>
        <v>0</v>
      </c>
      <c r="I1214" s="10">
        <f t="shared" ca="1" si="247"/>
        <v>0</v>
      </c>
      <c r="J1214" s="13">
        <f t="shared" ca="1" si="248"/>
        <v>0</v>
      </c>
      <c r="K1214" s="14">
        <f t="shared" ca="1" si="249"/>
        <v>343.6</v>
      </c>
      <c r="L1214" s="14">
        <f t="shared" ca="1" si="250"/>
        <v>0</v>
      </c>
      <c r="M1214" s="15">
        <f t="shared" ca="1" si="251"/>
        <v>343.6</v>
      </c>
      <c r="N1214" s="16">
        <f ca="1">SUM($M$9:M1214)/A1214</f>
        <v>339.44344941956882</v>
      </c>
      <c r="O1214" s="6"/>
    </row>
    <row r="1215" spans="1:15" x14ac:dyDescent="0.25">
      <c r="A1215" s="8">
        <v>1207</v>
      </c>
      <c r="B1215" s="9">
        <f t="shared" ca="1" si="243"/>
        <v>1718</v>
      </c>
      <c r="C1215" s="10">
        <f t="shared" ca="1" si="244"/>
        <v>0</v>
      </c>
      <c r="D1215" s="11">
        <f t="shared" ca="1" si="240"/>
        <v>0.36158730139410356</v>
      </c>
      <c r="E1215" s="9">
        <f t="shared" ca="1" si="241"/>
        <v>382</v>
      </c>
      <c r="F1215" s="9">
        <f t="shared" ca="1" si="245"/>
        <v>1336</v>
      </c>
      <c r="G1215" s="12" t="str">
        <f t="shared" ca="1" si="246"/>
        <v>No</v>
      </c>
      <c r="H1215" s="12">
        <f t="shared" ca="1" si="242"/>
        <v>0</v>
      </c>
      <c r="I1215" s="10">
        <f t="shared" ca="1" si="247"/>
        <v>0</v>
      </c>
      <c r="J1215" s="13">
        <f t="shared" ca="1" si="248"/>
        <v>0</v>
      </c>
      <c r="K1215" s="14">
        <f t="shared" ca="1" si="249"/>
        <v>267.2</v>
      </c>
      <c r="L1215" s="14">
        <f t="shared" ca="1" si="250"/>
        <v>0</v>
      </c>
      <c r="M1215" s="15">
        <f t="shared" ca="1" si="251"/>
        <v>267.2</v>
      </c>
      <c r="N1215" s="16">
        <f ca="1">SUM($M$9:M1215)/A1215</f>
        <v>339.38359569179784</v>
      </c>
      <c r="O1215" s="6"/>
    </row>
    <row r="1216" spans="1:15" x14ac:dyDescent="0.25">
      <c r="A1216" s="8">
        <v>1208</v>
      </c>
      <c r="B1216" s="9">
        <f t="shared" ca="1" si="243"/>
        <v>1336</v>
      </c>
      <c r="C1216" s="10">
        <f t="shared" ca="1" si="244"/>
        <v>0</v>
      </c>
      <c r="D1216" s="11">
        <f t="shared" ca="1" si="240"/>
        <v>0.90954612746776409</v>
      </c>
      <c r="E1216" s="9">
        <f t="shared" ca="1" si="241"/>
        <v>466</v>
      </c>
      <c r="F1216" s="9">
        <f t="shared" ca="1" si="245"/>
        <v>870</v>
      </c>
      <c r="G1216" s="12" t="str">
        <f t="shared" ca="1" si="246"/>
        <v>Yes</v>
      </c>
      <c r="H1216" s="12">
        <f t="shared" ca="1" si="242"/>
        <v>0.34090299485498943</v>
      </c>
      <c r="I1216" s="10">
        <f t="shared" ca="1" si="247"/>
        <v>1</v>
      </c>
      <c r="J1216" s="13">
        <f t="shared" ca="1" si="248"/>
        <v>300</v>
      </c>
      <c r="K1216" s="14">
        <f t="shared" ca="1" si="249"/>
        <v>174</v>
      </c>
      <c r="L1216" s="14">
        <f t="shared" ca="1" si="250"/>
        <v>0</v>
      </c>
      <c r="M1216" s="15">
        <f t="shared" ca="1" si="251"/>
        <v>474</v>
      </c>
      <c r="N1216" s="16">
        <f ca="1">SUM($M$9:M1216)/A1216</f>
        <v>339.4950331125828</v>
      </c>
      <c r="O1216" s="6"/>
    </row>
    <row r="1217" spans="1:15" x14ac:dyDescent="0.25">
      <c r="A1217" s="8">
        <v>1209</v>
      </c>
      <c r="B1217" s="9">
        <f t="shared" ca="1" si="243"/>
        <v>2670</v>
      </c>
      <c r="C1217" s="10">
        <f t="shared" ca="1" si="244"/>
        <v>1800</v>
      </c>
      <c r="D1217" s="11">
        <f t="shared" ca="1" si="240"/>
        <v>0.31234757876196295</v>
      </c>
      <c r="E1217" s="9">
        <f t="shared" ca="1" si="241"/>
        <v>375</v>
      </c>
      <c r="F1217" s="9">
        <f t="shared" ca="1" si="245"/>
        <v>2295</v>
      </c>
      <c r="G1217" s="12" t="str">
        <f t="shared" ca="1" si="246"/>
        <v>No</v>
      </c>
      <c r="H1217" s="12">
        <f t="shared" ca="1" si="242"/>
        <v>0</v>
      </c>
      <c r="I1217" s="10">
        <f t="shared" ca="1" si="247"/>
        <v>0</v>
      </c>
      <c r="J1217" s="13">
        <f t="shared" ca="1" si="248"/>
        <v>0</v>
      </c>
      <c r="K1217" s="14">
        <f t="shared" ca="1" si="249"/>
        <v>459</v>
      </c>
      <c r="L1217" s="14">
        <f t="shared" ca="1" si="250"/>
        <v>0</v>
      </c>
      <c r="M1217" s="15">
        <f t="shared" ca="1" si="251"/>
        <v>459</v>
      </c>
      <c r="N1217" s="16">
        <f ca="1">SUM($M$9:M1217)/A1217</f>
        <v>339.59387923904052</v>
      </c>
      <c r="O1217" s="6"/>
    </row>
    <row r="1218" spans="1:15" x14ac:dyDescent="0.25">
      <c r="A1218" s="8">
        <v>1210</v>
      </c>
      <c r="B1218" s="9">
        <f t="shared" ca="1" si="243"/>
        <v>2295</v>
      </c>
      <c r="C1218" s="10">
        <f t="shared" ca="1" si="244"/>
        <v>0</v>
      </c>
      <c r="D1218" s="11">
        <f t="shared" ca="1" si="240"/>
        <v>0.52569035751595206</v>
      </c>
      <c r="E1218" s="9">
        <f t="shared" ca="1" si="241"/>
        <v>403</v>
      </c>
      <c r="F1218" s="9">
        <f t="shared" ca="1" si="245"/>
        <v>1892</v>
      </c>
      <c r="G1218" s="12" t="str">
        <f t="shared" ca="1" si="246"/>
        <v>No</v>
      </c>
      <c r="H1218" s="12">
        <f t="shared" ca="1" si="242"/>
        <v>0</v>
      </c>
      <c r="I1218" s="10">
        <f t="shared" ca="1" si="247"/>
        <v>0</v>
      </c>
      <c r="J1218" s="13">
        <f t="shared" ca="1" si="248"/>
        <v>0</v>
      </c>
      <c r="K1218" s="14">
        <f t="shared" ca="1" si="249"/>
        <v>378.40000000000003</v>
      </c>
      <c r="L1218" s="14">
        <f t="shared" ca="1" si="250"/>
        <v>0</v>
      </c>
      <c r="M1218" s="15">
        <f t="shared" ca="1" si="251"/>
        <v>378.40000000000003</v>
      </c>
      <c r="N1218" s="16">
        <f ca="1">SUM($M$9:M1218)/A1218</f>
        <v>339.62595041322317</v>
      </c>
      <c r="O1218" s="6"/>
    </row>
    <row r="1219" spans="1:15" x14ac:dyDescent="0.25">
      <c r="A1219" s="8">
        <v>1211</v>
      </c>
      <c r="B1219" s="9">
        <f t="shared" ca="1" si="243"/>
        <v>1892</v>
      </c>
      <c r="C1219" s="10">
        <f t="shared" ca="1" si="244"/>
        <v>0</v>
      </c>
      <c r="D1219" s="11">
        <f t="shared" ca="1" si="240"/>
        <v>9.5633212571423543E-2</v>
      </c>
      <c r="E1219" s="9">
        <f t="shared" ca="1" si="241"/>
        <v>334</v>
      </c>
      <c r="F1219" s="9">
        <f t="shared" ca="1" si="245"/>
        <v>1558</v>
      </c>
      <c r="G1219" s="12" t="str">
        <f t="shared" ca="1" si="246"/>
        <v>No</v>
      </c>
      <c r="H1219" s="12">
        <f t="shared" ca="1" si="242"/>
        <v>0</v>
      </c>
      <c r="I1219" s="10">
        <f t="shared" ca="1" si="247"/>
        <v>0</v>
      </c>
      <c r="J1219" s="13">
        <f t="shared" ca="1" si="248"/>
        <v>0</v>
      </c>
      <c r="K1219" s="14">
        <f t="shared" ca="1" si="249"/>
        <v>311.60000000000002</v>
      </c>
      <c r="L1219" s="14">
        <f t="shared" ca="1" si="250"/>
        <v>0</v>
      </c>
      <c r="M1219" s="15">
        <f t="shared" ca="1" si="251"/>
        <v>311.60000000000002</v>
      </c>
      <c r="N1219" s="16">
        <f ca="1">SUM($M$9:M1219)/A1219</f>
        <v>339.60280759702727</v>
      </c>
      <c r="O1219" s="6"/>
    </row>
    <row r="1220" spans="1:15" x14ac:dyDescent="0.25">
      <c r="A1220" s="8">
        <v>1212</v>
      </c>
      <c r="B1220" s="9">
        <f t="shared" ca="1" si="243"/>
        <v>1558</v>
      </c>
      <c r="C1220" s="10">
        <f t="shared" ca="1" si="244"/>
        <v>0</v>
      </c>
      <c r="D1220" s="11">
        <f t="shared" ca="1" si="240"/>
        <v>8.9967950796905116E-2</v>
      </c>
      <c r="E1220" s="9">
        <f t="shared" ca="1" si="241"/>
        <v>332</v>
      </c>
      <c r="F1220" s="9">
        <f t="shared" ca="1" si="245"/>
        <v>1226</v>
      </c>
      <c r="G1220" s="12" t="str">
        <f t="shared" ca="1" si="246"/>
        <v>No</v>
      </c>
      <c r="H1220" s="12">
        <f t="shared" ca="1" si="242"/>
        <v>0</v>
      </c>
      <c r="I1220" s="10">
        <f t="shared" ca="1" si="247"/>
        <v>0</v>
      </c>
      <c r="J1220" s="13">
        <f t="shared" ca="1" si="248"/>
        <v>0</v>
      </c>
      <c r="K1220" s="14">
        <f t="shared" ca="1" si="249"/>
        <v>245.20000000000002</v>
      </c>
      <c r="L1220" s="14">
        <f t="shared" ca="1" si="250"/>
        <v>0</v>
      </c>
      <c r="M1220" s="15">
        <f t="shared" ca="1" si="251"/>
        <v>245.20000000000002</v>
      </c>
      <c r="N1220" s="16">
        <f ca="1">SUM($M$9:M1220)/A1220</f>
        <v>339.52491749174919</v>
      </c>
      <c r="O1220" s="6"/>
    </row>
    <row r="1221" spans="1:15" x14ac:dyDescent="0.25">
      <c r="A1221" s="8">
        <v>1213</v>
      </c>
      <c r="B1221" s="9">
        <f t="shared" ca="1" si="243"/>
        <v>1226</v>
      </c>
      <c r="C1221" s="10">
        <f t="shared" ca="1" si="244"/>
        <v>0</v>
      </c>
      <c r="D1221" s="11">
        <f t="shared" ca="1" si="240"/>
        <v>0.40151747666041193</v>
      </c>
      <c r="E1221" s="9">
        <f t="shared" ca="1" si="241"/>
        <v>387</v>
      </c>
      <c r="F1221" s="9">
        <f t="shared" ca="1" si="245"/>
        <v>839</v>
      </c>
      <c r="G1221" s="12" t="str">
        <f t="shared" ca="1" si="246"/>
        <v>Yes</v>
      </c>
      <c r="H1221" s="12">
        <f t="shared" ca="1" si="242"/>
        <v>0.73787462586460217</v>
      </c>
      <c r="I1221" s="10">
        <f t="shared" ca="1" si="247"/>
        <v>2</v>
      </c>
      <c r="J1221" s="13">
        <f t="shared" ca="1" si="248"/>
        <v>300</v>
      </c>
      <c r="K1221" s="14">
        <f t="shared" ca="1" si="249"/>
        <v>167.8</v>
      </c>
      <c r="L1221" s="14">
        <f t="shared" ca="1" si="250"/>
        <v>0</v>
      </c>
      <c r="M1221" s="15">
        <f t="shared" ca="1" si="251"/>
        <v>467.8</v>
      </c>
      <c r="N1221" s="16">
        <f ca="1">SUM($M$9:M1221)/A1221</f>
        <v>339.63066776586976</v>
      </c>
      <c r="O1221" s="6"/>
    </row>
    <row r="1222" spans="1:15" x14ac:dyDescent="0.25">
      <c r="A1222" s="8">
        <v>1214</v>
      </c>
      <c r="B1222" s="9">
        <f t="shared" ca="1" si="243"/>
        <v>839</v>
      </c>
      <c r="C1222" s="10">
        <f t="shared" ca="1" si="244"/>
        <v>0</v>
      </c>
      <c r="D1222" s="11">
        <f t="shared" ca="1" si="240"/>
        <v>0.37626692746006285</v>
      </c>
      <c r="E1222" s="9">
        <f t="shared" ca="1" si="241"/>
        <v>384</v>
      </c>
      <c r="F1222" s="9">
        <f t="shared" ca="1" si="245"/>
        <v>455</v>
      </c>
      <c r="G1222" s="12" t="str">
        <f t="shared" ca="1" si="246"/>
        <v>No</v>
      </c>
      <c r="H1222" s="12">
        <f t="shared" ca="1" si="242"/>
        <v>0</v>
      </c>
      <c r="I1222" s="10">
        <f t="shared" ca="1" si="247"/>
        <v>1</v>
      </c>
      <c r="J1222" s="13">
        <f t="shared" ca="1" si="248"/>
        <v>0</v>
      </c>
      <c r="K1222" s="14">
        <f t="shared" ca="1" si="249"/>
        <v>91</v>
      </c>
      <c r="L1222" s="14">
        <f t="shared" ca="1" si="250"/>
        <v>0</v>
      </c>
      <c r="M1222" s="15">
        <f t="shared" ca="1" si="251"/>
        <v>91</v>
      </c>
      <c r="N1222" s="16">
        <f ca="1">SUM($M$9:M1222)/A1222</f>
        <v>339.42586490939044</v>
      </c>
      <c r="O1222" s="6"/>
    </row>
    <row r="1223" spans="1:15" x14ac:dyDescent="0.25">
      <c r="A1223" s="8">
        <v>1215</v>
      </c>
      <c r="B1223" s="9">
        <f t="shared" ca="1" si="243"/>
        <v>2255</v>
      </c>
      <c r="C1223" s="10">
        <f t="shared" ca="1" si="244"/>
        <v>1800</v>
      </c>
      <c r="D1223" s="11">
        <f t="shared" ca="1" si="240"/>
        <v>0.62465743416602248</v>
      </c>
      <c r="E1223" s="9">
        <f t="shared" ca="1" si="241"/>
        <v>415</v>
      </c>
      <c r="F1223" s="9">
        <f t="shared" ca="1" si="245"/>
        <v>1840</v>
      </c>
      <c r="G1223" s="12" t="str">
        <f t="shared" ca="1" si="246"/>
        <v>No</v>
      </c>
      <c r="H1223" s="12">
        <f t="shared" ca="1" si="242"/>
        <v>0</v>
      </c>
      <c r="I1223" s="10">
        <f t="shared" ca="1" si="247"/>
        <v>0</v>
      </c>
      <c r="J1223" s="13">
        <f t="shared" ca="1" si="248"/>
        <v>0</v>
      </c>
      <c r="K1223" s="14">
        <f t="shared" ca="1" si="249"/>
        <v>368</v>
      </c>
      <c r="L1223" s="14">
        <f t="shared" ca="1" si="250"/>
        <v>0</v>
      </c>
      <c r="M1223" s="15">
        <f t="shared" ca="1" si="251"/>
        <v>368</v>
      </c>
      <c r="N1223" s="16">
        <f ca="1">SUM($M$9:M1223)/A1223</f>
        <v>339.4493827160494</v>
      </c>
      <c r="O1223" s="6"/>
    </row>
    <row r="1224" spans="1:15" x14ac:dyDescent="0.25">
      <c r="A1224" s="8">
        <v>1216</v>
      </c>
      <c r="B1224" s="9">
        <f t="shared" ca="1" si="243"/>
        <v>1840</v>
      </c>
      <c r="C1224" s="10">
        <f t="shared" ca="1" si="244"/>
        <v>0</v>
      </c>
      <c r="D1224" s="11">
        <f t="shared" ca="1" si="240"/>
        <v>0.98138415802700529</v>
      </c>
      <c r="E1224" s="9">
        <f t="shared" ca="1" si="241"/>
        <v>504</v>
      </c>
      <c r="F1224" s="9">
        <f t="shared" ca="1" si="245"/>
        <v>1336</v>
      </c>
      <c r="G1224" s="12" t="str">
        <f t="shared" ca="1" si="246"/>
        <v>No</v>
      </c>
      <c r="H1224" s="12">
        <f t="shared" ca="1" si="242"/>
        <v>0</v>
      </c>
      <c r="I1224" s="10">
        <f t="shared" ca="1" si="247"/>
        <v>0</v>
      </c>
      <c r="J1224" s="13">
        <f t="shared" ca="1" si="248"/>
        <v>0</v>
      </c>
      <c r="K1224" s="14">
        <f t="shared" ca="1" si="249"/>
        <v>267.2</v>
      </c>
      <c r="L1224" s="14">
        <f t="shared" ca="1" si="250"/>
        <v>0</v>
      </c>
      <c r="M1224" s="15">
        <f t="shared" ca="1" si="251"/>
        <v>267.2</v>
      </c>
      <c r="N1224" s="16">
        <f ca="1">SUM($M$9:M1224)/A1224</f>
        <v>339.38996710526317</v>
      </c>
      <c r="O1224" s="6"/>
    </row>
    <row r="1225" spans="1:15" x14ac:dyDescent="0.25">
      <c r="A1225" s="8">
        <v>1217</v>
      </c>
      <c r="B1225" s="9">
        <f t="shared" ca="1" si="243"/>
        <v>1336</v>
      </c>
      <c r="C1225" s="10">
        <f t="shared" ca="1" si="244"/>
        <v>0</v>
      </c>
      <c r="D1225" s="11">
        <f t="shared" ca="1" si="240"/>
        <v>0.63247856287619264</v>
      </c>
      <c r="E1225" s="9">
        <f t="shared" ca="1" si="241"/>
        <v>416</v>
      </c>
      <c r="F1225" s="9">
        <f t="shared" ca="1" si="245"/>
        <v>920</v>
      </c>
      <c r="G1225" s="12" t="str">
        <f t="shared" ca="1" si="246"/>
        <v>Yes</v>
      </c>
      <c r="H1225" s="12">
        <f t="shared" ca="1" si="242"/>
        <v>0.26637164116976619</v>
      </c>
      <c r="I1225" s="10">
        <f t="shared" ca="1" si="247"/>
        <v>1</v>
      </c>
      <c r="J1225" s="13">
        <f t="shared" ca="1" si="248"/>
        <v>300</v>
      </c>
      <c r="K1225" s="14">
        <f t="shared" ca="1" si="249"/>
        <v>184</v>
      </c>
      <c r="L1225" s="14">
        <f t="shared" ca="1" si="250"/>
        <v>0</v>
      </c>
      <c r="M1225" s="15">
        <f t="shared" ca="1" si="251"/>
        <v>484</v>
      </c>
      <c r="N1225" s="16">
        <f ca="1">SUM($M$9:M1225)/A1225</f>
        <v>339.50879211175021</v>
      </c>
      <c r="O1225" s="6"/>
    </row>
    <row r="1226" spans="1:15" x14ac:dyDescent="0.25">
      <c r="A1226" s="8">
        <v>1218</v>
      </c>
      <c r="B1226" s="9">
        <f t="shared" ca="1" si="243"/>
        <v>2720</v>
      </c>
      <c r="C1226" s="10">
        <f t="shared" ca="1" si="244"/>
        <v>1800</v>
      </c>
      <c r="D1226" s="11">
        <f t="shared" ref="D1226:D1289" ca="1" si="252">RAND()</f>
        <v>0.95243727149895518</v>
      </c>
      <c r="E1226" s="9">
        <f t="shared" ref="E1226:E1289" ca="1" si="253">INT(NORMINV(D1226,D_Mean,D_StdDev))</f>
        <v>483</v>
      </c>
      <c r="F1226" s="9">
        <f t="shared" ca="1" si="245"/>
        <v>2237</v>
      </c>
      <c r="G1226" s="12" t="str">
        <f t="shared" ca="1" si="246"/>
        <v>No</v>
      </c>
      <c r="H1226" s="12">
        <f t="shared" ref="H1226:H1289" ca="1" si="254">IF(G1226="Yes",RAND(),0)</f>
        <v>0</v>
      </c>
      <c r="I1226" s="10">
        <f t="shared" ca="1" si="247"/>
        <v>0</v>
      </c>
      <c r="J1226" s="13">
        <f t="shared" ca="1" si="248"/>
        <v>0</v>
      </c>
      <c r="K1226" s="14">
        <f t="shared" ca="1" si="249"/>
        <v>447.40000000000003</v>
      </c>
      <c r="L1226" s="14">
        <f t="shared" ca="1" si="250"/>
        <v>0</v>
      </c>
      <c r="M1226" s="15">
        <f t="shared" ca="1" si="251"/>
        <v>447.40000000000003</v>
      </c>
      <c r="N1226" s="16">
        <f ca="1">SUM($M$9:M1226)/A1226</f>
        <v>339.59737274220038</v>
      </c>
      <c r="O1226" s="6"/>
    </row>
    <row r="1227" spans="1:15" x14ac:dyDescent="0.25">
      <c r="A1227" s="8">
        <v>1219</v>
      </c>
      <c r="B1227" s="9">
        <f t="shared" ca="1" si="243"/>
        <v>2237</v>
      </c>
      <c r="C1227" s="10">
        <f t="shared" ca="1" si="244"/>
        <v>0</v>
      </c>
      <c r="D1227" s="11">
        <f t="shared" ca="1" si="252"/>
        <v>0.59345368853053726</v>
      </c>
      <c r="E1227" s="9">
        <f t="shared" ca="1" si="253"/>
        <v>411</v>
      </c>
      <c r="F1227" s="9">
        <f t="shared" ca="1" si="245"/>
        <v>1826</v>
      </c>
      <c r="G1227" s="12" t="str">
        <f t="shared" ca="1" si="246"/>
        <v>No</v>
      </c>
      <c r="H1227" s="12">
        <f t="shared" ca="1" si="254"/>
        <v>0</v>
      </c>
      <c r="I1227" s="10">
        <f t="shared" ca="1" si="247"/>
        <v>0</v>
      </c>
      <c r="J1227" s="13">
        <f t="shared" ca="1" si="248"/>
        <v>0</v>
      </c>
      <c r="K1227" s="14">
        <f t="shared" ca="1" si="249"/>
        <v>365.20000000000005</v>
      </c>
      <c r="L1227" s="14">
        <f t="shared" ca="1" si="250"/>
        <v>0</v>
      </c>
      <c r="M1227" s="15">
        <f t="shared" ca="1" si="251"/>
        <v>365.20000000000005</v>
      </c>
      <c r="N1227" s="16">
        <f ca="1">SUM($M$9:M1227)/A1227</f>
        <v>339.61837571780154</v>
      </c>
      <c r="O1227" s="6"/>
    </row>
    <row r="1228" spans="1:15" x14ac:dyDescent="0.25">
      <c r="A1228" s="8">
        <v>1220</v>
      </c>
      <c r="B1228" s="9">
        <f t="shared" ca="1" si="243"/>
        <v>1826</v>
      </c>
      <c r="C1228" s="10">
        <f t="shared" ca="1" si="244"/>
        <v>0</v>
      </c>
      <c r="D1228" s="11">
        <f t="shared" ca="1" si="252"/>
        <v>0.23070107594407718</v>
      </c>
      <c r="E1228" s="9">
        <f t="shared" ca="1" si="253"/>
        <v>363</v>
      </c>
      <c r="F1228" s="9">
        <f t="shared" ca="1" si="245"/>
        <v>1463</v>
      </c>
      <c r="G1228" s="12" t="str">
        <f t="shared" ca="1" si="246"/>
        <v>No</v>
      </c>
      <c r="H1228" s="12">
        <f t="shared" ca="1" si="254"/>
        <v>0</v>
      </c>
      <c r="I1228" s="10">
        <f t="shared" ca="1" si="247"/>
        <v>0</v>
      </c>
      <c r="J1228" s="13">
        <f t="shared" ca="1" si="248"/>
        <v>0</v>
      </c>
      <c r="K1228" s="14">
        <f t="shared" ca="1" si="249"/>
        <v>292.60000000000002</v>
      </c>
      <c r="L1228" s="14">
        <f t="shared" ca="1" si="250"/>
        <v>0</v>
      </c>
      <c r="M1228" s="15">
        <f t="shared" ca="1" si="251"/>
        <v>292.60000000000002</v>
      </c>
      <c r="N1228" s="16">
        <f ca="1">SUM($M$9:M1228)/A1228</f>
        <v>339.57983606557377</v>
      </c>
      <c r="O1228" s="6"/>
    </row>
    <row r="1229" spans="1:15" x14ac:dyDescent="0.25">
      <c r="A1229" s="8">
        <v>1221</v>
      </c>
      <c r="B1229" s="9">
        <f t="shared" ca="1" si="243"/>
        <v>1463</v>
      </c>
      <c r="C1229" s="10">
        <f t="shared" ca="1" si="244"/>
        <v>0</v>
      </c>
      <c r="D1229" s="11">
        <f t="shared" ca="1" si="252"/>
        <v>4.9693022647221752E-2</v>
      </c>
      <c r="E1229" s="9">
        <f t="shared" ca="1" si="253"/>
        <v>317</v>
      </c>
      <c r="F1229" s="9">
        <f t="shared" ca="1" si="245"/>
        <v>1146</v>
      </c>
      <c r="G1229" s="12" t="str">
        <f t="shared" ca="1" si="246"/>
        <v>No</v>
      </c>
      <c r="H1229" s="12">
        <f t="shared" ca="1" si="254"/>
        <v>0</v>
      </c>
      <c r="I1229" s="10">
        <f t="shared" ca="1" si="247"/>
        <v>0</v>
      </c>
      <c r="J1229" s="13">
        <f t="shared" ca="1" si="248"/>
        <v>0</v>
      </c>
      <c r="K1229" s="14">
        <f t="shared" ca="1" si="249"/>
        <v>229.20000000000002</v>
      </c>
      <c r="L1229" s="14">
        <f t="shared" ca="1" si="250"/>
        <v>0</v>
      </c>
      <c r="M1229" s="15">
        <f t="shared" ca="1" si="251"/>
        <v>229.20000000000002</v>
      </c>
      <c r="N1229" s="16">
        <f ca="1">SUM($M$9:M1229)/A1229</f>
        <v>339.4894348894349</v>
      </c>
      <c r="O1229" s="6"/>
    </row>
    <row r="1230" spans="1:15" x14ac:dyDescent="0.25">
      <c r="A1230" s="8">
        <v>1222</v>
      </c>
      <c r="B1230" s="9">
        <f t="shared" ca="1" si="243"/>
        <v>1146</v>
      </c>
      <c r="C1230" s="10">
        <f t="shared" ca="1" si="244"/>
        <v>0</v>
      </c>
      <c r="D1230" s="11">
        <f t="shared" ca="1" si="252"/>
        <v>0.85803887481246977</v>
      </c>
      <c r="E1230" s="9">
        <f t="shared" ca="1" si="253"/>
        <v>453</v>
      </c>
      <c r="F1230" s="9">
        <f t="shared" ca="1" si="245"/>
        <v>693</v>
      </c>
      <c r="G1230" s="12" t="str">
        <f t="shared" ca="1" si="246"/>
        <v>Yes</v>
      </c>
      <c r="H1230" s="12">
        <f t="shared" ca="1" si="254"/>
        <v>0.95095722037210428</v>
      </c>
      <c r="I1230" s="10">
        <f t="shared" ca="1" si="247"/>
        <v>3</v>
      </c>
      <c r="J1230" s="13">
        <f t="shared" ca="1" si="248"/>
        <v>300</v>
      </c>
      <c r="K1230" s="14">
        <f t="shared" ca="1" si="249"/>
        <v>138.6</v>
      </c>
      <c r="L1230" s="14">
        <f t="shared" ca="1" si="250"/>
        <v>0</v>
      </c>
      <c r="M1230" s="15">
        <f t="shared" ca="1" si="251"/>
        <v>438.6</v>
      </c>
      <c r="N1230" s="16">
        <f ca="1">SUM($M$9:M1230)/A1230</f>
        <v>339.57054009819967</v>
      </c>
      <c r="O1230" s="6"/>
    </row>
    <row r="1231" spans="1:15" x14ac:dyDescent="0.25">
      <c r="A1231" s="8">
        <v>1223</v>
      </c>
      <c r="B1231" s="9">
        <f t="shared" ca="1" si="243"/>
        <v>693</v>
      </c>
      <c r="C1231" s="10">
        <f t="shared" ca="1" si="244"/>
        <v>0</v>
      </c>
      <c r="D1231" s="11">
        <f t="shared" ca="1" si="252"/>
        <v>0.90479638603780299</v>
      </c>
      <c r="E1231" s="9">
        <f t="shared" ca="1" si="253"/>
        <v>465</v>
      </c>
      <c r="F1231" s="9">
        <f t="shared" ca="1" si="245"/>
        <v>228</v>
      </c>
      <c r="G1231" s="12" t="str">
        <f t="shared" ca="1" si="246"/>
        <v>No</v>
      </c>
      <c r="H1231" s="12">
        <f t="shared" ca="1" si="254"/>
        <v>0</v>
      </c>
      <c r="I1231" s="10">
        <f t="shared" ca="1" si="247"/>
        <v>2</v>
      </c>
      <c r="J1231" s="13">
        <f t="shared" ca="1" si="248"/>
        <v>0</v>
      </c>
      <c r="K1231" s="14">
        <f t="shared" ca="1" si="249"/>
        <v>45.6</v>
      </c>
      <c r="L1231" s="14">
        <f t="shared" ca="1" si="250"/>
        <v>0</v>
      </c>
      <c r="M1231" s="15">
        <f t="shared" ca="1" si="251"/>
        <v>45.6</v>
      </c>
      <c r="N1231" s="16">
        <f ca="1">SUM($M$9:M1231)/A1231</f>
        <v>339.33017170891247</v>
      </c>
      <c r="O1231" s="6"/>
    </row>
    <row r="1232" spans="1:15" x14ac:dyDescent="0.25">
      <c r="A1232" s="8">
        <v>1224</v>
      </c>
      <c r="B1232" s="9">
        <f t="shared" ca="1" si="243"/>
        <v>228</v>
      </c>
      <c r="C1232" s="10">
        <f t="shared" ca="1" si="244"/>
        <v>0</v>
      </c>
      <c r="D1232" s="11">
        <f t="shared" ca="1" si="252"/>
        <v>0.8487659828931996</v>
      </c>
      <c r="E1232" s="9">
        <f t="shared" ca="1" si="253"/>
        <v>451</v>
      </c>
      <c r="F1232" s="9">
        <f t="shared" ca="1" si="245"/>
        <v>0</v>
      </c>
      <c r="G1232" s="12" t="str">
        <f t="shared" ca="1" si="246"/>
        <v>No</v>
      </c>
      <c r="H1232" s="12">
        <f t="shared" ca="1" si="254"/>
        <v>0</v>
      </c>
      <c r="I1232" s="10">
        <f t="shared" ca="1" si="247"/>
        <v>1</v>
      </c>
      <c r="J1232" s="13">
        <f t="shared" ca="1" si="248"/>
        <v>0</v>
      </c>
      <c r="K1232" s="14">
        <f t="shared" ca="1" si="249"/>
        <v>0</v>
      </c>
      <c r="L1232" s="14">
        <f t="shared" ca="1" si="250"/>
        <v>446</v>
      </c>
      <c r="M1232" s="15">
        <f t="shared" ca="1" si="251"/>
        <v>446</v>
      </c>
      <c r="N1232" s="16">
        <f ca="1">SUM($M$9:M1232)/A1232</f>
        <v>339.41732026143791</v>
      </c>
      <c r="O1232" s="6"/>
    </row>
    <row r="1233" spans="1:15" x14ac:dyDescent="0.25">
      <c r="A1233" s="8">
        <v>1225</v>
      </c>
      <c r="B1233" s="9">
        <f t="shared" ca="1" si="243"/>
        <v>1800</v>
      </c>
      <c r="C1233" s="10">
        <f t="shared" ca="1" si="244"/>
        <v>1800</v>
      </c>
      <c r="D1233" s="11">
        <f t="shared" ca="1" si="252"/>
        <v>0.73144227506036696</v>
      </c>
      <c r="E1233" s="9">
        <f t="shared" ca="1" si="253"/>
        <v>430</v>
      </c>
      <c r="F1233" s="9">
        <f t="shared" ca="1" si="245"/>
        <v>1370</v>
      </c>
      <c r="G1233" s="12" t="str">
        <f t="shared" ca="1" si="246"/>
        <v>No</v>
      </c>
      <c r="H1233" s="12">
        <f t="shared" ca="1" si="254"/>
        <v>0</v>
      </c>
      <c r="I1233" s="10">
        <f t="shared" ca="1" si="247"/>
        <v>0</v>
      </c>
      <c r="J1233" s="13">
        <f t="shared" ca="1" si="248"/>
        <v>0</v>
      </c>
      <c r="K1233" s="14">
        <f t="shared" ca="1" si="249"/>
        <v>274</v>
      </c>
      <c r="L1233" s="14">
        <f t="shared" ca="1" si="250"/>
        <v>0</v>
      </c>
      <c r="M1233" s="15">
        <f t="shared" ca="1" si="251"/>
        <v>274</v>
      </c>
      <c r="N1233" s="16">
        <f ca="1">SUM($M$9:M1233)/A1233</f>
        <v>339.36391836734691</v>
      </c>
      <c r="O1233" s="6"/>
    </row>
    <row r="1234" spans="1:15" x14ac:dyDescent="0.25">
      <c r="A1234" s="8">
        <v>1226</v>
      </c>
      <c r="B1234" s="9">
        <f t="shared" ca="1" si="243"/>
        <v>1370</v>
      </c>
      <c r="C1234" s="10">
        <f t="shared" ca="1" si="244"/>
        <v>0</v>
      </c>
      <c r="D1234" s="11">
        <f t="shared" ca="1" si="252"/>
        <v>0.39239277105010706</v>
      </c>
      <c r="E1234" s="9">
        <f t="shared" ca="1" si="253"/>
        <v>386</v>
      </c>
      <c r="F1234" s="9">
        <f t="shared" ca="1" si="245"/>
        <v>984</v>
      </c>
      <c r="G1234" s="12" t="str">
        <f t="shared" ca="1" si="246"/>
        <v>Yes</v>
      </c>
      <c r="H1234" s="12">
        <f t="shared" ca="1" si="254"/>
        <v>0.8072048240722095</v>
      </c>
      <c r="I1234" s="10">
        <f t="shared" ca="1" si="247"/>
        <v>2</v>
      </c>
      <c r="J1234" s="13">
        <f t="shared" ca="1" si="248"/>
        <v>300</v>
      </c>
      <c r="K1234" s="14">
        <f t="shared" ca="1" si="249"/>
        <v>196.8</v>
      </c>
      <c r="L1234" s="14">
        <f t="shared" ca="1" si="250"/>
        <v>0</v>
      </c>
      <c r="M1234" s="15">
        <f t="shared" ca="1" si="251"/>
        <v>496.8</v>
      </c>
      <c r="N1234" s="16">
        <f ca="1">SUM($M$9:M1234)/A1234</f>
        <v>339.4923327895595</v>
      </c>
      <c r="O1234" s="6"/>
    </row>
    <row r="1235" spans="1:15" x14ac:dyDescent="0.25">
      <c r="A1235" s="8">
        <v>1227</v>
      </c>
      <c r="B1235" s="9">
        <f t="shared" ca="1" si="243"/>
        <v>984</v>
      </c>
      <c r="C1235" s="10">
        <f t="shared" ca="1" si="244"/>
        <v>0</v>
      </c>
      <c r="D1235" s="11">
        <f t="shared" ca="1" si="252"/>
        <v>0.66884631507984327</v>
      </c>
      <c r="E1235" s="9">
        <f t="shared" ca="1" si="253"/>
        <v>421</v>
      </c>
      <c r="F1235" s="9">
        <f t="shared" ca="1" si="245"/>
        <v>563</v>
      </c>
      <c r="G1235" s="12" t="str">
        <f t="shared" ca="1" si="246"/>
        <v>No</v>
      </c>
      <c r="H1235" s="12">
        <f t="shared" ca="1" si="254"/>
        <v>0</v>
      </c>
      <c r="I1235" s="10">
        <f t="shared" ca="1" si="247"/>
        <v>1</v>
      </c>
      <c r="J1235" s="13">
        <f t="shared" ca="1" si="248"/>
        <v>0</v>
      </c>
      <c r="K1235" s="14">
        <f t="shared" ca="1" si="249"/>
        <v>112.60000000000001</v>
      </c>
      <c r="L1235" s="14">
        <f t="shared" ca="1" si="250"/>
        <v>0</v>
      </c>
      <c r="M1235" s="15">
        <f t="shared" ca="1" si="251"/>
        <v>112.60000000000001</v>
      </c>
      <c r="N1235" s="16">
        <f ca="1">SUM($M$9:M1235)/A1235</f>
        <v>339.30741646291767</v>
      </c>
      <c r="O1235" s="6"/>
    </row>
    <row r="1236" spans="1:15" x14ac:dyDescent="0.25">
      <c r="A1236" s="8">
        <v>1228</v>
      </c>
      <c r="B1236" s="9">
        <f t="shared" ca="1" si="243"/>
        <v>2363</v>
      </c>
      <c r="C1236" s="10">
        <f t="shared" ca="1" si="244"/>
        <v>1800</v>
      </c>
      <c r="D1236" s="11">
        <f t="shared" ca="1" si="252"/>
        <v>0.99138326979874425</v>
      </c>
      <c r="E1236" s="9">
        <f t="shared" ca="1" si="253"/>
        <v>519</v>
      </c>
      <c r="F1236" s="9">
        <f t="shared" ca="1" si="245"/>
        <v>1844</v>
      </c>
      <c r="G1236" s="12" t="str">
        <f t="shared" ca="1" si="246"/>
        <v>No</v>
      </c>
      <c r="H1236" s="12">
        <f t="shared" ca="1" si="254"/>
        <v>0</v>
      </c>
      <c r="I1236" s="10">
        <f t="shared" ca="1" si="247"/>
        <v>0</v>
      </c>
      <c r="J1236" s="13">
        <f t="shared" ca="1" si="248"/>
        <v>0</v>
      </c>
      <c r="K1236" s="14">
        <f t="shared" ca="1" si="249"/>
        <v>368.8</v>
      </c>
      <c r="L1236" s="14">
        <f t="shared" ca="1" si="250"/>
        <v>0</v>
      </c>
      <c r="M1236" s="15">
        <f t="shared" ca="1" si="251"/>
        <v>368.8</v>
      </c>
      <c r="N1236" s="16">
        <f ca="1">SUM($M$9:M1236)/A1236</f>
        <v>339.33143322475564</v>
      </c>
      <c r="O1236" s="6"/>
    </row>
    <row r="1237" spans="1:15" x14ac:dyDescent="0.25">
      <c r="A1237" s="8">
        <v>1229</v>
      </c>
      <c r="B1237" s="9">
        <f t="shared" ca="1" si="243"/>
        <v>1844</v>
      </c>
      <c r="C1237" s="10">
        <f t="shared" ca="1" si="244"/>
        <v>0</v>
      </c>
      <c r="D1237" s="11">
        <f t="shared" ca="1" si="252"/>
        <v>0.12393225262396423</v>
      </c>
      <c r="E1237" s="9">
        <f t="shared" ca="1" si="253"/>
        <v>342</v>
      </c>
      <c r="F1237" s="9">
        <f t="shared" ca="1" si="245"/>
        <v>1502</v>
      </c>
      <c r="G1237" s="12" t="str">
        <f t="shared" ca="1" si="246"/>
        <v>No</v>
      </c>
      <c r="H1237" s="12">
        <f t="shared" ca="1" si="254"/>
        <v>0</v>
      </c>
      <c r="I1237" s="10">
        <f t="shared" ca="1" si="247"/>
        <v>0</v>
      </c>
      <c r="J1237" s="13">
        <f t="shared" ca="1" si="248"/>
        <v>0</v>
      </c>
      <c r="K1237" s="14">
        <f t="shared" ca="1" si="249"/>
        <v>300.40000000000003</v>
      </c>
      <c r="L1237" s="14">
        <f t="shared" ca="1" si="250"/>
        <v>0</v>
      </c>
      <c r="M1237" s="15">
        <f t="shared" ca="1" si="251"/>
        <v>300.40000000000003</v>
      </c>
      <c r="N1237" s="16">
        <f ca="1">SUM($M$9:M1237)/A1237</f>
        <v>339.29975589910492</v>
      </c>
      <c r="O1237" s="6"/>
    </row>
    <row r="1238" spans="1:15" x14ac:dyDescent="0.25">
      <c r="A1238" s="8">
        <v>1230</v>
      </c>
      <c r="B1238" s="9">
        <f t="shared" ca="1" si="243"/>
        <v>1502</v>
      </c>
      <c r="C1238" s="10">
        <f t="shared" ca="1" si="244"/>
        <v>0</v>
      </c>
      <c r="D1238" s="11">
        <f t="shared" ca="1" si="252"/>
        <v>0.38633342149161232</v>
      </c>
      <c r="E1238" s="9">
        <f t="shared" ca="1" si="253"/>
        <v>385</v>
      </c>
      <c r="F1238" s="9">
        <f t="shared" ca="1" si="245"/>
        <v>1117</v>
      </c>
      <c r="G1238" s="12" t="str">
        <f t="shared" ca="1" si="246"/>
        <v>No</v>
      </c>
      <c r="H1238" s="12">
        <f t="shared" ca="1" si="254"/>
        <v>0</v>
      </c>
      <c r="I1238" s="10">
        <f t="shared" ca="1" si="247"/>
        <v>0</v>
      </c>
      <c r="J1238" s="13">
        <f t="shared" ca="1" si="248"/>
        <v>0</v>
      </c>
      <c r="K1238" s="14">
        <f t="shared" ca="1" si="249"/>
        <v>223.4</v>
      </c>
      <c r="L1238" s="14">
        <f t="shared" ca="1" si="250"/>
        <v>0</v>
      </c>
      <c r="M1238" s="15">
        <f t="shared" ca="1" si="251"/>
        <v>223.4</v>
      </c>
      <c r="N1238" s="16">
        <f ca="1">SUM($M$9:M1238)/A1238</f>
        <v>339.20552845528454</v>
      </c>
      <c r="O1238" s="6"/>
    </row>
    <row r="1239" spans="1:15" x14ac:dyDescent="0.25">
      <c r="A1239" s="8">
        <v>1231</v>
      </c>
      <c r="B1239" s="9">
        <f t="shared" ca="1" si="243"/>
        <v>1117</v>
      </c>
      <c r="C1239" s="10">
        <f t="shared" ca="1" si="244"/>
        <v>0</v>
      </c>
      <c r="D1239" s="11">
        <f t="shared" ca="1" si="252"/>
        <v>0.3835481641283599</v>
      </c>
      <c r="E1239" s="9">
        <f t="shared" ca="1" si="253"/>
        <v>385</v>
      </c>
      <c r="F1239" s="9">
        <f t="shared" ca="1" si="245"/>
        <v>732</v>
      </c>
      <c r="G1239" s="12" t="str">
        <f t="shared" ca="1" si="246"/>
        <v>Yes</v>
      </c>
      <c r="H1239" s="12">
        <f t="shared" ca="1" si="254"/>
        <v>0.7784198471732332</v>
      </c>
      <c r="I1239" s="10">
        <f t="shared" ca="1" si="247"/>
        <v>2</v>
      </c>
      <c r="J1239" s="13">
        <f t="shared" ca="1" si="248"/>
        <v>300</v>
      </c>
      <c r="K1239" s="14">
        <f t="shared" ca="1" si="249"/>
        <v>146.4</v>
      </c>
      <c r="L1239" s="14">
        <f t="shared" ca="1" si="250"/>
        <v>0</v>
      </c>
      <c r="M1239" s="15">
        <f t="shared" ca="1" si="251"/>
        <v>446.4</v>
      </c>
      <c r="N1239" s="16">
        <f ca="1">SUM($M$9:M1239)/A1239</f>
        <v>339.29260763606823</v>
      </c>
      <c r="O1239" s="6"/>
    </row>
    <row r="1240" spans="1:15" x14ac:dyDescent="0.25">
      <c r="A1240" s="8">
        <v>1232</v>
      </c>
      <c r="B1240" s="9">
        <f t="shared" ca="1" si="243"/>
        <v>732</v>
      </c>
      <c r="C1240" s="10">
        <f t="shared" ca="1" si="244"/>
        <v>0</v>
      </c>
      <c r="D1240" s="11">
        <f t="shared" ca="1" si="252"/>
        <v>0.97076194480475619</v>
      </c>
      <c r="E1240" s="9">
        <f t="shared" ca="1" si="253"/>
        <v>494</v>
      </c>
      <c r="F1240" s="9">
        <f t="shared" ca="1" si="245"/>
        <v>238</v>
      </c>
      <c r="G1240" s="12" t="str">
        <f t="shared" ca="1" si="246"/>
        <v>No</v>
      </c>
      <c r="H1240" s="12">
        <f t="shared" ca="1" si="254"/>
        <v>0</v>
      </c>
      <c r="I1240" s="10">
        <f t="shared" ca="1" si="247"/>
        <v>1</v>
      </c>
      <c r="J1240" s="13">
        <f t="shared" ca="1" si="248"/>
        <v>0</v>
      </c>
      <c r="K1240" s="14">
        <f t="shared" ca="1" si="249"/>
        <v>47.6</v>
      </c>
      <c r="L1240" s="14">
        <f t="shared" ca="1" si="250"/>
        <v>0</v>
      </c>
      <c r="M1240" s="15">
        <f t="shared" ca="1" si="251"/>
        <v>47.6</v>
      </c>
      <c r="N1240" s="16">
        <f ca="1">SUM($M$9:M1240)/A1240</f>
        <v>339.05584415584417</v>
      </c>
      <c r="O1240" s="6"/>
    </row>
    <row r="1241" spans="1:15" x14ac:dyDescent="0.25">
      <c r="A1241" s="8">
        <v>1233</v>
      </c>
      <c r="B1241" s="9">
        <f t="shared" ca="1" si="243"/>
        <v>2038</v>
      </c>
      <c r="C1241" s="10">
        <f t="shared" ca="1" si="244"/>
        <v>1800</v>
      </c>
      <c r="D1241" s="11">
        <f t="shared" ca="1" si="252"/>
        <v>0.95469961688546512</v>
      </c>
      <c r="E1241" s="9">
        <f t="shared" ca="1" si="253"/>
        <v>484</v>
      </c>
      <c r="F1241" s="9">
        <f t="shared" ca="1" si="245"/>
        <v>1554</v>
      </c>
      <c r="G1241" s="12" t="str">
        <f t="shared" ca="1" si="246"/>
        <v>No</v>
      </c>
      <c r="H1241" s="12">
        <f t="shared" ca="1" si="254"/>
        <v>0</v>
      </c>
      <c r="I1241" s="10">
        <f t="shared" ca="1" si="247"/>
        <v>0</v>
      </c>
      <c r="J1241" s="13">
        <f t="shared" ca="1" si="248"/>
        <v>0</v>
      </c>
      <c r="K1241" s="14">
        <f t="shared" ca="1" si="249"/>
        <v>310.8</v>
      </c>
      <c r="L1241" s="14">
        <f t="shared" ca="1" si="250"/>
        <v>0</v>
      </c>
      <c r="M1241" s="15">
        <f t="shared" ca="1" si="251"/>
        <v>310.8</v>
      </c>
      <c r="N1241" s="16">
        <f ca="1">SUM($M$9:M1241)/A1241</f>
        <v>339.03292781832926</v>
      </c>
      <c r="O1241" s="6"/>
    </row>
    <row r="1242" spans="1:15" x14ac:dyDescent="0.25">
      <c r="A1242" s="8">
        <v>1234</v>
      </c>
      <c r="B1242" s="9">
        <f t="shared" ca="1" si="243"/>
        <v>1554</v>
      </c>
      <c r="C1242" s="10">
        <f t="shared" ca="1" si="244"/>
        <v>0</v>
      </c>
      <c r="D1242" s="11">
        <f t="shared" ca="1" si="252"/>
        <v>0.54716317943976034</v>
      </c>
      <c r="E1242" s="9">
        <f t="shared" ca="1" si="253"/>
        <v>405</v>
      </c>
      <c r="F1242" s="9">
        <f t="shared" ca="1" si="245"/>
        <v>1149</v>
      </c>
      <c r="G1242" s="12" t="str">
        <f t="shared" ca="1" si="246"/>
        <v>No</v>
      </c>
      <c r="H1242" s="12">
        <f t="shared" ca="1" si="254"/>
        <v>0</v>
      </c>
      <c r="I1242" s="10">
        <f t="shared" ca="1" si="247"/>
        <v>0</v>
      </c>
      <c r="J1242" s="13">
        <f t="shared" ca="1" si="248"/>
        <v>0</v>
      </c>
      <c r="K1242" s="14">
        <f t="shared" ca="1" si="249"/>
        <v>229.8</v>
      </c>
      <c r="L1242" s="14">
        <f t="shared" ca="1" si="250"/>
        <v>0</v>
      </c>
      <c r="M1242" s="15">
        <f t="shared" ca="1" si="251"/>
        <v>229.8</v>
      </c>
      <c r="N1242" s="16">
        <f ca="1">SUM($M$9:M1242)/A1242</f>
        <v>338.94440842787679</v>
      </c>
      <c r="O1242" s="6"/>
    </row>
    <row r="1243" spans="1:15" x14ac:dyDescent="0.25">
      <c r="A1243" s="8">
        <v>1235</v>
      </c>
      <c r="B1243" s="9">
        <f t="shared" ca="1" si="243"/>
        <v>1149</v>
      </c>
      <c r="C1243" s="10">
        <f t="shared" ca="1" si="244"/>
        <v>0</v>
      </c>
      <c r="D1243" s="11">
        <f t="shared" ca="1" si="252"/>
        <v>0.94470169412516702</v>
      </c>
      <c r="E1243" s="9">
        <f t="shared" ca="1" si="253"/>
        <v>479</v>
      </c>
      <c r="F1243" s="9">
        <f t="shared" ca="1" si="245"/>
        <v>670</v>
      </c>
      <c r="G1243" s="12" t="str">
        <f t="shared" ca="1" si="246"/>
        <v>Yes</v>
      </c>
      <c r="H1243" s="12">
        <f t="shared" ca="1" si="254"/>
        <v>0.91965518021826609</v>
      </c>
      <c r="I1243" s="10">
        <f t="shared" ca="1" si="247"/>
        <v>3</v>
      </c>
      <c r="J1243" s="13">
        <f t="shared" ca="1" si="248"/>
        <v>300</v>
      </c>
      <c r="K1243" s="14">
        <f t="shared" ca="1" si="249"/>
        <v>134</v>
      </c>
      <c r="L1243" s="14">
        <f t="shared" ca="1" si="250"/>
        <v>0</v>
      </c>
      <c r="M1243" s="15">
        <f t="shared" ca="1" si="251"/>
        <v>434</v>
      </c>
      <c r="N1243" s="16">
        <f ca="1">SUM($M$9:M1243)/A1243</f>
        <v>339.02137651821857</v>
      </c>
      <c r="O1243" s="6"/>
    </row>
    <row r="1244" spans="1:15" x14ac:dyDescent="0.25">
      <c r="A1244" s="8">
        <v>1236</v>
      </c>
      <c r="B1244" s="9">
        <f t="shared" ca="1" si="243"/>
        <v>670</v>
      </c>
      <c r="C1244" s="10">
        <f t="shared" ca="1" si="244"/>
        <v>0</v>
      </c>
      <c r="D1244" s="11">
        <f t="shared" ca="1" si="252"/>
        <v>0.83136705501455055</v>
      </c>
      <c r="E1244" s="9">
        <f t="shared" ca="1" si="253"/>
        <v>447</v>
      </c>
      <c r="F1244" s="9">
        <f t="shared" ca="1" si="245"/>
        <v>223</v>
      </c>
      <c r="G1244" s="12" t="str">
        <f t="shared" ca="1" si="246"/>
        <v>No</v>
      </c>
      <c r="H1244" s="12">
        <f t="shared" ca="1" si="254"/>
        <v>0</v>
      </c>
      <c r="I1244" s="10">
        <f t="shared" ca="1" si="247"/>
        <v>2</v>
      </c>
      <c r="J1244" s="13">
        <f t="shared" ca="1" si="248"/>
        <v>0</v>
      </c>
      <c r="K1244" s="14">
        <f t="shared" ca="1" si="249"/>
        <v>44.6</v>
      </c>
      <c r="L1244" s="14">
        <f t="shared" ca="1" si="250"/>
        <v>0</v>
      </c>
      <c r="M1244" s="15">
        <f t="shared" ca="1" si="251"/>
        <v>44.6</v>
      </c>
      <c r="N1244" s="16">
        <f ca="1">SUM($M$9:M1244)/A1244</f>
        <v>338.78317152103557</v>
      </c>
      <c r="O1244" s="6"/>
    </row>
    <row r="1245" spans="1:15" x14ac:dyDescent="0.25">
      <c r="A1245" s="8">
        <v>1237</v>
      </c>
      <c r="B1245" s="9">
        <f t="shared" ca="1" si="243"/>
        <v>223</v>
      </c>
      <c r="C1245" s="10">
        <f t="shared" ca="1" si="244"/>
        <v>0</v>
      </c>
      <c r="D1245" s="11">
        <f t="shared" ca="1" si="252"/>
        <v>9.1309822756089343E-3</v>
      </c>
      <c r="E1245" s="9">
        <f t="shared" ca="1" si="253"/>
        <v>281</v>
      </c>
      <c r="F1245" s="9">
        <f t="shared" ca="1" si="245"/>
        <v>0</v>
      </c>
      <c r="G1245" s="12" t="str">
        <f t="shared" ca="1" si="246"/>
        <v>No</v>
      </c>
      <c r="H1245" s="12">
        <f t="shared" ca="1" si="254"/>
        <v>0</v>
      </c>
      <c r="I1245" s="10">
        <f t="shared" ca="1" si="247"/>
        <v>1</v>
      </c>
      <c r="J1245" s="13">
        <f t="shared" ca="1" si="248"/>
        <v>0</v>
      </c>
      <c r="K1245" s="14">
        <f t="shared" ca="1" si="249"/>
        <v>0</v>
      </c>
      <c r="L1245" s="14">
        <f t="shared" ca="1" si="250"/>
        <v>116</v>
      </c>
      <c r="M1245" s="15">
        <f t="shared" ca="1" si="251"/>
        <v>116</v>
      </c>
      <c r="N1245" s="16">
        <f ca="1">SUM($M$9:M1245)/A1245</f>
        <v>338.60307194826186</v>
      </c>
      <c r="O1245" s="6"/>
    </row>
    <row r="1246" spans="1:15" x14ac:dyDescent="0.25">
      <c r="A1246" s="8">
        <v>1238</v>
      </c>
      <c r="B1246" s="9">
        <f t="shared" ca="1" si="243"/>
        <v>1800</v>
      </c>
      <c r="C1246" s="10">
        <f t="shared" ca="1" si="244"/>
        <v>1800</v>
      </c>
      <c r="D1246" s="11">
        <f t="shared" ca="1" si="252"/>
        <v>0.56686054488470372</v>
      </c>
      <c r="E1246" s="9">
        <f t="shared" ca="1" si="253"/>
        <v>408</v>
      </c>
      <c r="F1246" s="9">
        <f t="shared" ca="1" si="245"/>
        <v>1392</v>
      </c>
      <c r="G1246" s="12" t="str">
        <f t="shared" ca="1" si="246"/>
        <v>No</v>
      </c>
      <c r="H1246" s="12">
        <f t="shared" ca="1" si="254"/>
        <v>0</v>
      </c>
      <c r="I1246" s="10">
        <f t="shared" ca="1" si="247"/>
        <v>0</v>
      </c>
      <c r="J1246" s="13">
        <f t="shared" ca="1" si="248"/>
        <v>0</v>
      </c>
      <c r="K1246" s="14">
        <f t="shared" ca="1" si="249"/>
        <v>278.40000000000003</v>
      </c>
      <c r="L1246" s="14">
        <f t="shared" ca="1" si="250"/>
        <v>0</v>
      </c>
      <c r="M1246" s="15">
        <f t="shared" ca="1" si="251"/>
        <v>278.40000000000003</v>
      </c>
      <c r="N1246" s="16">
        <f ca="1">SUM($M$9:M1246)/A1246</f>
        <v>338.55444264943452</v>
      </c>
      <c r="O1246" s="6"/>
    </row>
    <row r="1247" spans="1:15" x14ac:dyDescent="0.25">
      <c r="A1247" s="8">
        <v>1239</v>
      </c>
      <c r="B1247" s="9">
        <f t="shared" ca="1" si="243"/>
        <v>1392</v>
      </c>
      <c r="C1247" s="10">
        <f t="shared" ca="1" si="244"/>
        <v>0</v>
      </c>
      <c r="D1247" s="11">
        <f t="shared" ca="1" si="252"/>
        <v>0.46323868466909957</v>
      </c>
      <c r="E1247" s="9">
        <f t="shared" ca="1" si="253"/>
        <v>395</v>
      </c>
      <c r="F1247" s="9">
        <f t="shared" ca="1" si="245"/>
        <v>997</v>
      </c>
      <c r="G1247" s="12" t="str">
        <f t="shared" ca="1" si="246"/>
        <v>Yes</v>
      </c>
      <c r="H1247" s="12">
        <f t="shared" ca="1" si="254"/>
        <v>0.39354254918217646</v>
      </c>
      <c r="I1247" s="10">
        <f t="shared" ca="1" si="247"/>
        <v>1</v>
      </c>
      <c r="J1247" s="13">
        <f t="shared" ca="1" si="248"/>
        <v>300</v>
      </c>
      <c r="K1247" s="14">
        <f t="shared" ca="1" si="249"/>
        <v>199.4</v>
      </c>
      <c r="L1247" s="14">
        <f t="shared" ca="1" si="250"/>
        <v>0</v>
      </c>
      <c r="M1247" s="15">
        <f t="shared" ca="1" si="251"/>
        <v>499.4</v>
      </c>
      <c r="N1247" s="16">
        <f ca="1">SUM($M$9:M1247)/A1247</f>
        <v>338.68426150121064</v>
      </c>
      <c r="O1247" s="6"/>
    </row>
    <row r="1248" spans="1:15" x14ac:dyDescent="0.25">
      <c r="A1248" s="8">
        <v>1240</v>
      </c>
      <c r="B1248" s="9">
        <f t="shared" ca="1" si="243"/>
        <v>2797</v>
      </c>
      <c r="C1248" s="10">
        <f t="shared" ca="1" si="244"/>
        <v>1800</v>
      </c>
      <c r="D1248" s="11">
        <f t="shared" ca="1" si="252"/>
        <v>0.98983669251425188</v>
      </c>
      <c r="E1248" s="9">
        <f t="shared" ca="1" si="253"/>
        <v>516</v>
      </c>
      <c r="F1248" s="9">
        <f t="shared" ca="1" si="245"/>
        <v>2281</v>
      </c>
      <c r="G1248" s="12" t="str">
        <f t="shared" ca="1" si="246"/>
        <v>No</v>
      </c>
      <c r="H1248" s="12">
        <f t="shared" ca="1" si="254"/>
        <v>0</v>
      </c>
      <c r="I1248" s="10">
        <f t="shared" ca="1" si="247"/>
        <v>0</v>
      </c>
      <c r="J1248" s="13">
        <f t="shared" ca="1" si="248"/>
        <v>0</v>
      </c>
      <c r="K1248" s="14">
        <f t="shared" ca="1" si="249"/>
        <v>456.20000000000005</v>
      </c>
      <c r="L1248" s="14">
        <f t="shared" ca="1" si="250"/>
        <v>0</v>
      </c>
      <c r="M1248" s="15">
        <f t="shared" ca="1" si="251"/>
        <v>456.20000000000005</v>
      </c>
      <c r="N1248" s="16">
        <f ca="1">SUM($M$9:M1248)/A1248</f>
        <v>338.77903225806449</v>
      </c>
      <c r="O1248" s="6"/>
    </row>
    <row r="1249" spans="1:15" x14ac:dyDescent="0.25">
      <c r="A1249" s="8">
        <v>1241</v>
      </c>
      <c r="B1249" s="9">
        <f t="shared" ca="1" si="243"/>
        <v>2281</v>
      </c>
      <c r="C1249" s="10">
        <f t="shared" ca="1" si="244"/>
        <v>0</v>
      </c>
      <c r="D1249" s="11">
        <f t="shared" ca="1" si="252"/>
        <v>0.27322486520675382</v>
      </c>
      <c r="E1249" s="9">
        <f t="shared" ca="1" si="253"/>
        <v>369</v>
      </c>
      <c r="F1249" s="9">
        <f t="shared" ca="1" si="245"/>
        <v>1912</v>
      </c>
      <c r="G1249" s="12" t="str">
        <f t="shared" ca="1" si="246"/>
        <v>No</v>
      </c>
      <c r="H1249" s="12">
        <f t="shared" ca="1" si="254"/>
        <v>0</v>
      </c>
      <c r="I1249" s="10">
        <f t="shared" ca="1" si="247"/>
        <v>0</v>
      </c>
      <c r="J1249" s="13">
        <f t="shared" ca="1" si="248"/>
        <v>0</v>
      </c>
      <c r="K1249" s="14">
        <f t="shared" ca="1" si="249"/>
        <v>382.40000000000003</v>
      </c>
      <c r="L1249" s="14">
        <f t="shared" ca="1" si="250"/>
        <v>0</v>
      </c>
      <c r="M1249" s="15">
        <f t="shared" ca="1" si="251"/>
        <v>382.40000000000003</v>
      </c>
      <c r="N1249" s="16">
        <f ca="1">SUM($M$9:M1249)/A1249</f>
        <v>338.81418211120064</v>
      </c>
      <c r="O1249" s="6"/>
    </row>
    <row r="1250" spans="1:15" x14ac:dyDescent="0.25">
      <c r="A1250" s="8">
        <v>1242</v>
      </c>
      <c r="B1250" s="9">
        <f t="shared" ca="1" si="243"/>
        <v>1912</v>
      </c>
      <c r="C1250" s="10">
        <f t="shared" ca="1" si="244"/>
        <v>0</v>
      </c>
      <c r="D1250" s="11">
        <f t="shared" ca="1" si="252"/>
        <v>5.8052443835509671E-2</v>
      </c>
      <c r="E1250" s="9">
        <f t="shared" ca="1" si="253"/>
        <v>321</v>
      </c>
      <c r="F1250" s="9">
        <f t="shared" ca="1" si="245"/>
        <v>1591</v>
      </c>
      <c r="G1250" s="12" t="str">
        <f t="shared" ca="1" si="246"/>
        <v>No</v>
      </c>
      <c r="H1250" s="12">
        <f t="shared" ca="1" si="254"/>
        <v>0</v>
      </c>
      <c r="I1250" s="10">
        <f t="shared" ca="1" si="247"/>
        <v>0</v>
      </c>
      <c r="J1250" s="13">
        <f t="shared" ca="1" si="248"/>
        <v>0</v>
      </c>
      <c r="K1250" s="14">
        <f t="shared" ca="1" si="249"/>
        <v>318.20000000000005</v>
      </c>
      <c r="L1250" s="14">
        <f t="shared" ca="1" si="250"/>
        <v>0</v>
      </c>
      <c r="M1250" s="15">
        <f t="shared" ca="1" si="251"/>
        <v>318.20000000000005</v>
      </c>
      <c r="N1250" s="16">
        <f ca="1">SUM($M$9:M1250)/A1250</f>
        <v>338.7975845410628</v>
      </c>
      <c r="O1250" s="6"/>
    </row>
    <row r="1251" spans="1:15" x14ac:dyDescent="0.25">
      <c r="A1251" s="8">
        <v>1243</v>
      </c>
      <c r="B1251" s="9">
        <f t="shared" ca="1" si="243"/>
        <v>1591</v>
      </c>
      <c r="C1251" s="10">
        <f t="shared" ca="1" si="244"/>
        <v>0</v>
      </c>
      <c r="D1251" s="11">
        <f t="shared" ca="1" si="252"/>
        <v>0.72887635690991592</v>
      </c>
      <c r="E1251" s="9">
        <f t="shared" ca="1" si="253"/>
        <v>430</v>
      </c>
      <c r="F1251" s="9">
        <f t="shared" ca="1" si="245"/>
        <v>1161</v>
      </c>
      <c r="G1251" s="12" t="str">
        <f t="shared" ca="1" si="246"/>
        <v>No</v>
      </c>
      <c r="H1251" s="12">
        <f t="shared" ca="1" si="254"/>
        <v>0</v>
      </c>
      <c r="I1251" s="10">
        <f t="shared" ca="1" si="247"/>
        <v>0</v>
      </c>
      <c r="J1251" s="13">
        <f t="shared" ca="1" si="248"/>
        <v>0</v>
      </c>
      <c r="K1251" s="14">
        <f t="shared" ca="1" si="249"/>
        <v>232.20000000000002</v>
      </c>
      <c r="L1251" s="14">
        <f t="shared" ca="1" si="250"/>
        <v>0</v>
      </c>
      <c r="M1251" s="15">
        <f t="shared" ca="1" si="251"/>
        <v>232.20000000000002</v>
      </c>
      <c r="N1251" s="16">
        <f ca="1">SUM($M$9:M1251)/A1251</f>
        <v>338.71182622687053</v>
      </c>
      <c r="O1251" s="6"/>
    </row>
    <row r="1252" spans="1:15" x14ac:dyDescent="0.25">
      <c r="A1252" s="8">
        <v>1244</v>
      </c>
      <c r="B1252" s="9">
        <f t="shared" ca="1" si="243"/>
        <v>1161</v>
      </c>
      <c r="C1252" s="10">
        <f t="shared" ca="1" si="244"/>
        <v>0</v>
      </c>
      <c r="D1252" s="11">
        <f t="shared" ca="1" si="252"/>
        <v>0.42970399520162961</v>
      </c>
      <c r="E1252" s="9">
        <f t="shared" ca="1" si="253"/>
        <v>391</v>
      </c>
      <c r="F1252" s="9">
        <f t="shared" ca="1" si="245"/>
        <v>770</v>
      </c>
      <c r="G1252" s="12" t="str">
        <f t="shared" ca="1" si="246"/>
        <v>Yes</v>
      </c>
      <c r="H1252" s="12">
        <f t="shared" ca="1" si="254"/>
        <v>0.83885743884188324</v>
      </c>
      <c r="I1252" s="10">
        <f t="shared" ca="1" si="247"/>
        <v>2</v>
      </c>
      <c r="J1252" s="13">
        <f t="shared" ca="1" si="248"/>
        <v>300</v>
      </c>
      <c r="K1252" s="14">
        <f t="shared" ca="1" si="249"/>
        <v>154</v>
      </c>
      <c r="L1252" s="14">
        <f t="shared" ca="1" si="250"/>
        <v>0</v>
      </c>
      <c r="M1252" s="15">
        <f t="shared" ca="1" si="251"/>
        <v>454</v>
      </c>
      <c r="N1252" s="16">
        <f ca="1">SUM($M$9:M1252)/A1252</f>
        <v>338.8045016077171</v>
      </c>
      <c r="O1252" s="6"/>
    </row>
    <row r="1253" spans="1:15" x14ac:dyDescent="0.25">
      <c r="A1253" s="8">
        <v>1245</v>
      </c>
      <c r="B1253" s="9">
        <f t="shared" ca="1" si="243"/>
        <v>770</v>
      </c>
      <c r="C1253" s="10">
        <f t="shared" ca="1" si="244"/>
        <v>0</v>
      </c>
      <c r="D1253" s="11">
        <f t="shared" ca="1" si="252"/>
        <v>0.55337670548446682</v>
      </c>
      <c r="E1253" s="9">
        <f t="shared" ca="1" si="253"/>
        <v>406</v>
      </c>
      <c r="F1253" s="9">
        <f t="shared" ca="1" si="245"/>
        <v>364</v>
      </c>
      <c r="G1253" s="12" t="str">
        <f t="shared" ca="1" si="246"/>
        <v>No</v>
      </c>
      <c r="H1253" s="12">
        <f t="shared" ca="1" si="254"/>
        <v>0</v>
      </c>
      <c r="I1253" s="10">
        <f t="shared" ca="1" si="247"/>
        <v>1</v>
      </c>
      <c r="J1253" s="13">
        <f t="shared" ca="1" si="248"/>
        <v>0</v>
      </c>
      <c r="K1253" s="14">
        <f t="shared" ca="1" si="249"/>
        <v>72.8</v>
      </c>
      <c r="L1253" s="14">
        <f t="shared" ca="1" si="250"/>
        <v>0</v>
      </c>
      <c r="M1253" s="15">
        <f t="shared" ca="1" si="251"/>
        <v>72.8</v>
      </c>
      <c r="N1253" s="16">
        <f ca="1">SUM($M$9:M1253)/A1253</f>
        <v>338.59084337349401</v>
      </c>
      <c r="O1253" s="6"/>
    </row>
    <row r="1254" spans="1:15" x14ac:dyDescent="0.25">
      <c r="A1254" s="8">
        <v>1246</v>
      </c>
      <c r="B1254" s="9">
        <f t="shared" ca="1" si="243"/>
        <v>2164</v>
      </c>
      <c r="C1254" s="10">
        <f t="shared" ca="1" si="244"/>
        <v>1800</v>
      </c>
      <c r="D1254" s="11">
        <f t="shared" ca="1" si="252"/>
        <v>0.32226088251574181</v>
      </c>
      <c r="E1254" s="9">
        <f t="shared" ca="1" si="253"/>
        <v>376</v>
      </c>
      <c r="F1254" s="9">
        <f t="shared" ca="1" si="245"/>
        <v>1788</v>
      </c>
      <c r="G1254" s="12" t="str">
        <f t="shared" ca="1" si="246"/>
        <v>No</v>
      </c>
      <c r="H1254" s="12">
        <f t="shared" ca="1" si="254"/>
        <v>0</v>
      </c>
      <c r="I1254" s="10">
        <f t="shared" ca="1" si="247"/>
        <v>0</v>
      </c>
      <c r="J1254" s="13">
        <f t="shared" ca="1" si="248"/>
        <v>0</v>
      </c>
      <c r="K1254" s="14">
        <f t="shared" ca="1" si="249"/>
        <v>357.6</v>
      </c>
      <c r="L1254" s="14">
        <f t="shared" ca="1" si="250"/>
        <v>0</v>
      </c>
      <c r="M1254" s="15">
        <f t="shared" ca="1" si="251"/>
        <v>357.6</v>
      </c>
      <c r="N1254" s="16">
        <f ca="1">SUM($M$9:M1254)/A1254</f>
        <v>338.60609951845908</v>
      </c>
      <c r="O1254" s="6"/>
    </row>
    <row r="1255" spans="1:15" x14ac:dyDescent="0.25">
      <c r="A1255" s="8">
        <v>1247</v>
      </c>
      <c r="B1255" s="9">
        <f t="shared" ca="1" si="243"/>
        <v>1788</v>
      </c>
      <c r="C1255" s="10">
        <f t="shared" ca="1" si="244"/>
        <v>0</v>
      </c>
      <c r="D1255" s="11">
        <f t="shared" ca="1" si="252"/>
        <v>0.92744943835578919</v>
      </c>
      <c r="E1255" s="9">
        <f t="shared" ca="1" si="253"/>
        <v>472</v>
      </c>
      <c r="F1255" s="9">
        <f t="shared" ca="1" si="245"/>
        <v>1316</v>
      </c>
      <c r="G1255" s="12" t="str">
        <f t="shared" ca="1" si="246"/>
        <v>No</v>
      </c>
      <c r="H1255" s="12">
        <f t="shared" ca="1" si="254"/>
        <v>0</v>
      </c>
      <c r="I1255" s="10">
        <f t="shared" ca="1" si="247"/>
        <v>0</v>
      </c>
      <c r="J1255" s="13">
        <f t="shared" ca="1" si="248"/>
        <v>0</v>
      </c>
      <c r="K1255" s="14">
        <f t="shared" ca="1" si="249"/>
        <v>263.2</v>
      </c>
      <c r="L1255" s="14">
        <f t="shared" ca="1" si="250"/>
        <v>0</v>
      </c>
      <c r="M1255" s="15">
        <f t="shared" ca="1" si="251"/>
        <v>263.2</v>
      </c>
      <c r="N1255" s="16">
        <f ca="1">SUM($M$9:M1255)/A1255</f>
        <v>338.54562951082602</v>
      </c>
      <c r="O1255" s="6"/>
    </row>
    <row r="1256" spans="1:15" x14ac:dyDescent="0.25">
      <c r="A1256" s="8">
        <v>1248</v>
      </c>
      <c r="B1256" s="9">
        <f t="shared" ca="1" si="243"/>
        <v>1316</v>
      </c>
      <c r="C1256" s="10">
        <f t="shared" ca="1" si="244"/>
        <v>0</v>
      </c>
      <c r="D1256" s="11">
        <f t="shared" ca="1" si="252"/>
        <v>0.46898896846877058</v>
      </c>
      <c r="E1256" s="9">
        <f t="shared" ca="1" si="253"/>
        <v>396</v>
      </c>
      <c r="F1256" s="9">
        <f t="shared" ca="1" si="245"/>
        <v>920</v>
      </c>
      <c r="G1256" s="12" t="str">
        <f t="shared" ca="1" si="246"/>
        <v>Yes</v>
      </c>
      <c r="H1256" s="12">
        <f t="shared" ca="1" si="254"/>
        <v>0.58288302184259821</v>
      </c>
      <c r="I1256" s="10">
        <f t="shared" ca="1" si="247"/>
        <v>1</v>
      </c>
      <c r="J1256" s="13">
        <f t="shared" ca="1" si="248"/>
        <v>300</v>
      </c>
      <c r="K1256" s="14">
        <f t="shared" ca="1" si="249"/>
        <v>184</v>
      </c>
      <c r="L1256" s="14">
        <f t="shared" ca="1" si="250"/>
        <v>0</v>
      </c>
      <c r="M1256" s="15">
        <f t="shared" ca="1" si="251"/>
        <v>484</v>
      </c>
      <c r="N1256" s="16">
        <f ca="1">SUM($M$9:M1256)/A1256</f>
        <v>338.66217948717951</v>
      </c>
      <c r="O1256" s="6"/>
    </row>
    <row r="1257" spans="1:15" x14ac:dyDescent="0.25">
      <c r="A1257" s="8">
        <v>1249</v>
      </c>
      <c r="B1257" s="9">
        <f t="shared" ca="1" si="243"/>
        <v>2720</v>
      </c>
      <c r="C1257" s="10">
        <f t="shared" ca="1" si="244"/>
        <v>1800</v>
      </c>
      <c r="D1257" s="11">
        <f t="shared" ca="1" si="252"/>
        <v>0.58429792039308781</v>
      </c>
      <c r="E1257" s="9">
        <f t="shared" ca="1" si="253"/>
        <v>410</v>
      </c>
      <c r="F1257" s="9">
        <f t="shared" ca="1" si="245"/>
        <v>2310</v>
      </c>
      <c r="G1257" s="12" t="str">
        <f t="shared" ca="1" si="246"/>
        <v>No</v>
      </c>
      <c r="H1257" s="12">
        <f t="shared" ca="1" si="254"/>
        <v>0</v>
      </c>
      <c r="I1257" s="10">
        <f t="shared" ca="1" si="247"/>
        <v>0</v>
      </c>
      <c r="J1257" s="13">
        <f t="shared" ca="1" si="248"/>
        <v>0</v>
      </c>
      <c r="K1257" s="14">
        <f t="shared" ca="1" si="249"/>
        <v>462</v>
      </c>
      <c r="L1257" s="14">
        <f t="shared" ca="1" si="250"/>
        <v>0</v>
      </c>
      <c r="M1257" s="15">
        <f t="shared" ca="1" si="251"/>
        <v>462</v>
      </c>
      <c r="N1257" s="16">
        <f ca="1">SUM($M$9:M1257)/A1257</f>
        <v>338.76092874299439</v>
      </c>
      <c r="O1257" s="6"/>
    </row>
    <row r="1258" spans="1:15" x14ac:dyDescent="0.25">
      <c r="A1258" s="8">
        <v>1250</v>
      </c>
      <c r="B1258" s="9">
        <f t="shared" ca="1" si="243"/>
        <v>2310</v>
      </c>
      <c r="C1258" s="10">
        <f t="shared" ca="1" si="244"/>
        <v>0</v>
      </c>
      <c r="D1258" s="11">
        <f t="shared" ca="1" si="252"/>
        <v>0.93943291340189528</v>
      </c>
      <c r="E1258" s="9">
        <f t="shared" ca="1" si="253"/>
        <v>477</v>
      </c>
      <c r="F1258" s="9">
        <f t="shared" ca="1" si="245"/>
        <v>1833</v>
      </c>
      <c r="G1258" s="12" t="str">
        <f t="shared" ca="1" si="246"/>
        <v>No</v>
      </c>
      <c r="H1258" s="12">
        <f t="shared" ca="1" si="254"/>
        <v>0</v>
      </c>
      <c r="I1258" s="10">
        <f t="shared" ca="1" si="247"/>
        <v>0</v>
      </c>
      <c r="J1258" s="13">
        <f t="shared" ca="1" si="248"/>
        <v>0</v>
      </c>
      <c r="K1258" s="14">
        <f t="shared" ca="1" si="249"/>
        <v>366.6</v>
      </c>
      <c r="L1258" s="14">
        <f t="shared" ca="1" si="250"/>
        <v>0</v>
      </c>
      <c r="M1258" s="15">
        <f t="shared" ca="1" si="251"/>
        <v>366.6</v>
      </c>
      <c r="N1258" s="16">
        <f ca="1">SUM($M$9:M1258)/A1258</f>
        <v>338.78320000000002</v>
      </c>
      <c r="O1258" s="6"/>
    </row>
    <row r="1259" spans="1:15" x14ac:dyDescent="0.25">
      <c r="A1259" s="8">
        <v>1251</v>
      </c>
      <c r="B1259" s="9">
        <f t="shared" ca="1" si="243"/>
        <v>1833</v>
      </c>
      <c r="C1259" s="10">
        <f t="shared" ca="1" si="244"/>
        <v>0</v>
      </c>
      <c r="D1259" s="11">
        <f t="shared" ca="1" si="252"/>
        <v>0.51620423713127472</v>
      </c>
      <c r="E1259" s="9">
        <f t="shared" ca="1" si="253"/>
        <v>402</v>
      </c>
      <c r="F1259" s="9">
        <f t="shared" ca="1" si="245"/>
        <v>1431</v>
      </c>
      <c r="G1259" s="12" t="str">
        <f t="shared" ca="1" si="246"/>
        <v>No</v>
      </c>
      <c r="H1259" s="12">
        <f t="shared" ca="1" si="254"/>
        <v>0</v>
      </c>
      <c r="I1259" s="10">
        <f t="shared" ca="1" si="247"/>
        <v>0</v>
      </c>
      <c r="J1259" s="13">
        <f t="shared" ca="1" si="248"/>
        <v>0</v>
      </c>
      <c r="K1259" s="14">
        <f t="shared" ca="1" si="249"/>
        <v>286.2</v>
      </c>
      <c r="L1259" s="14">
        <f t="shared" ca="1" si="250"/>
        <v>0</v>
      </c>
      <c r="M1259" s="15">
        <f t="shared" ca="1" si="251"/>
        <v>286.2</v>
      </c>
      <c r="N1259" s="16">
        <f ca="1">SUM($M$9:M1259)/A1259</f>
        <v>338.74116706634692</v>
      </c>
      <c r="O1259" s="6"/>
    </row>
    <row r="1260" spans="1:15" x14ac:dyDescent="0.25">
      <c r="A1260" s="8">
        <v>1252</v>
      </c>
      <c r="B1260" s="9">
        <f t="shared" ca="1" si="243"/>
        <v>1431</v>
      </c>
      <c r="C1260" s="10">
        <f t="shared" ca="1" si="244"/>
        <v>0</v>
      </c>
      <c r="D1260" s="11">
        <f t="shared" ca="1" si="252"/>
        <v>6.7708272096032363E-2</v>
      </c>
      <c r="E1260" s="9">
        <f t="shared" ca="1" si="253"/>
        <v>325</v>
      </c>
      <c r="F1260" s="9">
        <f t="shared" ca="1" si="245"/>
        <v>1106</v>
      </c>
      <c r="G1260" s="12" t="str">
        <f t="shared" ca="1" si="246"/>
        <v>No</v>
      </c>
      <c r="H1260" s="12">
        <f t="shared" ca="1" si="254"/>
        <v>0</v>
      </c>
      <c r="I1260" s="10">
        <f t="shared" ca="1" si="247"/>
        <v>0</v>
      </c>
      <c r="J1260" s="13">
        <f t="shared" ca="1" si="248"/>
        <v>0</v>
      </c>
      <c r="K1260" s="14">
        <f t="shared" ca="1" si="249"/>
        <v>221.20000000000002</v>
      </c>
      <c r="L1260" s="14">
        <f t="shared" ca="1" si="250"/>
        <v>0</v>
      </c>
      <c r="M1260" s="15">
        <f t="shared" ca="1" si="251"/>
        <v>221.20000000000002</v>
      </c>
      <c r="N1260" s="16">
        <f ca="1">SUM($M$9:M1260)/A1260</f>
        <v>338.64728434504792</v>
      </c>
      <c r="O1260" s="6"/>
    </row>
    <row r="1261" spans="1:15" x14ac:dyDescent="0.25">
      <c r="A1261" s="8">
        <v>1253</v>
      </c>
      <c r="B1261" s="9">
        <f t="shared" ca="1" si="243"/>
        <v>1106</v>
      </c>
      <c r="C1261" s="10">
        <f t="shared" ca="1" si="244"/>
        <v>0</v>
      </c>
      <c r="D1261" s="11">
        <f t="shared" ca="1" si="252"/>
        <v>0.1680085443912287</v>
      </c>
      <c r="E1261" s="9">
        <f t="shared" ca="1" si="253"/>
        <v>351</v>
      </c>
      <c r="F1261" s="9">
        <f t="shared" ca="1" si="245"/>
        <v>755</v>
      </c>
      <c r="G1261" s="12" t="str">
        <f t="shared" ca="1" si="246"/>
        <v>Yes</v>
      </c>
      <c r="H1261" s="12">
        <f t="shared" ca="1" si="254"/>
        <v>0.45287170099883878</v>
      </c>
      <c r="I1261" s="10">
        <f t="shared" ca="1" si="247"/>
        <v>1</v>
      </c>
      <c r="J1261" s="13">
        <f t="shared" ca="1" si="248"/>
        <v>300</v>
      </c>
      <c r="K1261" s="14">
        <f t="shared" ca="1" si="249"/>
        <v>151</v>
      </c>
      <c r="L1261" s="14">
        <f t="shared" ca="1" si="250"/>
        <v>0</v>
      </c>
      <c r="M1261" s="15">
        <f t="shared" ca="1" si="251"/>
        <v>451</v>
      </c>
      <c r="N1261" s="16">
        <f ca="1">SUM($M$9:M1261)/A1261</f>
        <v>338.73695131683962</v>
      </c>
      <c r="O1261" s="6"/>
    </row>
    <row r="1262" spans="1:15" x14ac:dyDescent="0.25">
      <c r="A1262" s="8">
        <v>1254</v>
      </c>
      <c r="B1262" s="9">
        <f t="shared" ca="1" si="243"/>
        <v>2555</v>
      </c>
      <c r="C1262" s="10">
        <f t="shared" ca="1" si="244"/>
        <v>1800</v>
      </c>
      <c r="D1262" s="11">
        <f t="shared" ca="1" si="252"/>
        <v>7.5200890940825493E-2</v>
      </c>
      <c r="E1262" s="9">
        <f t="shared" ca="1" si="253"/>
        <v>328</v>
      </c>
      <c r="F1262" s="9">
        <f t="shared" ca="1" si="245"/>
        <v>2227</v>
      </c>
      <c r="G1262" s="12" t="str">
        <f t="shared" ca="1" si="246"/>
        <v>No</v>
      </c>
      <c r="H1262" s="12">
        <f t="shared" ca="1" si="254"/>
        <v>0</v>
      </c>
      <c r="I1262" s="10">
        <f t="shared" ca="1" si="247"/>
        <v>0</v>
      </c>
      <c r="J1262" s="13">
        <f t="shared" ca="1" si="248"/>
        <v>0</v>
      </c>
      <c r="K1262" s="14">
        <f t="shared" ca="1" si="249"/>
        <v>445.40000000000003</v>
      </c>
      <c r="L1262" s="14">
        <f t="shared" ca="1" si="250"/>
        <v>0</v>
      </c>
      <c r="M1262" s="15">
        <f t="shared" ca="1" si="251"/>
        <v>445.40000000000003</v>
      </c>
      <c r="N1262" s="16">
        <f ca="1">SUM($M$9:M1262)/A1262</f>
        <v>338.82200956937805</v>
      </c>
      <c r="O1262" s="6"/>
    </row>
    <row r="1263" spans="1:15" x14ac:dyDescent="0.25">
      <c r="A1263" s="8">
        <v>1255</v>
      </c>
      <c r="B1263" s="9">
        <f t="shared" ca="1" si="243"/>
        <v>2227</v>
      </c>
      <c r="C1263" s="10">
        <f t="shared" ca="1" si="244"/>
        <v>0</v>
      </c>
      <c r="D1263" s="11">
        <f t="shared" ca="1" si="252"/>
        <v>0.12960257044187851</v>
      </c>
      <c r="E1263" s="9">
        <f t="shared" ca="1" si="253"/>
        <v>343</v>
      </c>
      <c r="F1263" s="9">
        <f t="shared" ca="1" si="245"/>
        <v>1884</v>
      </c>
      <c r="G1263" s="12" t="str">
        <f t="shared" ca="1" si="246"/>
        <v>No</v>
      </c>
      <c r="H1263" s="12">
        <f t="shared" ca="1" si="254"/>
        <v>0</v>
      </c>
      <c r="I1263" s="10">
        <f t="shared" ca="1" si="247"/>
        <v>0</v>
      </c>
      <c r="J1263" s="13">
        <f t="shared" ca="1" si="248"/>
        <v>0</v>
      </c>
      <c r="K1263" s="14">
        <f t="shared" ca="1" si="249"/>
        <v>376.8</v>
      </c>
      <c r="L1263" s="14">
        <f t="shared" ca="1" si="250"/>
        <v>0</v>
      </c>
      <c r="M1263" s="15">
        <f t="shared" ca="1" si="251"/>
        <v>376.8</v>
      </c>
      <c r="N1263" s="16">
        <f ca="1">SUM($M$9:M1263)/A1263</f>
        <v>338.8522709163347</v>
      </c>
      <c r="O1263" s="6"/>
    </row>
    <row r="1264" spans="1:15" x14ac:dyDescent="0.25">
      <c r="A1264" s="8">
        <v>1256</v>
      </c>
      <c r="B1264" s="9">
        <f t="shared" ca="1" si="243"/>
        <v>1884</v>
      </c>
      <c r="C1264" s="10">
        <f t="shared" ca="1" si="244"/>
        <v>0</v>
      </c>
      <c r="D1264" s="11">
        <f t="shared" ca="1" si="252"/>
        <v>0.88434152372582298</v>
      </c>
      <c r="E1264" s="9">
        <f t="shared" ca="1" si="253"/>
        <v>459</v>
      </c>
      <c r="F1264" s="9">
        <f t="shared" ca="1" si="245"/>
        <v>1425</v>
      </c>
      <c r="G1264" s="12" t="str">
        <f t="shared" ca="1" si="246"/>
        <v>No</v>
      </c>
      <c r="H1264" s="12">
        <f t="shared" ca="1" si="254"/>
        <v>0</v>
      </c>
      <c r="I1264" s="10">
        <f t="shared" ca="1" si="247"/>
        <v>0</v>
      </c>
      <c r="J1264" s="13">
        <f t="shared" ca="1" si="248"/>
        <v>0</v>
      </c>
      <c r="K1264" s="14">
        <f t="shared" ca="1" si="249"/>
        <v>285</v>
      </c>
      <c r="L1264" s="14">
        <f t="shared" ca="1" si="250"/>
        <v>0</v>
      </c>
      <c r="M1264" s="15">
        <f t="shared" ca="1" si="251"/>
        <v>285</v>
      </c>
      <c r="N1264" s="16">
        <f ca="1">SUM($M$9:M1264)/A1264</f>
        <v>338.8093949044586</v>
      </c>
      <c r="O1264" s="6"/>
    </row>
    <row r="1265" spans="1:15" x14ac:dyDescent="0.25">
      <c r="A1265" s="8">
        <v>1257</v>
      </c>
      <c r="B1265" s="9">
        <f t="shared" ca="1" si="243"/>
        <v>1425</v>
      </c>
      <c r="C1265" s="10">
        <f t="shared" ca="1" si="244"/>
        <v>0</v>
      </c>
      <c r="D1265" s="11">
        <f t="shared" ca="1" si="252"/>
        <v>0.97286846337662303</v>
      </c>
      <c r="E1265" s="9">
        <f t="shared" ca="1" si="253"/>
        <v>496</v>
      </c>
      <c r="F1265" s="9">
        <f t="shared" ca="1" si="245"/>
        <v>929</v>
      </c>
      <c r="G1265" s="12" t="str">
        <f t="shared" ca="1" si="246"/>
        <v>No</v>
      </c>
      <c r="H1265" s="12">
        <f t="shared" ca="1" si="254"/>
        <v>0</v>
      </c>
      <c r="I1265" s="10">
        <f t="shared" ca="1" si="247"/>
        <v>0</v>
      </c>
      <c r="J1265" s="13">
        <f t="shared" ca="1" si="248"/>
        <v>0</v>
      </c>
      <c r="K1265" s="14">
        <f t="shared" ca="1" si="249"/>
        <v>185.8</v>
      </c>
      <c r="L1265" s="14">
        <f t="shared" ca="1" si="250"/>
        <v>0</v>
      </c>
      <c r="M1265" s="15">
        <f t="shared" ca="1" si="251"/>
        <v>185.8</v>
      </c>
      <c r="N1265" s="16">
        <f ca="1">SUM($M$9:M1265)/A1265</f>
        <v>338.68766905330153</v>
      </c>
      <c r="O1265" s="6"/>
    </row>
    <row r="1266" spans="1:15" x14ac:dyDescent="0.25">
      <c r="A1266" s="8">
        <v>1258</v>
      </c>
      <c r="B1266" s="9">
        <f t="shared" ca="1" si="243"/>
        <v>929</v>
      </c>
      <c r="C1266" s="10">
        <f t="shared" ca="1" si="244"/>
        <v>0</v>
      </c>
      <c r="D1266" s="11">
        <f t="shared" ca="1" si="252"/>
        <v>0.30743488196556379</v>
      </c>
      <c r="E1266" s="9">
        <f t="shared" ca="1" si="253"/>
        <v>374</v>
      </c>
      <c r="F1266" s="9">
        <f t="shared" ca="1" si="245"/>
        <v>555</v>
      </c>
      <c r="G1266" s="12" t="str">
        <f t="shared" ca="1" si="246"/>
        <v>Yes</v>
      </c>
      <c r="H1266" s="12">
        <f t="shared" ca="1" si="254"/>
        <v>0.85768701784317702</v>
      </c>
      <c r="I1266" s="10">
        <f t="shared" ca="1" si="247"/>
        <v>2</v>
      </c>
      <c r="J1266" s="13">
        <f t="shared" ca="1" si="248"/>
        <v>300</v>
      </c>
      <c r="K1266" s="14">
        <f t="shared" ca="1" si="249"/>
        <v>111</v>
      </c>
      <c r="L1266" s="14">
        <f t="shared" ca="1" si="250"/>
        <v>0</v>
      </c>
      <c r="M1266" s="15">
        <f t="shared" ca="1" si="251"/>
        <v>411</v>
      </c>
      <c r="N1266" s="16">
        <f ca="1">SUM($M$9:M1266)/A1266</f>
        <v>338.74515103338632</v>
      </c>
      <c r="O1266" s="6"/>
    </row>
    <row r="1267" spans="1:15" x14ac:dyDescent="0.25">
      <c r="A1267" s="8">
        <v>1259</v>
      </c>
      <c r="B1267" s="9">
        <f t="shared" ca="1" si="243"/>
        <v>555</v>
      </c>
      <c r="C1267" s="10">
        <f t="shared" ca="1" si="244"/>
        <v>0</v>
      </c>
      <c r="D1267" s="11">
        <f t="shared" ca="1" si="252"/>
        <v>0.3653481778329013</v>
      </c>
      <c r="E1267" s="9">
        <f t="shared" ca="1" si="253"/>
        <v>382</v>
      </c>
      <c r="F1267" s="9">
        <f t="shared" ca="1" si="245"/>
        <v>173</v>
      </c>
      <c r="G1267" s="12" t="str">
        <f t="shared" ca="1" si="246"/>
        <v>No</v>
      </c>
      <c r="H1267" s="12">
        <f t="shared" ca="1" si="254"/>
        <v>0</v>
      </c>
      <c r="I1267" s="10">
        <f t="shared" ca="1" si="247"/>
        <v>1</v>
      </c>
      <c r="J1267" s="13">
        <f t="shared" ca="1" si="248"/>
        <v>0</v>
      </c>
      <c r="K1267" s="14">
        <f t="shared" ca="1" si="249"/>
        <v>34.6</v>
      </c>
      <c r="L1267" s="14">
        <f t="shared" ca="1" si="250"/>
        <v>0</v>
      </c>
      <c r="M1267" s="15">
        <f t="shared" ca="1" si="251"/>
        <v>34.6</v>
      </c>
      <c r="N1267" s="16">
        <f ca="1">SUM($M$9:M1267)/A1267</f>
        <v>338.5035742652899</v>
      </c>
      <c r="O1267" s="6"/>
    </row>
    <row r="1268" spans="1:15" x14ac:dyDescent="0.25">
      <c r="A1268" s="8">
        <v>1260</v>
      </c>
      <c r="B1268" s="9">
        <f t="shared" ca="1" si="243"/>
        <v>1973</v>
      </c>
      <c r="C1268" s="10">
        <f t="shared" ca="1" si="244"/>
        <v>1800</v>
      </c>
      <c r="D1268" s="11">
        <f t="shared" ca="1" si="252"/>
        <v>0.97485670692031956</v>
      </c>
      <c r="E1268" s="9">
        <f t="shared" ca="1" si="253"/>
        <v>497</v>
      </c>
      <c r="F1268" s="9">
        <f t="shared" ca="1" si="245"/>
        <v>1476</v>
      </c>
      <c r="G1268" s="12" t="str">
        <f t="shared" ca="1" si="246"/>
        <v>No</v>
      </c>
      <c r="H1268" s="12">
        <f t="shared" ca="1" si="254"/>
        <v>0</v>
      </c>
      <c r="I1268" s="10">
        <f t="shared" ca="1" si="247"/>
        <v>0</v>
      </c>
      <c r="J1268" s="13">
        <f t="shared" ca="1" si="248"/>
        <v>0</v>
      </c>
      <c r="K1268" s="14">
        <f t="shared" ca="1" si="249"/>
        <v>295.2</v>
      </c>
      <c r="L1268" s="14">
        <f t="shared" ca="1" si="250"/>
        <v>0</v>
      </c>
      <c r="M1268" s="15">
        <f t="shared" ca="1" si="251"/>
        <v>295.2</v>
      </c>
      <c r="N1268" s="16">
        <f ca="1">SUM($M$9:M1268)/A1268</f>
        <v>338.46920634920633</v>
      </c>
      <c r="O1268" s="6"/>
    </row>
    <row r="1269" spans="1:15" x14ac:dyDescent="0.25">
      <c r="A1269" s="8">
        <v>1261</v>
      </c>
      <c r="B1269" s="9">
        <f t="shared" ca="1" si="243"/>
        <v>1476</v>
      </c>
      <c r="C1269" s="10">
        <f t="shared" ca="1" si="244"/>
        <v>0</v>
      </c>
      <c r="D1269" s="11">
        <f t="shared" ca="1" si="252"/>
        <v>0.87078631974329124</v>
      </c>
      <c r="E1269" s="9">
        <f t="shared" ca="1" si="253"/>
        <v>456</v>
      </c>
      <c r="F1269" s="9">
        <f t="shared" ca="1" si="245"/>
        <v>1020</v>
      </c>
      <c r="G1269" s="12" t="str">
        <f t="shared" ca="1" si="246"/>
        <v>No</v>
      </c>
      <c r="H1269" s="12">
        <f t="shared" ca="1" si="254"/>
        <v>0</v>
      </c>
      <c r="I1269" s="10">
        <f t="shared" ca="1" si="247"/>
        <v>0</v>
      </c>
      <c r="J1269" s="13">
        <f t="shared" ca="1" si="248"/>
        <v>0</v>
      </c>
      <c r="K1269" s="14">
        <f t="shared" ca="1" si="249"/>
        <v>204</v>
      </c>
      <c r="L1269" s="14">
        <f t="shared" ca="1" si="250"/>
        <v>0</v>
      </c>
      <c r="M1269" s="15">
        <f t="shared" ca="1" si="251"/>
        <v>204</v>
      </c>
      <c r="N1269" s="16">
        <f ca="1">SUM($M$9:M1269)/A1269</f>
        <v>338.3625693893735</v>
      </c>
      <c r="O1269" s="6"/>
    </row>
    <row r="1270" spans="1:15" x14ac:dyDescent="0.25">
      <c r="A1270" s="8">
        <v>1262</v>
      </c>
      <c r="B1270" s="9">
        <f t="shared" ca="1" si="243"/>
        <v>1020</v>
      </c>
      <c r="C1270" s="10">
        <f t="shared" ca="1" si="244"/>
        <v>0</v>
      </c>
      <c r="D1270" s="11">
        <f t="shared" ca="1" si="252"/>
        <v>0.22123806989374417</v>
      </c>
      <c r="E1270" s="9">
        <f t="shared" ca="1" si="253"/>
        <v>361</v>
      </c>
      <c r="F1270" s="9">
        <f t="shared" ca="1" si="245"/>
        <v>659</v>
      </c>
      <c r="G1270" s="12" t="str">
        <f t="shared" ca="1" si="246"/>
        <v>Yes</v>
      </c>
      <c r="H1270" s="12">
        <f t="shared" ca="1" si="254"/>
        <v>0.53087838120274433</v>
      </c>
      <c r="I1270" s="10">
        <f t="shared" ca="1" si="247"/>
        <v>1</v>
      </c>
      <c r="J1270" s="13">
        <f t="shared" ca="1" si="248"/>
        <v>300</v>
      </c>
      <c r="K1270" s="14">
        <f t="shared" ca="1" si="249"/>
        <v>131.80000000000001</v>
      </c>
      <c r="L1270" s="14">
        <f t="shared" ca="1" si="250"/>
        <v>0</v>
      </c>
      <c r="M1270" s="15">
        <f t="shared" ca="1" si="251"/>
        <v>431.8</v>
      </c>
      <c r="N1270" s="16">
        <f ca="1">SUM($M$9:M1270)/A1270</f>
        <v>338.43660855784469</v>
      </c>
      <c r="O1270" s="6"/>
    </row>
    <row r="1271" spans="1:15" x14ac:dyDescent="0.25">
      <c r="A1271" s="8">
        <v>1263</v>
      </c>
      <c r="B1271" s="9">
        <f t="shared" ca="1" si="243"/>
        <v>2459</v>
      </c>
      <c r="C1271" s="10">
        <f t="shared" ca="1" si="244"/>
        <v>1800</v>
      </c>
      <c r="D1271" s="11">
        <f t="shared" ca="1" si="252"/>
        <v>0.43872968254991385</v>
      </c>
      <c r="E1271" s="9">
        <f t="shared" ca="1" si="253"/>
        <v>392</v>
      </c>
      <c r="F1271" s="9">
        <f t="shared" ca="1" si="245"/>
        <v>2067</v>
      </c>
      <c r="G1271" s="12" t="str">
        <f t="shared" ca="1" si="246"/>
        <v>No</v>
      </c>
      <c r="H1271" s="12">
        <f t="shared" ca="1" si="254"/>
        <v>0</v>
      </c>
      <c r="I1271" s="10">
        <f t="shared" ca="1" si="247"/>
        <v>0</v>
      </c>
      <c r="J1271" s="13">
        <f t="shared" ca="1" si="248"/>
        <v>0</v>
      </c>
      <c r="K1271" s="14">
        <f t="shared" ca="1" si="249"/>
        <v>413.40000000000003</v>
      </c>
      <c r="L1271" s="14">
        <f t="shared" ca="1" si="250"/>
        <v>0</v>
      </c>
      <c r="M1271" s="15">
        <f t="shared" ca="1" si="251"/>
        <v>413.40000000000003</v>
      </c>
      <c r="N1271" s="16">
        <f ca="1">SUM($M$9:M1271)/A1271</f>
        <v>338.49596199524944</v>
      </c>
      <c r="O1271" s="6"/>
    </row>
    <row r="1272" spans="1:15" x14ac:dyDescent="0.25">
      <c r="A1272" s="8">
        <v>1264</v>
      </c>
      <c r="B1272" s="9">
        <f t="shared" ca="1" si="243"/>
        <v>2067</v>
      </c>
      <c r="C1272" s="10">
        <f t="shared" ca="1" si="244"/>
        <v>0</v>
      </c>
      <c r="D1272" s="11">
        <f t="shared" ca="1" si="252"/>
        <v>0.70084894226042149</v>
      </c>
      <c r="E1272" s="9">
        <f t="shared" ca="1" si="253"/>
        <v>426</v>
      </c>
      <c r="F1272" s="9">
        <f t="shared" ca="1" si="245"/>
        <v>1641</v>
      </c>
      <c r="G1272" s="12" t="str">
        <f t="shared" ca="1" si="246"/>
        <v>No</v>
      </c>
      <c r="H1272" s="12">
        <f t="shared" ca="1" si="254"/>
        <v>0</v>
      </c>
      <c r="I1272" s="10">
        <f t="shared" ca="1" si="247"/>
        <v>0</v>
      </c>
      <c r="J1272" s="13">
        <f t="shared" ca="1" si="248"/>
        <v>0</v>
      </c>
      <c r="K1272" s="14">
        <f t="shared" ca="1" si="249"/>
        <v>328.20000000000005</v>
      </c>
      <c r="L1272" s="14">
        <f t="shared" ca="1" si="250"/>
        <v>0</v>
      </c>
      <c r="M1272" s="15">
        <f t="shared" ca="1" si="251"/>
        <v>328.20000000000005</v>
      </c>
      <c r="N1272" s="16">
        <f ca="1">SUM($M$9:M1272)/A1272</f>
        <v>338.48781645569625</v>
      </c>
      <c r="O1272" s="6"/>
    </row>
    <row r="1273" spans="1:15" x14ac:dyDescent="0.25">
      <c r="A1273" s="8">
        <v>1265</v>
      </c>
      <c r="B1273" s="9">
        <f t="shared" ca="1" si="243"/>
        <v>1641</v>
      </c>
      <c r="C1273" s="10">
        <f t="shared" ca="1" si="244"/>
        <v>0</v>
      </c>
      <c r="D1273" s="11">
        <f t="shared" ca="1" si="252"/>
        <v>0.76682251853255479</v>
      </c>
      <c r="E1273" s="9">
        <f t="shared" ca="1" si="253"/>
        <v>436</v>
      </c>
      <c r="F1273" s="9">
        <f t="shared" ca="1" si="245"/>
        <v>1205</v>
      </c>
      <c r="G1273" s="12" t="str">
        <f t="shared" ca="1" si="246"/>
        <v>No</v>
      </c>
      <c r="H1273" s="12">
        <f t="shared" ca="1" si="254"/>
        <v>0</v>
      </c>
      <c r="I1273" s="10">
        <f t="shared" ca="1" si="247"/>
        <v>0</v>
      </c>
      <c r="J1273" s="13">
        <f t="shared" ca="1" si="248"/>
        <v>0</v>
      </c>
      <c r="K1273" s="14">
        <f t="shared" ca="1" si="249"/>
        <v>241</v>
      </c>
      <c r="L1273" s="14">
        <f t="shared" ca="1" si="250"/>
        <v>0</v>
      </c>
      <c r="M1273" s="15">
        <f t="shared" ca="1" si="251"/>
        <v>241</v>
      </c>
      <c r="N1273" s="16">
        <f ca="1">SUM($M$9:M1273)/A1273</f>
        <v>338.4107509881423</v>
      </c>
      <c r="O1273" s="6"/>
    </row>
    <row r="1274" spans="1:15" x14ac:dyDescent="0.25">
      <c r="A1274" s="8">
        <v>1266</v>
      </c>
      <c r="B1274" s="9">
        <f t="shared" ca="1" si="243"/>
        <v>1205</v>
      </c>
      <c r="C1274" s="10">
        <f t="shared" ca="1" si="244"/>
        <v>0</v>
      </c>
      <c r="D1274" s="11">
        <f t="shared" ca="1" si="252"/>
        <v>0.26841353351851782</v>
      </c>
      <c r="E1274" s="9">
        <f t="shared" ca="1" si="253"/>
        <v>369</v>
      </c>
      <c r="F1274" s="9">
        <f t="shared" ca="1" si="245"/>
        <v>836</v>
      </c>
      <c r="G1274" s="12" t="str">
        <f t="shared" ca="1" si="246"/>
        <v>Yes</v>
      </c>
      <c r="H1274" s="12">
        <f t="shared" ca="1" si="254"/>
        <v>0.37001614023713869</v>
      </c>
      <c r="I1274" s="10">
        <f t="shared" ca="1" si="247"/>
        <v>1</v>
      </c>
      <c r="J1274" s="13">
        <f t="shared" ca="1" si="248"/>
        <v>300</v>
      </c>
      <c r="K1274" s="14">
        <f t="shared" ca="1" si="249"/>
        <v>167.20000000000002</v>
      </c>
      <c r="L1274" s="14">
        <f t="shared" ca="1" si="250"/>
        <v>0</v>
      </c>
      <c r="M1274" s="15">
        <f t="shared" ca="1" si="251"/>
        <v>467.20000000000005</v>
      </c>
      <c r="N1274" s="16">
        <f ca="1">SUM($M$9:M1274)/A1274</f>
        <v>338.51248025276465</v>
      </c>
      <c r="O1274" s="6"/>
    </row>
    <row r="1275" spans="1:15" x14ac:dyDescent="0.25">
      <c r="A1275" s="8">
        <v>1267</v>
      </c>
      <c r="B1275" s="9">
        <f t="shared" ca="1" si="243"/>
        <v>2636</v>
      </c>
      <c r="C1275" s="10">
        <f t="shared" ca="1" si="244"/>
        <v>1800</v>
      </c>
      <c r="D1275" s="11">
        <f t="shared" ca="1" si="252"/>
        <v>0.7150158304184937</v>
      </c>
      <c r="E1275" s="9">
        <f t="shared" ca="1" si="253"/>
        <v>428</v>
      </c>
      <c r="F1275" s="9">
        <f t="shared" ca="1" si="245"/>
        <v>2208</v>
      </c>
      <c r="G1275" s="12" t="str">
        <f t="shared" ca="1" si="246"/>
        <v>No</v>
      </c>
      <c r="H1275" s="12">
        <f t="shared" ca="1" si="254"/>
        <v>0</v>
      </c>
      <c r="I1275" s="10">
        <f t="shared" ca="1" si="247"/>
        <v>0</v>
      </c>
      <c r="J1275" s="13">
        <f t="shared" ca="1" si="248"/>
        <v>0</v>
      </c>
      <c r="K1275" s="14">
        <f t="shared" ca="1" si="249"/>
        <v>441.6</v>
      </c>
      <c r="L1275" s="14">
        <f t="shared" ca="1" si="250"/>
        <v>0</v>
      </c>
      <c r="M1275" s="15">
        <f t="shared" ca="1" si="251"/>
        <v>441.6</v>
      </c>
      <c r="N1275" s="16">
        <f ca="1">SUM($M$9:M1275)/A1275</f>
        <v>338.59384372533543</v>
      </c>
      <c r="O1275" s="6"/>
    </row>
    <row r="1276" spans="1:15" x14ac:dyDescent="0.25">
      <c r="A1276" s="8">
        <v>1268</v>
      </c>
      <c r="B1276" s="9">
        <f t="shared" ca="1" si="243"/>
        <v>2208</v>
      </c>
      <c r="C1276" s="10">
        <f t="shared" ca="1" si="244"/>
        <v>0</v>
      </c>
      <c r="D1276" s="11">
        <f t="shared" ca="1" si="252"/>
        <v>0.50934239587145536</v>
      </c>
      <c r="E1276" s="9">
        <f t="shared" ca="1" si="253"/>
        <v>401</v>
      </c>
      <c r="F1276" s="9">
        <f t="shared" ca="1" si="245"/>
        <v>1807</v>
      </c>
      <c r="G1276" s="12" t="str">
        <f t="shared" ca="1" si="246"/>
        <v>No</v>
      </c>
      <c r="H1276" s="12">
        <f t="shared" ca="1" si="254"/>
        <v>0</v>
      </c>
      <c r="I1276" s="10">
        <f t="shared" ca="1" si="247"/>
        <v>0</v>
      </c>
      <c r="J1276" s="13">
        <f t="shared" ca="1" si="248"/>
        <v>0</v>
      </c>
      <c r="K1276" s="14">
        <f t="shared" ca="1" si="249"/>
        <v>361.40000000000003</v>
      </c>
      <c r="L1276" s="14">
        <f t="shared" ca="1" si="250"/>
        <v>0</v>
      </c>
      <c r="M1276" s="15">
        <f t="shared" ca="1" si="251"/>
        <v>361.40000000000003</v>
      </c>
      <c r="N1276" s="16">
        <f ca="1">SUM($M$9:M1276)/A1276</f>
        <v>338.6118296529969</v>
      </c>
      <c r="O1276" s="6"/>
    </row>
    <row r="1277" spans="1:15" x14ac:dyDescent="0.25">
      <c r="A1277" s="8">
        <v>1269</v>
      </c>
      <c r="B1277" s="9">
        <f t="shared" ref="B1277:B1340" ca="1" si="255">IF(I1276=1,F1276+Quantity,F1276)</f>
        <v>1807</v>
      </c>
      <c r="C1277" s="10">
        <f t="shared" ref="C1277:C1340" ca="1" si="256">IF(I1276=1,Quantity,0)</f>
        <v>0</v>
      </c>
      <c r="D1277" s="11">
        <f t="shared" ca="1" si="252"/>
        <v>0.34965945198420889</v>
      </c>
      <c r="E1277" s="9">
        <f t="shared" ca="1" si="253"/>
        <v>380</v>
      </c>
      <c r="F1277" s="9">
        <f t="shared" ref="F1277:F1340" ca="1" si="257">IF(B1277+C1277-E1277&lt;0,0,B1277-E1277)</f>
        <v>1427</v>
      </c>
      <c r="G1277" s="12" t="str">
        <f t="shared" ref="G1277:G1340" ca="1" si="258">IF(B1277&lt;Point,IF(I1276=0,"Yes","No"),"No")</f>
        <v>No</v>
      </c>
      <c r="H1277" s="12">
        <f t="shared" ca="1" si="254"/>
        <v>0</v>
      </c>
      <c r="I1277" s="10">
        <f t="shared" ref="I1277:I1340" ca="1" si="259">IF(I1276&gt;0,I1276-1,(IF(G1277="Yes",(VLOOKUP(H1277,LTD,3)),0)))</f>
        <v>0</v>
      </c>
      <c r="J1277" s="13">
        <f t="shared" ref="J1277:J1340" ca="1" si="260">IF(G1277="Yes",Order_Cost,0)</f>
        <v>0</v>
      </c>
      <c r="K1277" s="14">
        <f t="shared" ref="K1277:K1340" ca="1" si="261">F1277*Holding_Cost</f>
        <v>285.40000000000003</v>
      </c>
      <c r="L1277" s="14">
        <f t="shared" ref="L1277:L1340" ca="1" si="262">IF(B1277+C1277&lt;E1277,Shortage_Cost*(E1277-B1277-C1277),0)</f>
        <v>0</v>
      </c>
      <c r="M1277" s="15">
        <f t="shared" ref="M1277:M1340" ca="1" si="263">SUM(J1277:L1277)</f>
        <v>285.40000000000003</v>
      </c>
      <c r="N1277" s="16">
        <f ca="1">SUM($M$9:M1277)/A1277</f>
        <v>338.56989755713164</v>
      </c>
      <c r="O1277" s="6"/>
    </row>
    <row r="1278" spans="1:15" x14ac:dyDescent="0.25">
      <c r="A1278" s="8">
        <v>1270</v>
      </c>
      <c r="B1278" s="9">
        <f t="shared" ca="1" si="255"/>
        <v>1427</v>
      </c>
      <c r="C1278" s="10">
        <f t="shared" ca="1" si="256"/>
        <v>0</v>
      </c>
      <c r="D1278" s="11">
        <f t="shared" ca="1" si="252"/>
        <v>0.44186392753203463</v>
      </c>
      <c r="E1278" s="9">
        <f t="shared" ca="1" si="253"/>
        <v>392</v>
      </c>
      <c r="F1278" s="9">
        <f t="shared" ca="1" si="257"/>
        <v>1035</v>
      </c>
      <c r="G1278" s="12" t="str">
        <f t="shared" ca="1" si="258"/>
        <v>No</v>
      </c>
      <c r="H1278" s="12">
        <f t="shared" ca="1" si="254"/>
        <v>0</v>
      </c>
      <c r="I1278" s="10">
        <f t="shared" ca="1" si="259"/>
        <v>0</v>
      </c>
      <c r="J1278" s="13">
        <f t="shared" ca="1" si="260"/>
        <v>0</v>
      </c>
      <c r="K1278" s="14">
        <f t="shared" ca="1" si="261"/>
        <v>207</v>
      </c>
      <c r="L1278" s="14">
        <f t="shared" ca="1" si="262"/>
        <v>0</v>
      </c>
      <c r="M1278" s="15">
        <f t="shared" ca="1" si="263"/>
        <v>207</v>
      </c>
      <c r="N1278" s="16">
        <f ca="1">SUM($M$9:M1278)/A1278</f>
        <v>338.46629921259847</v>
      </c>
      <c r="O1278" s="6"/>
    </row>
    <row r="1279" spans="1:15" x14ac:dyDescent="0.25">
      <c r="A1279" s="8">
        <v>1271</v>
      </c>
      <c r="B1279" s="9">
        <f t="shared" ca="1" si="255"/>
        <v>1035</v>
      </c>
      <c r="C1279" s="10">
        <f t="shared" ca="1" si="256"/>
        <v>0</v>
      </c>
      <c r="D1279" s="11">
        <f t="shared" ca="1" si="252"/>
        <v>0.21973945162043174</v>
      </c>
      <c r="E1279" s="9">
        <f t="shared" ca="1" si="253"/>
        <v>361</v>
      </c>
      <c r="F1279" s="9">
        <f t="shared" ca="1" si="257"/>
        <v>674</v>
      </c>
      <c r="G1279" s="12" t="str">
        <f t="shared" ca="1" si="258"/>
        <v>Yes</v>
      </c>
      <c r="H1279" s="12">
        <f t="shared" ca="1" si="254"/>
        <v>0.38115906946965095</v>
      </c>
      <c r="I1279" s="10">
        <f t="shared" ca="1" si="259"/>
        <v>1</v>
      </c>
      <c r="J1279" s="13">
        <f t="shared" ca="1" si="260"/>
        <v>300</v>
      </c>
      <c r="K1279" s="14">
        <f t="shared" ca="1" si="261"/>
        <v>134.80000000000001</v>
      </c>
      <c r="L1279" s="14">
        <f t="shared" ca="1" si="262"/>
        <v>0</v>
      </c>
      <c r="M1279" s="15">
        <f t="shared" ca="1" si="263"/>
        <v>434.8</v>
      </c>
      <c r="N1279" s="16">
        <f ca="1">SUM($M$9:M1279)/A1279</f>
        <v>338.54209284028326</v>
      </c>
      <c r="O1279" s="6"/>
    </row>
    <row r="1280" spans="1:15" x14ac:dyDescent="0.25">
      <c r="A1280" s="8">
        <v>1272</v>
      </c>
      <c r="B1280" s="9">
        <f t="shared" ca="1" si="255"/>
        <v>2474</v>
      </c>
      <c r="C1280" s="10">
        <f t="shared" ca="1" si="256"/>
        <v>1800</v>
      </c>
      <c r="D1280" s="11">
        <f t="shared" ca="1" si="252"/>
        <v>0.16793807952204121</v>
      </c>
      <c r="E1280" s="9">
        <f t="shared" ca="1" si="253"/>
        <v>351</v>
      </c>
      <c r="F1280" s="9">
        <f t="shared" ca="1" si="257"/>
        <v>2123</v>
      </c>
      <c r="G1280" s="12" t="str">
        <f t="shared" ca="1" si="258"/>
        <v>No</v>
      </c>
      <c r="H1280" s="12">
        <f t="shared" ca="1" si="254"/>
        <v>0</v>
      </c>
      <c r="I1280" s="10">
        <f t="shared" ca="1" si="259"/>
        <v>0</v>
      </c>
      <c r="J1280" s="13">
        <f t="shared" ca="1" si="260"/>
        <v>0</v>
      </c>
      <c r="K1280" s="14">
        <f t="shared" ca="1" si="261"/>
        <v>424.6</v>
      </c>
      <c r="L1280" s="14">
        <f t="shared" ca="1" si="262"/>
        <v>0</v>
      </c>
      <c r="M1280" s="15">
        <f t="shared" ca="1" si="263"/>
        <v>424.6</v>
      </c>
      <c r="N1280" s="16">
        <f ca="1">SUM($M$9:M1280)/A1280</f>
        <v>338.60974842767297</v>
      </c>
      <c r="O1280" s="6"/>
    </row>
    <row r="1281" spans="1:15" x14ac:dyDescent="0.25">
      <c r="A1281" s="8">
        <v>1273</v>
      </c>
      <c r="B1281" s="9">
        <f t="shared" ca="1" si="255"/>
        <v>2123</v>
      </c>
      <c r="C1281" s="10">
        <f t="shared" ca="1" si="256"/>
        <v>0</v>
      </c>
      <c r="D1281" s="11">
        <f t="shared" ca="1" si="252"/>
        <v>0.84375155793752066</v>
      </c>
      <c r="E1281" s="9">
        <f t="shared" ca="1" si="253"/>
        <v>450</v>
      </c>
      <c r="F1281" s="9">
        <f t="shared" ca="1" si="257"/>
        <v>1673</v>
      </c>
      <c r="G1281" s="12" t="str">
        <f t="shared" ca="1" si="258"/>
        <v>No</v>
      </c>
      <c r="H1281" s="12">
        <f t="shared" ca="1" si="254"/>
        <v>0</v>
      </c>
      <c r="I1281" s="10">
        <f t="shared" ca="1" si="259"/>
        <v>0</v>
      </c>
      <c r="J1281" s="13">
        <f t="shared" ca="1" si="260"/>
        <v>0</v>
      </c>
      <c r="K1281" s="14">
        <f t="shared" ca="1" si="261"/>
        <v>334.6</v>
      </c>
      <c r="L1281" s="14">
        <f t="shared" ca="1" si="262"/>
        <v>0</v>
      </c>
      <c r="M1281" s="15">
        <f t="shared" ca="1" si="263"/>
        <v>334.6</v>
      </c>
      <c r="N1281" s="16">
        <f ca="1">SUM($M$9:M1281)/A1281</f>
        <v>338.6065985860173</v>
      </c>
      <c r="O1281" s="6"/>
    </row>
    <row r="1282" spans="1:15" x14ac:dyDescent="0.25">
      <c r="A1282" s="8">
        <v>1274</v>
      </c>
      <c r="B1282" s="9">
        <f t="shared" ca="1" si="255"/>
        <v>1673</v>
      </c>
      <c r="C1282" s="10">
        <f t="shared" ca="1" si="256"/>
        <v>0</v>
      </c>
      <c r="D1282" s="11">
        <f t="shared" ca="1" si="252"/>
        <v>0.46175300076850367</v>
      </c>
      <c r="E1282" s="9">
        <f t="shared" ca="1" si="253"/>
        <v>395</v>
      </c>
      <c r="F1282" s="9">
        <f t="shared" ca="1" si="257"/>
        <v>1278</v>
      </c>
      <c r="G1282" s="12" t="str">
        <f t="shared" ca="1" si="258"/>
        <v>No</v>
      </c>
      <c r="H1282" s="12">
        <f t="shared" ca="1" si="254"/>
        <v>0</v>
      </c>
      <c r="I1282" s="10">
        <f t="shared" ca="1" si="259"/>
        <v>0</v>
      </c>
      <c r="J1282" s="13">
        <f t="shared" ca="1" si="260"/>
        <v>0</v>
      </c>
      <c r="K1282" s="14">
        <f t="shared" ca="1" si="261"/>
        <v>255.60000000000002</v>
      </c>
      <c r="L1282" s="14">
        <f t="shared" ca="1" si="262"/>
        <v>0</v>
      </c>
      <c r="M1282" s="15">
        <f t="shared" ca="1" si="263"/>
        <v>255.60000000000002</v>
      </c>
      <c r="N1282" s="16">
        <f ca="1">SUM($M$9:M1282)/A1282</f>
        <v>338.54144427001569</v>
      </c>
      <c r="O1282" s="6"/>
    </row>
    <row r="1283" spans="1:15" x14ac:dyDescent="0.25">
      <c r="A1283" s="8">
        <v>1275</v>
      </c>
      <c r="B1283" s="9">
        <f t="shared" ca="1" si="255"/>
        <v>1278</v>
      </c>
      <c r="C1283" s="10">
        <f t="shared" ca="1" si="256"/>
        <v>0</v>
      </c>
      <c r="D1283" s="11">
        <f t="shared" ca="1" si="252"/>
        <v>0.35455439241211362</v>
      </c>
      <c r="E1283" s="9">
        <f t="shared" ca="1" si="253"/>
        <v>381</v>
      </c>
      <c r="F1283" s="9">
        <f t="shared" ca="1" si="257"/>
        <v>897</v>
      </c>
      <c r="G1283" s="12" t="str">
        <f t="shared" ca="1" si="258"/>
        <v>Yes</v>
      </c>
      <c r="H1283" s="12">
        <f t="shared" ca="1" si="254"/>
        <v>0.35133823111079021</v>
      </c>
      <c r="I1283" s="10">
        <f t="shared" ca="1" si="259"/>
        <v>1</v>
      </c>
      <c r="J1283" s="13">
        <f t="shared" ca="1" si="260"/>
        <v>300</v>
      </c>
      <c r="K1283" s="14">
        <f t="shared" ca="1" si="261"/>
        <v>179.4</v>
      </c>
      <c r="L1283" s="14">
        <f t="shared" ca="1" si="262"/>
        <v>0</v>
      </c>
      <c r="M1283" s="15">
        <f t="shared" ca="1" si="263"/>
        <v>479.4</v>
      </c>
      <c r="N1283" s="16">
        <f ca="1">SUM($M$9:M1283)/A1283</f>
        <v>338.65192156862747</v>
      </c>
      <c r="O1283" s="6"/>
    </row>
    <row r="1284" spans="1:15" x14ac:dyDescent="0.25">
      <c r="A1284" s="8">
        <v>1276</v>
      </c>
      <c r="B1284" s="9">
        <f t="shared" ca="1" si="255"/>
        <v>2697</v>
      </c>
      <c r="C1284" s="10">
        <f t="shared" ca="1" si="256"/>
        <v>1800</v>
      </c>
      <c r="D1284" s="11">
        <f t="shared" ca="1" si="252"/>
        <v>0.91545589552928586</v>
      </c>
      <c r="E1284" s="9">
        <f t="shared" ca="1" si="253"/>
        <v>468</v>
      </c>
      <c r="F1284" s="9">
        <f t="shared" ca="1" si="257"/>
        <v>2229</v>
      </c>
      <c r="G1284" s="12" t="str">
        <f t="shared" ca="1" si="258"/>
        <v>No</v>
      </c>
      <c r="H1284" s="12">
        <f t="shared" ca="1" si="254"/>
        <v>0</v>
      </c>
      <c r="I1284" s="10">
        <f t="shared" ca="1" si="259"/>
        <v>0</v>
      </c>
      <c r="J1284" s="13">
        <f t="shared" ca="1" si="260"/>
        <v>0</v>
      </c>
      <c r="K1284" s="14">
        <f t="shared" ca="1" si="261"/>
        <v>445.8</v>
      </c>
      <c r="L1284" s="14">
        <f t="shared" ca="1" si="262"/>
        <v>0</v>
      </c>
      <c r="M1284" s="15">
        <f t="shared" ca="1" si="263"/>
        <v>445.8</v>
      </c>
      <c r="N1284" s="16">
        <f ca="1">SUM($M$9:M1284)/A1284</f>
        <v>338.73589341692792</v>
      </c>
      <c r="O1284" s="6"/>
    </row>
    <row r="1285" spans="1:15" x14ac:dyDescent="0.25">
      <c r="A1285" s="8">
        <v>1277</v>
      </c>
      <c r="B1285" s="9">
        <f t="shared" ca="1" si="255"/>
        <v>2229</v>
      </c>
      <c r="C1285" s="10">
        <f t="shared" ca="1" si="256"/>
        <v>0</v>
      </c>
      <c r="D1285" s="11">
        <f t="shared" ca="1" si="252"/>
        <v>0.53499375658347081</v>
      </c>
      <c r="E1285" s="9">
        <f t="shared" ca="1" si="253"/>
        <v>404</v>
      </c>
      <c r="F1285" s="9">
        <f t="shared" ca="1" si="257"/>
        <v>1825</v>
      </c>
      <c r="G1285" s="12" t="str">
        <f t="shared" ca="1" si="258"/>
        <v>No</v>
      </c>
      <c r="H1285" s="12">
        <f t="shared" ca="1" si="254"/>
        <v>0</v>
      </c>
      <c r="I1285" s="10">
        <f t="shared" ca="1" si="259"/>
        <v>0</v>
      </c>
      <c r="J1285" s="13">
        <f t="shared" ca="1" si="260"/>
        <v>0</v>
      </c>
      <c r="K1285" s="14">
        <f t="shared" ca="1" si="261"/>
        <v>365</v>
      </c>
      <c r="L1285" s="14">
        <f t="shared" ca="1" si="262"/>
        <v>0</v>
      </c>
      <c r="M1285" s="15">
        <f t="shared" ca="1" si="263"/>
        <v>365</v>
      </c>
      <c r="N1285" s="16">
        <f ca="1">SUM($M$9:M1285)/A1285</f>
        <v>338.75646045418949</v>
      </c>
      <c r="O1285" s="6"/>
    </row>
    <row r="1286" spans="1:15" x14ac:dyDescent="0.25">
      <c r="A1286" s="8">
        <v>1278</v>
      </c>
      <c r="B1286" s="9">
        <f t="shared" ca="1" si="255"/>
        <v>1825</v>
      </c>
      <c r="C1286" s="10">
        <f t="shared" ca="1" si="256"/>
        <v>0</v>
      </c>
      <c r="D1286" s="11">
        <f t="shared" ca="1" si="252"/>
        <v>0.58361902478342687</v>
      </c>
      <c r="E1286" s="9">
        <f t="shared" ca="1" si="253"/>
        <v>410</v>
      </c>
      <c r="F1286" s="9">
        <f t="shared" ca="1" si="257"/>
        <v>1415</v>
      </c>
      <c r="G1286" s="12" t="str">
        <f t="shared" ca="1" si="258"/>
        <v>No</v>
      </c>
      <c r="H1286" s="12">
        <f t="shared" ca="1" si="254"/>
        <v>0</v>
      </c>
      <c r="I1286" s="10">
        <f t="shared" ca="1" si="259"/>
        <v>0</v>
      </c>
      <c r="J1286" s="13">
        <f t="shared" ca="1" si="260"/>
        <v>0</v>
      </c>
      <c r="K1286" s="14">
        <f t="shared" ca="1" si="261"/>
        <v>283</v>
      </c>
      <c r="L1286" s="14">
        <f t="shared" ca="1" si="262"/>
        <v>0</v>
      </c>
      <c r="M1286" s="15">
        <f t="shared" ca="1" si="263"/>
        <v>283</v>
      </c>
      <c r="N1286" s="16">
        <f ca="1">SUM($M$9:M1286)/A1286</f>
        <v>338.7128325508607</v>
      </c>
      <c r="O1286" s="6"/>
    </row>
    <row r="1287" spans="1:15" x14ac:dyDescent="0.25">
      <c r="A1287" s="8">
        <v>1279</v>
      </c>
      <c r="B1287" s="9">
        <f t="shared" ca="1" si="255"/>
        <v>1415</v>
      </c>
      <c r="C1287" s="10">
        <f t="shared" ca="1" si="256"/>
        <v>0</v>
      </c>
      <c r="D1287" s="11">
        <f t="shared" ca="1" si="252"/>
        <v>1.5668945316923866E-2</v>
      </c>
      <c r="E1287" s="9">
        <f t="shared" ca="1" si="253"/>
        <v>292</v>
      </c>
      <c r="F1287" s="9">
        <f t="shared" ca="1" si="257"/>
        <v>1123</v>
      </c>
      <c r="G1287" s="12" t="str">
        <f t="shared" ca="1" si="258"/>
        <v>No</v>
      </c>
      <c r="H1287" s="12">
        <f t="shared" ca="1" si="254"/>
        <v>0</v>
      </c>
      <c r="I1287" s="10">
        <f t="shared" ca="1" si="259"/>
        <v>0</v>
      </c>
      <c r="J1287" s="13">
        <f t="shared" ca="1" si="260"/>
        <v>0</v>
      </c>
      <c r="K1287" s="14">
        <f t="shared" ca="1" si="261"/>
        <v>224.60000000000002</v>
      </c>
      <c r="L1287" s="14">
        <f t="shared" ca="1" si="262"/>
        <v>0</v>
      </c>
      <c r="M1287" s="15">
        <f t="shared" ca="1" si="263"/>
        <v>224.60000000000002</v>
      </c>
      <c r="N1287" s="16">
        <f ca="1">SUM($M$9:M1287)/A1287</f>
        <v>338.62361219702893</v>
      </c>
      <c r="O1287" s="6"/>
    </row>
    <row r="1288" spans="1:15" x14ac:dyDescent="0.25">
      <c r="A1288" s="8">
        <v>1280</v>
      </c>
      <c r="B1288" s="9">
        <f t="shared" ca="1" si="255"/>
        <v>1123</v>
      </c>
      <c r="C1288" s="10">
        <f t="shared" ca="1" si="256"/>
        <v>0</v>
      </c>
      <c r="D1288" s="11">
        <f t="shared" ca="1" si="252"/>
        <v>0.1753150393403814</v>
      </c>
      <c r="E1288" s="9">
        <f t="shared" ca="1" si="253"/>
        <v>353</v>
      </c>
      <c r="F1288" s="9">
        <f t="shared" ca="1" si="257"/>
        <v>770</v>
      </c>
      <c r="G1288" s="12" t="str">
        <f t="shared" ca="1" si="258"/>
        <v>Yes</v>
      </c>
      <c r="H1288" s="12">
        <f t="shared" ca="1" si="254"/>
        <v>0.42283389461583509</v>
      </c>
      <c r="I1288" s="10">
        <f t="shared" ca="1" si="259"/>
        <v>1</v>
      </c>
      <c r="J1288" s="13">
        <f t="shared" ca="1" si="260"/>
        <v>300</v>
      </c>
      <c r="K1288" s="14">
        <f t="shared" ca="1" si="261"/>
        <v>154</v>
      </c>
      <c r="L1288" s="14">
        <f t="shared" ca="1" si="262"/>
        <v>0</v>
      </c>
      <c r="M1288" s="15">
        <f t="shared" ca="1" si="263"/>
        <v>454</v>
      </c>
      <c r="N1288" s="16">
        <f ca="1">SUM($M$9:M1288)/A1288</f>
        <v>338.71375</v>
      </c>
      <c r="O1288" s="6"/>
    </row>
    <row r="1289" spans="1:15" x14ac:dyDescent="0.25">
      <c r="A1289" s="8">
        <v>1281</v>
      </c>
      <c r="B1289" s="9">
        <f t="shared" ca="1" si="255"/>
        <v>2570</v>
      </c>
      <c r="C1289" s="10">
        <f t="shared" ca="1" si="256"/>
        <v>1800</v>
      </c>
      <c r="D1289" s="11">
        <f t="shared" ca="1" si="252"/>
        <v>6.0016711644853116E-2</v>
      </c>
      <c r="E1289" s="9">
        <f t="shared" ca="1" si="253"/>
        <v>322</v>
      </c>
      <c r="F1289" s="9">
        <f t="shared" ca="1" si="257"/>
        <v>2248</v>
      </c>
      <c r="G1289" s="12" t="str">
        <f t="shared" ca="1" si="258"/>
        <v>No</v>
      </c>
      <c r="H1289" s="12">
        <f t="shared" ca="1" si="254"/>
        <v>0</v>
      </c>
      <c r="I1289" s="10">
        <f t="shared" ca="1" si="259"/>
        <v>0</v>
      </c>
      <c r="J1289" s="13">
        <f t="shared" ca="1" si="260"/>
        <v>0</v>
      </c>
      <c r="K1289" s="14">
        <f t="shared" ca="1" si="261"/>
        <v>449.6</v>
      </c>
      <c r="L1289" s="14">
        <f t="shared" ca="1" si="262"/>
        <v>0</v>
      </c>
      <c r="M1289" s="15">
        <f t="shared" ca="1" si="263"/>
        <v>449.6</v>
      </c>
      <c r="N1289" s="16">
        <f ca="1">SUM($M$9:M1289)/A1289</f>
        <v>338.80031225604995</v>
      </c>
      <c r="O1289" s="6"/>
    </row>
    <row r="1290" spans="1:15" x14ac:dyDescent="0.25">
      <c r="A1290" s="8">
        <v>1282</v>
      </c>
      <c r="B1290" s="9">
        <f t="shared" ca="1" si="255"/>
        <v>2248</v>
      </c>
      <c r="C1290" s="10">
        <f t="shared" ca="1" si="256"/>
        <v>0</v>
      </c>
      <c r="D1290" s="11">
        <f t="shared" ref="D1290:D1353" ca="1" si="264">RAND()</f>
        <v>0.30524934021205363</v>
      </c>
      <c r="E1290" s="9">
        <f t="shared" ref="E1290:E1353" ca="1" si="265">INT(NORMINV(D1290,D_Mean,D_StdDev))</f>
        <v>374</v>
      </c>
      <c r="F1290" s="9">
        <f t="shared" ca="1" si="257"/>
        <v>1874</v>
      </c>
      <c r="G1290" s="12" t="str">
        <f t="shared" ca="1" si="258"/>
        <v>No</v>
      </c>
      <c r="H1290" s="12">
        <f t="shared" ref="H1290:H1353" ca="1" si="266">IF(G1290="Yes",RAND(),0)</f>
        <v>0</v>
      </c>
      <c r="I1290" s="10">
        <f t="shared" ca="1" si="259"/>
        <v>0</v>
      </c>
      <c r="J1290" s="13">
        <f t="shared" ca="1" si="260"/>
        <v>0</v>
      </c>
      <c r="K1290" s="14">
        <f t="shared" ca="1" si="261"/>
        <v>374.8</v>
      </c>
      <c r="L1290" s="14">
        <f t="shared" ca="1" si="262"/>
        <v>0</v>
      </c>
      <c r="M1290" s="15">
        <f t="shared" ca="1" si="263"/>
        <v>374.8</v>
      </c>
      <c r="N1290" s="16">
        <f ca="1">SUM($M$9:M1290)/A1290</f>
        <v>338.82839313572538</v>
      </c>
      <c r="O1290" s="6"/>
    </row>
    <row r="1291" spans="1:15" x14ac:dyDescent="0.25">
      <c r="A1291" s="8">
        <v>1283</v>
      </c>
      <c r="B1291" s="9">
        <f t="shared" ca="1" si="255"/>
        <v>1874</v>
      </c>
      <c r="C1291" s="10">
        <f t="shared" ca="1" si="256"/>
        <v>0</v>
      </c>
      <c r="D1291" s="11">
        <f t="shared" ca="1" si="264"/>
        <v>0.56006589046114508</v>
      </c>
      <c r="E1291" s="9">
        <f t="shared" ca="1" si="265"/>
        <v>407</v>
      </c>
      <c r="F1291" s="9">
        <f t="shared" ca="1" si="257"/>
        <v>1467</v>
      </c>
      <c r="G1291" s="12" t="str">
        <f t="shared" ca="1" si="258"/>
        <v>No</v>
      </c>
      <c r="H1291" s="12">
        <f t="shared" ca="1" si="266"/>
        <v>0</v>
      </c>
      <c r="I1291" s="10">
        <f t="shared" ca="1" si="259"/>
        <v>0</v>
      </c>
      <c r="J1291" s="13">
        <f t="shared" ca="1" si="260"/>
        <v>0</v>
      </c>
      <c r="K1291" s="14">
        <f t="shared" ca="1" si="261"/>
        <v>293.40000000000003</v>
      </c>
      <c r="L1291" s="14">
        <f t="shared" ca="1" si="262"/>
        <v>0</v>
      </c>
      <c r="M1291" s="15">
        <f t="shared" ca="1" si="263"/>
        <v>293.40000000000003</v>
      </c>
      <c r="N1291" s="16">
        <f ca="1">SUM($M$9:M1291)/A1291</f>
        <v>338.79298519095869</v>
      </c>
      <c r="O1291" s="6"/>
    </row>
    <row r="1292" spans="1:15" x14ac:dyDescent="0.25">
      <c r="A1292" s="8">
        <v>1284</v>
      </c>
      <c r="B1292" s="9">
        <f t="shared" ca="1" si="255"/>
        <v>1467</v>
      </c>
      <c r="C1292" s="10">
        <f t="shared" ca="1" si="256"/>
        <v>0</v>
      </c>
      <c r="D1292" s="11">
        <f t="shared" ca="1" si="264"/>
        <v>0.52093337651250393</v>
      </c>
      <c r="E1292" s="9">
        <f t="shared" ca="1" si="265"/>
        <v>402</v>
      </c>
      <c r="F1292" s="9">
        <f t="shared" ca="1" si="257"/>
        <v>1065</v>
      </c>
      <c r="G1292" s="12" t="str">
        <f t="shared" ca="1" si="258"/>
        <v>No</v>
      </c>
      <c r="H1292" s="12">
        <f t="shared" ca="1" si="266"/>
        <v>0</v>
      </c>
      <c r="I1292" s="10">
        <f t="shared" ca="1" si="259"/>
        <v>0</v>
      </c>
      <c r="J1292" s="13">
        <f t="shared" ca="1" si="260"/>
        <v>0</v>
      </c>
      <c r="K1292" s="14">
        <f t="shared" ca="1" si="261"/>
        <v>213</v>
      </c>
      <c r="L1292" s="14">
        <f t="shared" ca="1" si="262"/>
        <v>0</v>
      </c>
      <c r="M1292" s="15">
        <f t="shared" ca="1" si="263"/>
        <v>213</v>
      </c>
      <c r="N1292" s="16">
        <f ca="1">SUM($M$9:M1292)/A1292</f>
        <v>338.69501557632395</v>
      </c>
      <c r="O1292" s="6"/>
    </row>
    <row r="1293" spans="1:15" x14ac:dyDescent="0.25">
      <c r="A1293" s="8">
        <v>1285</v>
      </c>
      <c r="B1293" s="9">
        <f t="shared" ca="1" si="255"/>
        <v>1065</v>
      </c>
      <c r="C1293" s="10">
        <f t="shared" ca="1" si="256"/>
        <v>0</v>
      </c>
      <c r="D1293" s="11">
        <f t="shared" ca="1" si="264"/>
        <v>7.055791962504121E-2</v>
      </c>
      <c r="E1293" s="9">
        <f t="shared" ca="1" si="265"/>
        <v>326</v>
      </c>
      <c r="F1293" s="9">
        <f t="shared" ca="1" si="257"/>
        <v>739</v>
      </c>
      <c r="G1293" s="12" t="str">
        <f t="shared" ca="1" si="258"/>
        <v>Yes</v>
      </c>
      <c r="H1293" s="12">
        <f t="shared" ca="1" si="266"/>
        <v>0.82116146973621318</v>
      </c>
      <c r="I1293" s="10">
        <f t="shared" ca="1" si="259"/>
        <v>2</v>
      </c>
      <c r="J1293" s="13">
        <f t="shared" ca="1" si="260"/>
        <v>300</v>
      </c>
      <c r="K1293" s="14">
        <f t="shared" ca="1" si="261"/>
        <v>147.80000000000001</v>
      </c>
      <c r="L1293" s="14">
        <f t="shared" ca="1" si="262"/>
        <v>0</v>
      </c>
      <c r="M1293" s="15">
        <f t="shared" ca="1" si="263"/>
        <v>447.8</v>
      </c>
      <c r="N1293" s="16">
        <f ca="1">SUM($M$9:M1293)/A1293</f>
        <v>338.77992217898827</v>
      </c>
      <c r="O1293" s="6"/>
    </row>
    <row r="1294" spans="1:15" x14ac:dyDescent="0.25">
      <c r="A1294" s="8">
        <v>1286</v>
      </c>
      <c r="B1294" s="9">
        <f t="shared" ca="1" si="255"/>
        <v>739</v>
      </c>
      <c r="C1294" s="10">
        <f t="shared" ca="1" si="256"/>
        <v>0</v>
      </c>
      <c r="D1294" s="11">
        <f t="shared" ca="1" si="264"/>
        <v>0.34396420518406878</v>
      </c>
      <c r="E1294" s="9">
        <f t="shared" ca="1" si="265"/>
        <v>379</v>
      </c>
      <c r="F1294" s="9">
        <f t="shared" ca="1" si="257"/>
        <v>360</v>
      </c>
      <c r="G1294" s="12" t="str">
        <f t="shared" ca="1" si="258"/>
        <v>No</v>
      </c>
      <c r="H1294" s="12">
        <f t="shared" ca="1" si="266"/>
        <v>0</v>
      </c>
      <c r="I1294" s="10">
        <f t="shared" ca="1" si="259"/>
        <v>1</v>
      </c>
      <c r="J1294" s="13">
        <f t="shared" ca="1" si="260"/>
        <v>0</v>
      </c>
      <c r="K1294" s="14">
        <f t="shared" ca="1" si="261"/>
        <v>72</v>
      </c>
      <c r="L1294" s="14">
        <f t="shared" ca="1" si="262"/>
        <v>0</v>
      </c>
      <c r="M1294" s="15">
        <f t="shared" ca="1" si="263"/>
        <v>72</v>
      </c>
      <c r="N1294" s="16">
        <f ca="1">SUM($M$9:M1294)/A1294</f>
        <v>338.57247278382579</v>
      </c>
      <c r="O1294" s="6"/>
    </row>
    <row r="1295" spans="1:15" x14ac:dyDescent="0.25">
      <c r="A1295" s="8">
        <v>1287</v>
      </c>
      <c r="B1295" s="9">
        <f t="shared" ca="1" si="255"/>
        <v>2160</v>
      </c>
      <c r="C1295" s="10">
        <f t="shared" ca="1" si="256"/>
        <v>1800</v>
      </c>
      <c r="D1295" s="11">
        <f t="shared" ca="1" si="264"/>
        <v>0.67664303431745165</v>
      </c>
      <c r="E1295" s="9">
        <f t="shared" ca="1" si="265"/>
        <v>422</v>
      </c>
      <c r="F1295" s="9">
        <f t="shared" ca="1" si="257"/>
        <v>1738</v>
      </c>
      <c r="G1295" s="12" t="str">
        <f t="shared" ca="1" si="258"/>
        <v>No</v>
      </c>
      <c r="H1295" s="12">
        <f t="shared" ca="1" si="266"/>
        <v>0</v>
      </c>
      <c r="I1295" s="10">
        <f t="shared" ca="1" si="259"/>
        <v>0</v>
      </c>
      <c r="J1295" s="13">
        <f t="shared" ca="1" si="260"/>
        <v>0</v>
      </c>
      <c r="K1295" s="14">
        <f t="shared" ca="1" si="261"/>
        <v>347.6</v>
      </c>
      <c r="L1295" s="14">
        <f t="shared" ca="1" si="262"/>
        <v>0</v>
      </c>
      <c r="M1295" s="15">
        <f t="shared" ca="1" si="263"/>
        <v>347.6</v>
      </c>
      <c r="N1295" s="16">
        <f ca="1">SUM($M$9:M1295)/A1295</f>
        <v>338.5794871794871</v>
      </c>
      <c r="O1295" s="6"/>
    </row>
    <row r="1296" spans="1:15" x14ac:dyDescent="0.25">
      <c r="A1296" s="8">
        <v>1288</v>
      </c>
      <c r="B1296" s="9">
        <f t="shared" ca="1" si="255"/>
        <v>1738</v>
      </c>
      <c r="C1296" s="10">
        <f t="shared" ca="1" si="256"/>
        <v>0</v>
      </c>
      <c r="D1296" s="11">
        <f t="shared" ca="1" si="264"/>
        <v>0.77313033325325931</v>
      </c>
      <c r="E1296" s="9">
        <f t="shared" ca="1" si="265"/>
        <v>437</v>
      </c>
      <c r="F1296" s="9">
        <f t="shared" ca="1" si="257"/>
        <v>1301</v>
      </c>
      <c r="G1296" s="12" t="str">
        <f t="shared" ca="1" si="258"/>
        <v>No</v>
      </c>
      <c r="H1296" s="12">
        <f t="shared" ca="1" si="266"/>
        <v>0</v>
      </c>
      <c r="I1296" s="10">
        <f t="shared" ca="1" si="259"/>
        <v>0</v>
      </c>
      <c r="J1296" s="13">
        <f t="shared" ca="1" si="260"/>
        <v>0</v>
      </c>
      <c r="K1296" s="14">
        <f t="shared" ca="1" si="261"/>
        <v>260.2</v>
      </c>
      <c r="L1296" s="14">
        <f t="shared" ca="1" si="262"/>
        <v>0</v>
      </c>
      <c r="M1296" s="15">
        <f t="shared" ca="1" si="263"/>
        <v>260.2</v>
      </c>
      <c r="N1296" s="16">
        <f ca="1">SUM($M$9:M1296)/A1296</f>
        <v>338.5186335403726</v>
      </c>
      <c r="O1296" s="6"/>
    </row>
    <row r="1297" spans="1:15" x14ac:dyDescent="0.25">
      <c r="A1297" s="8">
        <v>1289</v>
      </c>
      <c r="B1297" s="9">
        <f t="shared" ca="1" si="255"/>
        <v>1301</v>
      </c>
      <c r="C1297" s="10">
        <f t="shared" ca="1" si="256"/>
        <v>0</v>
      </c>
      <c r="D1297" s="11">
        <f t="shared" ca="1" si="264"/>
        <v>0.63513797928690074</v>
      </c>
      <c r="E1297" s="9">
        <f t="shared" ca="1" si="265"/>
        <v>417</v>
      </c>
      <c r="F1297" s="9">
        <f t="shared" ca="1" si="257"/>
        <v>884</v>
      </c>
      <c r="G1297" s="12" t="str">
        <f t="shared" ca="1" si="258"/>
        <v>Yes</v>
      </c>
      <c r="H1297" s="12">
        <f t="shared" ca="1" si="266"/>
        <v>5.0657280966338813E-2</v>
      </c>
      <c r="I1297" s="10">
        <f t="shared" ca="1" si="259"/>
        <v>1</v>
      </c>
      <c r="J1297" s="13">
        <f t="shared" ca="1" si="260"/>
        <v>300</v>
      </c>
      <c r="K1297" s="14">
        <f t="shared" ca="1" si="261"/>
        <v>176.8</v>
      </c>
      <c r="L1297" s="14">
        <f t="shared" ca="1" si="262"/>
        <v>0</v>
      </c>
      <c r="M1297" s="15">
        <f t="shared" ca="1" si="263"/>
        <v>476.8</v>
      </c>
      <c r="N1297" s="16">
        <f ca="1">SUM($M$9:M1297)/A1297</f>
        <v>338.62591155934825</v>
      </c>
      <c r="O1297" s="6"/>
    </row>
    <row r="1298" spans="1:15" x14ac:dyDescent="0.25">
      <c r="A1298" s="8">
        <v>1290</v>
      </c>
      <c r="B1298" s="9">
        <f t="shared" ca="1" si="255"/>
        <v>2684</v>
      </c>
      <c r="C1298" s="10">
        <f t="shared" ca="1" si="256"/>
        <v>1800</v>
      </c>
      <c r="D1298" s="11">
        <f t="shared" ca="1" si="264"/>
        <v>1.9705147651222443E-2</v>
      </c>
      <c r="E1298" s="9">
        <f t="shared" ca="1" si="265"/>
        <v>297</v>
      </c>
      <c r="F1298" s="9">
        <f t="shared" ca="1" si="257"/>
        <v>2387</v>
      </c>
      <c r="G1298" s="12" t="str">
        <f t="shared" ca="1" si="258"/>
        <v>No</v>
      </c>
      <c r="H1298" s="12">
        <f t="shared" ca="1" si="266"/>
        <v>0</v>
      </c>
      <c r="I1298" s="10">
        <f t="shared" ca="1" si="259"/>
        <v>0</v>
      </c>
      <c r="J1298" s="13">
        <f t="shared" ca="1" si="260"/>
        <v>0</v>
      </c>
      <c r="K1298" s="14">
        <f t="shared" ca="1" si="261"/>
        <v>477.40000000000003</v>
      </c>
      <c r="L1298" s="14">
        <f t="shared" ca="1" si="262"/>
        <v>0</v>
      </c>
      <c r="M1298" s="15">
        <f t="shared" ca="1" si="263"/>
        <v>477.40000000000003</v>
      </c>
      <c r="N1298" s="16">
        <f ca="1">SUM($M$9:M1298)/A1298</f>
        <v>338.73348837209301</v>
      </c>
      <c r="O1298" s="6"/>
    </row>
    <row r="1299" spans="1:15" x14ac:dyDescent="0.25">
      <c r="A1299" s="8">
        <v>1291</v>
      </c>
      <c r="B1299" s="9">
        <f t="shared" ca="1" si="255"/>
        <v>2387</v>
      </c>
      <c r="C1299" s="10">
        <f t="shared" ca="1" si="256"/>
        <v>0</v>
      </c>
      <c r="D1299" s="11">
        <f t="shared" ca="1" si="264"/>
        <v>0.72802024935031473</v>
      </c>
      <c r="E1299" s="9">
        <f t="shared" ca="1" si="265"/>
        <v>430</v>
      </c>
      <c r="F1299" s="9">
        <f t="shared" ca="1" si="257"/>
        <v>1957</v>
      </c>
      <c r="G1299" s="12" t="str">
        <f t="shared" ca="1" si="258"/>
        <v>No</v>
      </c>
      <c r="H1299" s="12">
        <f t="shared" ca="1" si="266"/>
        <v>0</v>
      </c>
      <c r="I1299" s="10">
        <f t="shared" ca="1" si="259"/>
        <v>0</v>
      </c>
      <c r="J1299" s="13">
        <f t="shared" ca="1" si="260"/>
        <v>0</v>
      </c>
      <c r="K1299" s="14">
        <f t="shared" ca="1" si="261"/>
        <v>391.40000000000003</v>
      </c>
      <c r="L1299" s="14">
        <f t="shared" ca="1" si="262"/>
        <v>0</v>
      </c>
      <c r="M1299" s="15">
        <f t="shared" ca="1" si="263"/>
        <v>391.40000000000003</v>
      </c>
      <c r="N1299" s="16">
        <f ca="1">SUM($M$9:M1299)/A1299</f>
        <v>338.77428350116185</v>
      </c>
      <c r="O1299" s="6"/>
    </row>
    <row r="1300" spans="1:15" x14ac:dyDescent="0.25">
      <c r="A1300" s="8">
        <v>1292</v>
      </c>
      <c r="B1300" s="9">
        <f t="shared" ca="1" si="255"/>
        <v>1957</v>
      </c>
      <c r="C1300" s="10">
        <f t="shared" ca="1" si="256"/>
        <v>0</v>
      </c>
      <c r="D1300" s="11">
        <f t="shared" ca="1" si="264"/>
        <v>0.49177204137949193</v>
      </c>
      <c r="E1300" s="9">
        <f t="shared" ca="1" si="265"/>
        <v>398</v>
      </c>
      <c r="F1300" s="9">
        <f t="shared" ca="1" si="257"/>
        <v>1559</v>
      </c>
      <c r="G1300" s="12" t="str">
        <f t="shared" ca="1" si="258"/>
        <v>No</v>
      </c>
      <c r="H1300" s="12">
        <f t="shared" ca="1" si="266"/>
        <v>0</v>
      </c>
      <c r="I1300" s="10">
        <f t="shared" ca="1" si="259"/>
        <v>0</v>
      </c>
      <c r="J1300" s="13">
        <f t="shared" ca="1" si="260"/>
        <v>0</v>
      </c>
      <c r="K1300" s="14">
        <f t="shared" ca="1" si="261"/>
        <v>311.8</v>
      </c>
      <c r="L1300" s="14">
        <f t="shared" ca="1" si="262"/>
        <v>0</v>
      </c>
      <c r="M1300" s="15">
        <f t="shared" ca="1" si="263"/>
        <v>311.8</v>
      </c>
      <c r="N1300" s="16">
        <f ca="1">SUM($M$9:M1300)/A1300</f>
        <v>338.75340557275541</v>
      </c>
      <c r="O1300" s="6"/>
    </row>
    <row r="1301" spans="1:15" x14ac:dyDescent="0.25">
      <c r="A1301" s="8">
        <v>1293</v>
      </c>
      <c r="B1301" s="9">
        <f t="shared" ca="1" si="255"/>
        <v>1559</v>
      </c>
      <c r="C1301" s="10">
        <f t="shared" ca="1" si="256"/>
        <v>0</v>
      </c>
      <c r="D1301" s="11">
        <f t="shared" ca="1" si="264"/>
        <v>0.98836295472818525</v>
      </c>
      <c r="E1301" s="9">
        <f t="shared" ca="1" si="265"/>
        <v>513</v>
      </c>
      <c r="F1301" s="9">
        <f t="shared" ca="1" si="257"/>
        <v>1046</v>
      </c>
      <c r="G1301" s="12" t="str">
        <f t="shared" ca="1" si="258"/>
        <v>No</v>
      </c>
      <c r="H1301" s="12">
        <f t="shared" ca="1" si="266"/>
        <v>0</v>
      </c>
      <c r="I1301" s="10">
        <f t="shared" ca="1" si="259"/>
        <v>0</v>
      </c>
      <c r="J1301" s="13">
        <f t="shared" ca="1" si="260"/>
        <v>0</v>
      </c>
      <c r="K1301" s="14">
        <f t="shared" ca="1" si="261"/>
        <v>209.20000000000002</v>
      </c>
      <c r="L1301" s="14">
        <f t="shared" ca="1" si="262"/>
        <v>0</v>
      </c>
      <c r="M1301" s="15">
        <f t="shared" ca="1" si="263"/>
        <v>209.20000000000002</v>
      </c>
      <c r="N1301" s="16">
        <f ca="1">SUM($M$9:M1301)/A1301</f>
        <v>338.65320959010052</v>
      </c>
      <c r="O1301" s="6"/>
    </row>
    <row r="1302" spans="1:15" x14ac:dyDescent="0.25">
      <c r="A1302" s="8">
        <v>1294</v>
      </c>
      <c r="B1302" s="9">
        <f t="shared" ca="1" si="255"/>
        <v>1046</v>
      </c>
      <c r="C1302" s="10">
        <f t="shared" ca="1" si="256"/>
        <v>0</v>
      </c>
      <c r="D1302" s="11">
        <f t="shared" ca="1" si="264"/>
        <v>0.51012220935910813</v>
      </c>
      <c r="E1302" s="9">
        <f t="shared" ca="1" si="265"/>
        <v>401</v>
      </c>
      <c r="F1302" s="9">
        <f t="shared" ca="1" si="257"/>
        <v>645</v>
      </c>
      <c r="G1302" s="12" t="str">
        <f t="shared" ca="1" si="258"/>
        <v>Yes</v>
      </c>
      <c r="H1302" s="12">
        <f t="shared" ca="1" si="266"/>
        <v>0.73896350273499922</v>
      </c>
      <c r="I1302" s="10">
        <f t="shared" ca="1" si="259"/>
        <v>2</v>
      </c>
      <c r="J1302" s="13">
        <f t="shared" ca="1" si="260"/>
        <v>300</v>
      </c>
      <c r="K1302" s="14">
        <f t="shared" ca="1" si="261"/>
        <v>129</v>
      </c>
      <c r="L1302" s="14">
        <f t="shared" ca="1" si="262"/>
        <v>0</v>
      </c>
      <c r="M1302" s="15">
        <f t="shared" ca="1" si="263"/>
        <v>429</v>
      </c>
      <c r="N1302" s="16">
        <f ca="1">SUM($M$9:M1302)/A1302</f>
        <v>338.72302936630604</v>
      </c>
      <c r="O1302" s="6"/>
    </row>
    <row r="1303" spans="1:15" x14ac:dyDescent="0.25">
      <c r="A1303" s="8">
        <v>1295</v>
      </c>
      <c r="B1303" s="9">
        <f t="shared" ca="1" si="255"/>
        <v>645</v>
      </c>
      <c r="C1303" s="10">
        <f t="shared" ca="1" si="256"/>
        <v>0</v>
      </c>
      <c r="D1303" s="11">
        <f t="shared" ca="1" si="264"/>
        <v>0.83320480759862348</v>
      </c>
      <c r="E1303" s="9">
        <f t="shared" ca="1" si="265"/>
        <v>448</v>
      </c>
      <c r="F1303" s="9">
        <f t="shared" ca="1" si="257"/>
        <v>197</v>
      </c>
      <c r="G1303" s="12" t="str">
        <f t="shared" ca="1" si="258"/>
        <v>No</v>
      </c>
      <c r="H1303" s="12">
        <f t="shared" ca="1" si="266"/>
        <v>0</v>
      </c>
      <c r="I1303" s="10">
        <f t="shared" ca="1" si="259"/>
        <v>1</v>
      </c>
      <c r="J1303" s="13">
        <f t="shared" ca="1" si="260"/>
        <v>0</v>
      </c>
      <c r="K1303" s="14">
        <f t="shared" ca="1" si="261"/>
        <v>39.400000000000006</v>
      </c>
      <c r="L1303" s="14">
        <f t="shared" ca="1" si="262"/>
        <v>0</v>
      </c>
      <c r="M1303" s="15">
        <f t="shared" ca="1" si="263"/>
        <v>39.400000000000006</v>
      </c>
      <c r="N1303" s="16">
        <f ca="1">SUM($M$9:M1303)/A1303</f>
        <v>338.4918918918919</v>
      </c>
      <c r="O1303" s="6"/>
    </row>
    <row r="1304" spans="1:15" x14ac:dyDescent="0.25">
      <c r="A1304" s="8">
        <v>1296</v>
      </c>
      <c r="B1304" s="9">
        <f t="shared" ca="1" si="255"/>
        <v>1997</v>
      </c>
      <c r="C1304" s="10">
        <f t="shared" ca="1" si="256"/>
        <v>1800</v>
      </c>
      <c r="D1304" s="11">
        <f t="shared" ca="1" si="264"/>
        <v>0.19306890064971616</v>
      </c>
      <c r="E1304" s="9">
        <f t="shared" ca="1" si="265"/>
        <v>356</v>
      </c>
      <c r="F1304" s="9">
        <f t="shared" ca="1" si="257"/>
        <v>1641</v>
      </c>
      <c r="G1304" s="12" t="str">
        <f t="shared" ca="1" si="258"/>
        <v>No</v>
      </c>
      <c r="H1304" s="12">
        <f t="shared" ca="1" si="266"/>
        <v>0</v>
      </c>
      <c r="I1304" s="10">
        <f t="shared" ca="1" si="259"/>
        <v>0</v>
      </c>
      <c r="J1304" s="13">
        <f t="shared" ca="1" si="260"/>
        <v>0</v>
      </c>
      <c r="K1304" s="14">
        <f t="shared" ca="1" si="261"/>
        <v>328.20000000000005</v>
      </c>
      <c r="L1304" s="14">
        <f t="shared" ca="1" si="262"/>
        <v>0</v>
      </c>
      <c r="M1304" s="15">
        <f t="shared" ca="1" si="263"/>
        <v>328.20000000000005</v>
      </c>
      <c r="N1304" s="16">
        <f ca="1">SUM($M$9:M1304)/A1304</f>
        <v>338.48395061728394</v>
      </c>
      <c r="O1304" s="6"/>
    </row>
    <row r="1305" spans="1:15" x14ac:dyDescent="0.25">
      <c r="A1305" s="8">
        <v>1297</v>
      </c>
      <c r="B1305" s="9">
        <f t="shared" ca="1" si="255"/>
        <v>1641</v>
      </c>
      <c r="C1305" s="10">
        <f t="shared" ca="1" si="256"/>
        <v>0</v>
      </c>
      <c r="D1305" s="11">
        <f t="shared" ca="1" si="264"/>
        <v>0.83551583524369311</v>
      </c>
      <c r="E1305" s="9">
        <f t="shared" ca="1" si="265"/>
        <v>448</v>
      </c>
      <c r="F1305" s="9">
        <f t="shared" ca="1" si="257"/>
        <v>1193</v>
      </c>
      <c r="G1305" s="12" t="str">
        <f t="shared" ca="1" si="258"/>
        <v>No</v>
      </c>
      <c r="H1305" s="12">
        <f t="shared" ca="1" si="266"/>
        <v>0</v>
      </c>
      <c r="I1305" s="10">
        <f t="shared" ca="1" si="259"/>
        <v>0</v>
      </c>
      <c r="J1305" s="13">
        <f t="shared" ca="1" si="260"/>
        <v>0</v>
      </c>
      <c r="K1305" s="14">
        <f t="shared" ca="1" si="261"/>
        <v>238.60000000000002</v>
      </c>
      <c r="L1305" s="14">
        <f t="shared" ca="1" si="262"/>
        <v>0</v>
      </c>
      <c r="M1305" s="15">
        <f t="shared" ca="1" si="263"/>
        <v>238.60000000000002</v>
      </c>
      <c r="N1305" s="16">
        <f ca="1">SUM($M$9:M1305)/A1305</f>
        <v>338.40693909020814</v>
      </c>
      <c r="O1305" s="6"/>
    </row>
    <row r="1306" spans="1:15" x14ac:dyDescent="0.25">
      <c r="A1306" s="8">
        <v>1298</v>
      </c>
      <c r="B1306" s="9">
        <f t="shared" ca="1" si="255"/>
        <v>1193</v>
      </c>
      <c r="C1306" s="10">
        <f t="shared" ca="1" si="256"/>
        <v>0</v>
      </c>
      <c r="D1306" s="11">
        <f t="shared" ca="1" si="264"/>
        <v>9.9710035131309604E-3</v>
      </c>
      <c r="E1306" s="9">
        <f t="shared" ca="1" si="265"/>
        <v>283</v>
      </c>
      <c r="F1306" s="9">
        <f t="shared" ca="1" si="257"/>
        <v>910</v>
      </c>
      <c r="G1306" s="12" t="str">
        <f t="shared" ca="1" si="258"/>
        <v>Yes</v>
      </c>
      <c r="H1306" s="12">
        <f t="shared" ca="1" si="266"/>
        <v>0.63983599235871647</v>
      </c>
      <c r="I1306" s="10">
        <f t="shared" ca="1" si="259"/>
        <v>1</v>
      </c>
      <c r="J1306" s="13">
        <f t="shared" ca="1" si="260"/>
        <v>300</v>
      </c>
      <c r="K1306" s="14">
        <f t="shared" ca="1" si="261"/>
        <v>182</v>
      </c>
      <c r="L1306" s="14">
        <f t="shared" ca="1" si="262"/>
        <v>0</v>
      </c>
      <c r="M1306" s="15">
        <f t="shared" ca="1" si="263"/>
        <v>482</v>
      </c>
      <c r="N1306" s="16">
        <f ca="1">SUM($M$9:M1306)/A1306</f>
        <v>338.51756548536207</v>
      </c>
      <c r="O1306" s="6"/>
    </row>
    <row r="1307" spans="1:15" x14ac:dyDescent="0.25">
      <c r="A1307" s="8">
        <v>1299</v>
      </c>
      <c r="B1307" s="9">
        <f t="shared" ca="1" si="255"/>
        <v>2710</v>
      </c>
      <c r="C1307" s="10">
        <f t="shared" ca="1" si="256"/>
        <v>1800</v>
      </c>
      <c r="D1307" s="11">
        <f t="shared" ca="1" si="264"/>
        <v>0.56963260033741459</v>
      </c>
      <c r="E1307" s="9">
        <f t="shared" ca="1" si="265"/>
        <v>408</v>
      </c>
      <c r="F1307" s="9">
        <f t="shared" ca="1" si="257"/>
        <v>2302</v>
      </c>
      <c r="G1307" s="12" t="str">
        <f t="shared" ca="1" si="258"/>
        <v>No</v>
      </c>
      <c r="H1307" s="12">
        <f t="shared" ca="1" si="266"/>
        <v>0</v>
      </c>
      <c r="I1307" s="10">
        <f t="shared" ca="1" si="259"/>
        <v>0</v>
      </c>
      <c r="J1307" s="13">
        <f t="shared" ca="1" si="260"/>
        <v>0</v>
      </c>
      <c r="K1307" s="14">
        <f t="shared" ca="1" si="261"/>
        <v>460.40000000000003</v>
      </c>
      <c r="L1307" s="14">
        <f t="shared" ca="1" si="262"/>
        <v>0</v>
      </c>
      <c r="M1307" s="15">
        <f t="shared" ca="1" si="263"/>
        <v>460.40000000000003</v>
      </c>
      <c r="N1307" s="16">
        <f ca="1">SUM($M$9:M1307)/A1307</f>
        <v>338.61139337952272</v>
      </c>
      <c r="O1307" s="6"/>
    </row>
    <row r="1308" spans="1:15" x14ac:dyDescent="0.25">
      <c r="A1308" s="8">
        <v>1300</v>
      </c>
      <c r="B1308" s="9">
        <f t="shared" ca="1" si="255"/>
        <v>2302</v>
      </c>
      <c r="C1308" s="10">
        <f t="shared" ca="1" si="256"/>
        <v>0</v>
      </c>
      <c r="D1308" s="11">
        <f t="shared" ca="1" si="264"/>
        <v>0.34739397935498806</v>
      </c>
      <c r="E1308" s="9">
        <f t="shared" ca="1" si="265"/>
        <v>380</v>
      </c>
      <c r="F1308" s="9">
        <f t="shared" ca="1" si="257"/>
        <v>1922</v>
      </c>
      <c r="G1308" s="12" t="str">
        <f t="shared" ca="1" si="258"/>
        <v>No</v>
      </c>
      <c r="H1308" s="12">
        <f t="shared" ca="1" si="266"/>
        <v>0</v>
      </c>
      <c r="I1308" s="10">
        <f t="shared" ca="1" si="259"/>
        <v>0</v>
      </c>
      <c r="J1308" s="13">
        <f t="shared" ca="1" si="260"/>
        <v>0</v>
      </c>
      <c r="K1308" s="14">
        <f t="shared" ca="1" si="261"/>
        <v>384.40000000000003</v>
      </c>
      <c r="L1308" s="14">
        <f t="shared" ca="1" si="262"/>
        <v>0</v>
      </c>
      <c r="M1308" s="15">
        <f t="shared" ca="1" si="263"/>
        <v>384.40000000000003</v>
      </c>
      <c r="N1308" s="16">
        <f ca="1">SUM($M$9:M1308)/A1308</f>
        <v>338.64661538461542</v>
      </c>
      <c r="O1308" s="6"/>
    </row>
    <row r="1309" spans="1:15" x14ac:dyDescent="0.25">
      <c r="A1309" s="8">
        <v>1301</v>
      </c>
      <c r="B1309" s="9">
        <f t="shared" ca="1" si="255"/>
        <v>1922</v>
      </c>
      <c r="C1309" s="10">
        <f t="shared" ca="1" si="256"/>
        <v>0</v>
      </c>
      <c r="D1309" s="11">
        <f t="shared" ca="1" si="264"/>
        <v>1.3789870941724236E-2</v>
      </c>
      <c r="E1309" s="9">
        <f t="shared" ca="1" si="265"/>
        <v>289</v>
      </c>
      <c r="F1309" s="9">
        <f t="shared" ca="1" si="257"/>
        <v>1633</v>
      </c>
      <c r="G1309" s="12" t="str">
        <f t="shared" ca="1" si="258"/>
        <v>No</v>
      </c>
      <c r="H1309" s="12">
        <f t="shared" ca="1" si="266"/>
        <v>0</v>
      </c>
      <c r="I1309" s="10">
        <f t="shared" ca="1" si="259"/>
        <v>0</v>
      </c>
      <c r="J1309" s="13">
        <f t="shared" ca="1" si="260"/>
        <v>0</v>
      </c>
      <c r="K1309" s="14">
        <f t="shared" ca="1" si="261"/>
        <v>326.60000000000002</v>
      </c>
      <c r="L1309" s="14">
        <f t="shared" ca="1" si="262"/>
        <v>0</v>
      </c>
      <c r="M1309" s="15">
        <f t="shared" ca="1" si="263"/>
        <v>326.60000000000002</v>
      </c>
      <c r="N1309" s="16">
        <f ca="1">SUM($M$9:M1309)/A1309</f>
        <v>338.63735588009223</v>
      </c>
    </row>
    <row r="1310" spans="1:15" x14ac:dyDescent="0.25">
      <c r="A1310" s="8">
        <v>1302</v>
      </c>
      <c r="B1310" s="9">
        <f t="shared" ca="1" si="255"/>
        <v>1633</v>
      </c>
      <c r="C1310" s="10">
        <f t="shared" ca="1" si="256"/>
        <v>0</v>
      </c>
      <c r="D1310" s="11">
        <f t="shared" ca="1" si="264"/>
        <v>0.91605951252401485</v>
      </c>
      <c r="E1310" s="9">
        <f t="shared" ca="1" si="265"/>
        <v>468</v>
      </c>
      <c r="F1310" s="9">
        <f t="shared" ca="1" si="257"/>
        <v>1165</v>
      </c>
      <c r="G1310" s="12" t="str">
        <f t="shared" ca="1" si="258"/>
        <v>No</v>
      </c>
      <c r="H1310" s="12">
        <f t="shared" ca="1" si="266"/>
        <v>0</v>
      </c>
      <c r="I1310" s="10">
        <f t="shared" ca="1" si="259"/>
        <v>0</v>
      </c>
      <c r="J1310" s="13">
        <f t="shared" ca="1" si="260"/>
        <v>0</v>
      </c>
      <c r="K1310" s="14">
        <f t="shared" ca="1" si="261"/>
        <v>233</v>
      </c>
      <c r="L1310" s="14">
        <f t="shared" ca="1" si="262"/>
        <v>0</v>
      </c>
      <c r="M1310" s="15">
        <f t="shared" ca="1" si="263"/>
        <v>233</v>
      </c>
      <c r="N1310" s="16">
        <f ca="1">SUM($M$9:M1310)/A1310</f>
        <v>338.55622119815666</v>
      </c>
    </row>
    <row r="1311" spans="1:15" x14ac:dyDescent="0.25">
      <c r="A1311" s="8">
        <v>1303</v>
      </c>
      <c r="B1311" s="9">
        <f t="shared" ca="1" si="255"/>
        <v>1165</v>
      </c>
      <c r="C1311" s="10">
        <f t="shared" ca="1" si="256"/>
        <v>0</v>
      </c>
      <c r="D1311" s="11">
        <f t="shared" ca="1" si="264"/>
        <v>0.8110231022859653</v>
      </c>
      <c r="E1311" s="9">
        <f t="shared" ca="1" si="265"/>
        <v>444</v>
      </c>
      <c r="F1311" s="9">
        <f t="shared" ca="1" si="257"/>
        <v>721</v>
      </c>
      <c r="G1311" s="12" t="str">
        <f t="shared" ca="1" si="258"/>
        <v>Yes</v>
      </c>
      <c r="H1311" s="12">
        <f t="shared" ca="1" si="266"/>
        <v>0.34925082807645647</v>
      </c>
      <c r="I1311" s="10">
        <f t="shared" ca="1" si="259"/>
        <v>1</v>
      </c>
      <c r="J1311" s="13">
        <f t="shared" ca="1" si="260"/>
        <v>300</v>
      </c>
      <c r="K1311" s="14">
        <f t="shared" ca="1" si="261"/>
        <v>144.20000000000002</v>
      </c>
      <c r="L1311" s="14">
        <f t="shared" ca="1" si="262"/>
        <v>0</v>
      </c>
      <c r="M1311" s="15">
        <f t="shared" ca="1" si="263"/>
        <v>444.20000000000005</v>
      </c>
      <c r="N1311" s="16">
        <f ca="1">SUM($M$9:M1311)/A1311</f>
        <v>338.63729854182657</v>
      </c>
    </row>
    <row r="1312" spans="1:15" x14ac:dyDescent="0.25">
      <c r="A1312" s="8">
        <v>1304</v>
      </c>
      <c r="B1312" s="9">
        <f t="shared" ca="1" si="255"/>
        <v>2521</v>
      </c>
      <c r="C1312" s="10">
        <f t="shared" ca="1" si="256"/>
        <v>1800</v>
      </c>
      <c r="D1312" s="11">
        <f t="shared" ca="1" si="264"/>
        <v>0.12132087999353625</v>
      </c>
      <c r="E1312" s="9">
        <f t="shared" ca="1" si="265"/>
        <v>341</v>
      </c>
      <c r="F1312" s="9">
        <f t="shared" ca="1" si="257"/>
        <v>2180</v>
      </c>
      <c r="G1312" s="12" t="str">
        <f t="shared" ca="1" si="258"/>
        <v>No</v>
      </c>
      <c r="H1312" s="12">
        <f t="shared" ca="1" si="266"/>
        <v>0</v>
      </c>
      <c r="I1312" s="10">
        <f t="shared" ca="1" si="259"/>
        <v>0</v>
      </c>
      <c r="J1312" s="13">
        <f t="shared" ca="1" si="260"/>
        <v>0</v>
      </c>
      <c r="K1312" s="14">
        <f t="shared" ca="1" si="261"/>
        <v>436</v>
      </c>
      <c r="L1312" s="14">
        <f t="shared" ca="1" si="262"/>
        <v>0</v>
      </c>
      <c r="M1312" s="15">
        <f t="shared" ca="1" si="263"/>
        <v>436</v>
      </c>
      <c r="N1312" s="16">
        <f ca="1">SUM($M$9:M1312)/A1312</f>
        <v>338.71196319018406</v>
      </c>
    </row>
    <row r="1313" spans="1:14" x14ac:dyDescent="0.25">
      <c r="A1313" s="8">
        <v>1305</v>
      </c>
      <c r="B1313" s="9">
        <f t="shared" ca="1" si="255"/>
        <v>2180</v>
      </c>
      <c r="C1313" s="10">
        <f t="shared" ca="1" si="256"/>
        <v>0</v>
      </c>
      <c r="D1313" s="11">
        <f t="shared" ca="1" si="264"/>
        <v>0.62413164362905671</v>
      </c>
      <c r="E1313" s="9">
        <f t="shared" ca="1" si="265"/>
        <v>415</v>
      </c>
      <c r="F1313" s="9">
        <f t="shared" ca="1" si="257"/>
        <v>1765</v>
      </c>
      <c r="G1313" s="12" t="str">
        <f t="shared" ca="1" si="258"/>
        <v>No</v>
      </c>
      <c r="H1313" s="12">
        <f t="shared" ca="1" si="266"/>
        <v>0</v>
      </c>
      <c r="I1313" s="10">
        <f t="shared" ca="1" si="259"/>
        <v>0</v>
      </c>
      <c r="J1313" s="13">
        <f t="shared" ca="1" si="260"/>
        <v>0</v>
      </c>
      <c r="K1313" s="14">
        <f t="shared" ca="1" si="261"/>
        <v>353</v>
      </c>
      <c r="L1313" s="14">
        <f t="shared" ca="1" si="262"/>
        <v>0</v>
      </c>
      <c r="M1313" s="15">
        <f t="shared" ca="1" si="263"/>
        <v>353</v>
      </c>
      <c r="N1313" s="16">
        <f ca="1">SUM($M$9:M1313)/A1313</f>
        <v>338.72291187739467</v>
      </c>
    </row>
    <row r="1314" spans="1:14" x14ac:dyDescent="0.25">
      <c r="A1314" s="8">
        <v>1306</v>
      </c>
      <c r="B1314" s="9">
        <f t="shared" ca="1" si="255"/>
        <v>1765</v>
      </c>
      <c r="C1314" s="10">
        <f t="shared" ca="1" si="256"/>
        <v>0</v>
      </c>
      <c r="D1314" s="11">
        <f t="shared" ca="1" si="264"/>
        <v>0.15545665577216439</v>
      </c>
      <c r="E1314" s="9">
        <f t="shared" ca="1" si="265"/>
        <v>349</v>
      </c>
      <c r="F1314" s="9">
        <f t="shared" ca="1" si="257"/>
        <v>1416</v>
      </c>
      <c r="G1314" s="12" t="str">
        <f t="shared" ca="1" si="258"/>
        <v>No</v>
      </c>
      <c r="H1314" s="12">
        <f t="shared" ca="1" si="266"/>
        <v>0</v>
      </c>
      <c r="I1314" s="10">
        <f t="shared" ca="1" si="259"/>
        <v>0</v>
      </c>
      <c r="J1314" s="13">
        <f t="shared" ca="1" si="260"/>
        <v>0</v>
      </c>
      <c r="K1314" s="14">
        <f t="shared" ca="1" si="261"/>
        <v>283.2</v>
      </c>
      <c r="L1314" s="14">
        <f t="shared" ca="1" si="262"/>
        <v>0</v>
      </c>
      <c r="M1314" s="15">
        <f t="shared" ca="1" si="263"/>
        <v>283.2</v>
      </c>
      <c r="N1314" s="16">
        <f ca="1">SUM($M$9:M1314)/A1314</f>
        <v>338.68039816232772</v>
      </c>
    </row>
    <row r="1315" spans="1:14" x14ac:dyDescent="0.25">
      <c r="A1315" s="8">
        <v>1307</v>
      </c>
      <c r="B1315" s="9">
        <f t="shared" ca="1" si="255"/>
        <v>1416</v>
      </c>
      <c r="C1315" s="10">
        <f t="shared" ca="1" si="256"/>
        <v>0</v>
      </c>
      <c r="D1315" s="11">
        <f t="shared" ca="1" si="264"/>
        <v>0.97529301429789494</v>
      </c>
      <c r="E1315" s="9">
        <f t="shared" ca="1" si="265"/>
        <v>498</v>
      </c>
      <c r="F1315" s="9">
        <f t="shared" ca="1" si="257"/>
        <v>918</v>
      </c>
      <c r="G1315" s="12" t="str">
        <f t="shared" ca="1" si="258"/>
        <v>No</v>
      </c>
      <c r="H1315" s="12">
        <f t="shared" ca="1" si="266"/>
        <v>0</v>
      </c>
      <c r="I1315" s="10">
        <f t="shared" ca="1" si="259"/>
        <v>0</v>
      </c>
      <c r="J1315" s="13">
        <f t="shared" ca="1" si="260"/>
        <v>0</v>
      </c>
      <c r="K1315" s="14">
        <f t="shared" ca="1" si="261"/>
        <v>183.60000000000002</v>
      </c>
      <c r="L1315" s="14">
        <f t="shared" ca="1" si="262"/>
        <v>0</v>
      </c>
      <c r="M1315" s="15">
        <f t="shared" ca="1" si="263"/>
        <v>183.60000000000002</v>
      </c>
      <c r="N1315" s="16">
        <f ca="1">SUM($M$9:M1315)/A1315</f>
        <v>338.56174445294567</v>
      </c>
    </row>
    <row r="1316" spans="1:14" x14ac:dyDescent="0.25">
      <c r="A1316" s="8">
        <v>1308</v>
      </c>
      <c r="B1316" s="9">
        <f t="shared" ca="1" si="255"/>
        <v>918</v>
      </c>
      <c r="C1316" s="10">
        <f t="shared" ca="1" si="256"/>
        <v>0</v>
      </c>
      <c r="D1316" s="11">
        <f t="shared" ca="1" si="264"/>
        <v>0.40753476099696173</v>
      </c>
      <c r="E1316" s="9">
        <f t="shared" ca="1" si="265"/>
        <v>388</v>
      </c>
      <c r="F1316" s="9">
        <f t="shared" ca="1" si="257"/>
        <v>530</v>
      </c>
      <c r="G1316" s="12" t="str">
        <f t="shared" ca="1" si="258"/>
        <v>Yes</v>
      </c>
      <c r="H1316" s="12">
        <f t="shared" ca="1" si="266"/>
        <v>0.8270898857067589</v>
      </c>
      <c r="I1316" s="10">
        <f t="shared" ca="1" si="259"/>
        <v>2</v>
      </c>
      <c r="J1316" s="13">
        <f t="shared" ca="1" si="260"/>
        <v>300</v>
      </c>
      <c r="K1316" s="14">
        <f t="shared" ca="1" si="261"/>
        <v>106</v>
      </c>
      <c r="L1316" s="14">
        <f t="shared" ca="1" si="262"/>
        <v>0</v>
      </c>
      <c r="M1316" s="15">
        <f t="shared" ca="1" si="263"/>
        <v>406</v>
      </c>
      <c r="N1316" s="16">
        <f ca="1">SUM($M$9:M1316)/A1316</f>
        <v>338.61330275229358</v>
      </c>
    </row>
    <row r="1317" spans="1:14" x14ac:dyDescent="0.25">
      <c r="A1317" s="8">
        <v>1309</v>
      </c>
      <c r="B1317" s="9">
        <f t="shared" ca="1" si="255"/>
        <v>530</v>
      </c>
      <c r="C1317" s="10">
        <f t="shared" ca="1" si="256"/>
        <v>0</v>
      </c>
      <c r="D1317" s="11">
        <f t="shared" ca="1" si="264"/>
        <v>0.75070584088319881</v>
      </c>
      <c r="E1317" s="9">
        <f t="shared" ca="1" si="265"/>
        <v>433</v>
      </c>
      <c r="F1317" s="9">
        <f t="shared" ca="1" si="257"/>
        <v>97</v>
      </c>
      <c r="G1317" s="12" t="str">
        <f t="shared" ca="1" si="258"/>
        <v>No</v>
      </c>
      <c r="H1317" s="12">
        <f t="shared" ca="1" si="266"/>
        <v>0</v>
      </c>
      <c r="I1317" s="10">
        <f t="shared" ca="1" si="259"/>
        <v>1</v>
      </c>
      <c r="J1317" s="13">
        <f t="shared" ca="1" si="260"/>
        <v>0</v>
      </c>
      <c r="K1317" s="14">
        <f t="shared" ca="1" si="261"/>
        <v>19.400000000000002</v>
      </c>
      <c r="L1317" s="14">
        <f t="shared" ca="1" si="262"/>
        <v>0</v>
      </c>
      <c r="M1317" s="15">
        <f t="shared" ca="1" si="263"/>
        <v>19.400000000000002</v>
      </c>
      <c r="N1317" s="16">
        <f ca="1">SUM($M$9:M1317)/A1317</f>
        <v>338.36944232238352</v>
      </c>
    </row>
    <row r="1318" spans="1:14" x14ac:dyDescent="0.25">
      <c r="A1318" s="8">
        <v>1310</v>
      </c>
      <c r="B1318" s="9">
        <f t="shared" ca="1" si="255"/>
        <v>1897</v>
      </c>
      <c r="C1318" s="10">
        <f t="shared" ca="1" si="256"/>
        <v>1800</v>
      </c>
      <c r="D1318" s="11">
        <f t="shared" ca="1" si="264"/>
        <v>0.25311472533597668</v>
      </c>
      <c r="E1318" s="9">
        <f t="shared" ca="1" si="265"/>
        <v>366</v>
      </c>
      <c r="F1318" s="9">
        <f t="shared" ca="1" si="257"/>
        <v>1531</v>
      </c>
      <c r="G1318" s="12" t="str">
        <f t="shared" ca="1" si="258"/>
        <v>No</v>
      </c>
      <c r="H1318" s="12">
        <f t="shared" ca="1" si="266"/>
        <v>0</v>
      </c>
      <c r="I1318" s="10">
        <f t="shared" ca="1" si="259"/>
        <v>0</v>
      </c>
      <c r="J1318" s="13">
        <f t="shared" ca="1" si="260"/>
        <v>0</v>
      </c>
      <c r="K1318" s="14">
        <f t="shared" ca="1" si="261"/>
        <v>306.2</v>
      </c>
      <c r="L1318" s="14">
        <f t="shared" ca="1" si="262"/>
        <v>0</v>
      </c>
      <c r="M1318" s="15">
        <f t="shared" ca="1" si="263"/>
        <v>306.2</v>
      </c>
      <c r="N1318" s="16">
        <f ca="1">SUM($M$9:M1318)/A1318</f>
        <v>338.34488549618322</v>
      </c>
    </row>
    <row r="1319" spans="1:14" x14ac:dyDescent="0.25">
      <c r="A1319" s="8">
        <v>1311</v>
      </c>
      <c r="B1319" s="9">
        <f t="shared" ca="1" si="255"/>
        <v>1531</v>
      </c>
      <c r="C1319" s="10">
        <f t="shared" ca="1" si="256"/>
        <v>0</v>
      </c>
      <c r="D1319" s="11">
        <f t="shared" ca="1" si="264"/>
        <v>0.94776883729154449</v>
      </c>
      <c r="E1319" s="9">
        <f t="shared" ca="1" si="265"/>
        <v>481</v>
      </c>
      <c r="F1319" s="9">
        <f t="shared" ca="1" si="257"/>
        <v>1050</v>
      </c>
      <c r="G1319" s="12" t="str">
        <f t="shared" ca="1" si="258"/>
        <v>No</v>
      </c>
      <c r="H1319" s="12">
        <f t="shared" ca="1" si="266"/>
        <v>0</v>
      </c>
      <c r="I1319" s="10">
        <f t="shared" ca="1" si="259"/>
        <v>0</v>
      </c>
      <c r="J1319" s="13">
        <f t="shared" ca="1" si="260"/>
        <v>0</v>
      </c>
      <c r="K1319" s="14">
        <f t="shared" ca="1" si="261"/>
        <v>210</v>
      </c>
      <c r="L1319" s="14">
        <f t="shared" ca="1" si="262"/>
        <v>0</v>
      </c>
      <c r="M1319" s="15">
        <f t="shared" ca="1" si="263"/>
        <v>210</v>
      </c>
      <c r="N1319" s="16">
        <f ca="1">SUM($M$9:M1319)/A1319</f>
        <v>338.24698703279944</v>
      </c>
    </row>
    <row r="1320" spans="1:14" x14ac:dyDescent="0.25">
      <c r="A1320" s="8">
        <v>1312</v>
      </c>
      <c r="B1320" s="9">
        <f t="shared" ca="1" si="255"/>
        <v>1050</v>
      </c>
      <c r="C1320" s="10">
        <f t="shared" ca="1" si="256"/>
        <v>0</v>
      </c>
      <c r="D1320" s="11">
        <f t="shared" ca="1" si="264"/>
        <v>0.64116049793188312</v>
      </c>
      <c r="E1320" s="9">
        <f t="shared" ca="1" si="265"/>
        <v>418</v>
      </c>
      <c r="F1320" s="9">
        <f t="shared" ca="1" si="257"/>
        <v>632</v>
      </c>
      <c r="G1320" s="12" t="str">
        <f t="shared" ca="1" si="258"/>
        <v>Yes</v>
      </c>
      <c r="H1320" s="12">
        <f t="shared" ca="1" si="266"/>
        <v>0.85687779076588411</v>
      </c>
      <c r="I1320" s="10">
        <f t="shared" ca="1" si="259"/>
        <v>2</v>
      </c>
      <c r="J1320" s="13">
        <f t="shared" ca="1" si="260"/>
        <v>300</v>
      </c>
      <c r="K1320" s="14">
        <f t="shared" ca="1" si="261"/>
        <v>126.4</v>
      </c>
      <c r="L1320" s="14">
        <f t="shared" ca="1" si="262"/>
        <v>0</v>
      </c>
      <c r="M1320" s="15">
        <f t="shared" ca="1" si="263"/>
        <v>426.4</v>
      </c>
      <c r="N1320" s="16">
        <f ca="1">SUM($M$9:M1320)/A1320</f>
        <v>338.31417682926832</v>
      </c>
    </row>
    <row r="1321" spans="1:14" x14ac:dyDescent="0.25">
      <c r="A1321" s="8">
        <v>1313</v>
      </c>
      <c r="B1321" s="9">
        <f t="shared" ca="1" si="255"/>
        <v>632</v>
      </c>
      <c r="C1321" s="10">
        <f t="shared" ca="1" si="256"/>
        <v>0</v>
      </c>
      <c r="D1321" s="11">
        <f t="shared" ca="1" si="264"/>
        <v>0.72462082780016868</v>
      </c>
      <c r="E1321" s="9">
        <f t="shared" ca="1" si="265"/>
        <v>429</v>
      </c>
      <c r="F1321" s="9">
        <f t="shared" ca="1" si="257"/>
        <v>203</v>
      </c>
      <c r="G1321" s="12" t="str">
        <f t="shared" ca="1" si="258"/>
        <v>No</v>
      </c>
      <c r="H1321" s="12">
        <f t="shared" ca="1" si="266"/>
        <v>0</v>
      </c>
      <c r="I1321" s="10">
        <f t="shared" ca="1" si="259"/>
        <v>1</v>
      </c>
      <c r="J1321" s="13">
        <f t="shared" ca="1" si="260"/>
        <v>0</v>
      </c>
      <c r="K1321" s="14">
        <f t="shared" ca="1" si="261"/>
        <v>40.6</v>
      </c>
      <c r="L1321" s="14">
        <f t="shared" ca="1" si="262"/>
        <v>0</v>
      </c>
      <c r="M1321" s="15">
        <f t="shared" ca="1" si="263"/>
        <v>40.6</v>
      </c>
      <c r="N1321" s="16">
        <f ca="1">SUM($M$9:M1321)/A1321</f>
        <v>338.08743335872055</v>
      </c>
    </row>
    <row r="1322" spans="1:14" x14ac:dyDescent="0.25">
      <c r="A1322" s="8">
        <v>1314</v>
      </c>
      <c r="B1322" s="9">
        <f t="shared" ca="1" si="255"/>
        <v>2003</v>
      </c>
      <c r="C1322" s="10">
        <f t="shared" ca="1" si="256"/>
        <v>1800</v>
      </c>
      <c r="D1322" s="11">
        <f t="shared" ca="1" si="264"/>
        <v>0.64645301156675117</v>
      </c>
      <c r="E1322" s="9">
        <f t="shared" ca="1" si="265"/>
        <v>418</v>
      </c>
      <c r="F1322" s="9">
        <f t="shared" ca="1" si="257"/>
        <v>1585</v>
      </c>
      <c r="G1322" s="12" t="str">
        <f t="shared" ca="1" si="258"/>
        <v>No</v>
      </c>
      <c r="H1322" s="12">
        <f t="shared" ca="1" si="266"/>
        <v>0</v>
      </c>
      <c r="I1322" s="10">
        <f t="shared" ca="1" si="259"/>
        <v>0</v>
      </c>
      <c r="J1322" s="13">
        <f t="shared" ca="1" si="260"/>
        <v>0</v>
      </c>
      <c r="K1322" s="14">
        <f t="shared" ca="1" si="261"/>
        <v>317</v>
      </c>
      <c r="L1322" s="14">
        <f t="shared" ca="1" si="262"/>
        <v>0</v>
      </c>
      <c r="M1322" s="15">
        <f t="shared" ca="1" si="263"/>
        <v>317</v>
      </c>
      <c r="N1322" s="16">
        <f ca="1">SUM($M$9:M1322)/A1322</f>
        <v>338.07138508371389</v>
      </c>
    </row>
    <row r="1323" spans="1:14" x14ac:dyDescent="0.25">
      <c r="A1323" s="8">
        <v>1315</v>
      </c>
      <c r="B1323" s="9">
        <f t="shared" ca="1" si="255"/>
        <v>1585</v>
      </c>
      <c r="C1323" s="10">
        <f t="shared" ca="1" si="256"/>
        <v>0</v>
      </c>
      <c r="D1323" s="11">
        <f t="shared" ca="1" si="264"/>
        <v>0.79958643040045418</v>
      </c>
      <c r="E1323" s="9">
        <f t="shared" ca="1" si="265"/>
        <v>442</v>
      </c>
      <c r="F1323" s="9">
        <f t="shared" ca="1" si="257"/>
        <v>1143</v>
      </c>
      <c r="G1323" s="12" t="str">
        <f t="shared" ca="1" si="258"/>
        <v>No</v>
      </c>
      <c r="H1323" s="12">
        <f t="shared" ca="1" si="266"/>
        <v>0</v>
      </c>
      <c r="I1323" s="10">
        <f t="shared" ca="1" si="259"/>
        <v>0</v>
      </c>
      <c r="J1323" s="13">
        <f t="shared" ca="1" si="260"/>
        <v>0</v>
      </c>
      <c r="K1323" s="14">
        <f t="shared" ca="1" si="261"/>
        <v>228.60000000000002</v>
      </c>
      <c r="L1323" s="14">
        <f t="shared" ca="1" si="262"/>
        <v>0</v>
      </c>
      <c r="M1323" s="15">
        <f t="shared" ca="1" si="263"/>
        <v>228.60000000000002</v>
      </c>
      <c r="N1323" s="16">
        <f ca="1">SUM($M$9:M1323)/A1323</f>
        <v>337.98813688212931</v>
      </c>
    </row>
    <row r="1324" spans="1:14" x14ac:dyDescent="0.25">
      <c r="A1324" s="8">
        <v>1316</v>
      </c>
      <c r="B1324" s="9">
        <f t="shared" ca="1" si="255"/>
        <v>1143</v>
      </c>
      <c r="C1324" s="10">
        <f t="shared" ca="1" si="256"/>
        <v>0</v>
      </c>
      <c r="D1324" s="11">
        <f t="shared" ca="1" si="264"/>
        <v>0.77772111535732114</v>
      </c>
      <c r="E1324" s="9">
        <f t="shared" ca="1" si="265"/>
        <v>438</v>
      </c>
      <c r="F1324" s="9">
        <f t="shared" ca="1" si="257"/>
        <v>705</v>
      </c>
      <c r="G1324" s="12" t="str">
        <f t="shared" ca="1" si="258"/>
        <v>Yes</v>
      </c>
      <c r="H1324" s="12">
        <f t="shared" ca="1" si="266"/>
        <v>0.94157396829304163</v>
      </c>
      <c r="I1324" s="10">
        <f t="shared" ca="1" si="259"/>
        <v>3</v>
      </c>
      <c r="J1324" s="13">
        <f t="shared" ca="1" si="260"/>
        <v>300</v>
      </c>
      <c r="K1324" s="14">
        <f t="shared" ca="1" si="261"/>
        <v>141</v>
      </c>
      <c r="L1324" s="14">
        <f t="shared" ca="1" si="262"/>
        <v>0</v>
      </c>
      <c r="M1324" s="15">
        <f t="shared" ca="1" si="263"/>
        <v>441</v>
      </c>
      <c r="N1324" s="16">
        <f ca="1">SUM($M$9:M1324)/A1324</f>
        <v>338.0664133738602</v>
      </c>
    </row>
    <row r="1325" spans="1:14" x14ac:dyDescent="0.25">
      <c r="A1325" s="8">
        <v>1317</v>
      </c>
      <c r="B1325" s="9">
        <f t="shared" ca="1" si="255"/>
        <v>705</v>
      </c>
      <c r="C1325" s="10">
        <f t="shared" ca="1" si="256"/>
        <v>0</v>
      </c>
      <c r="D1325" s="11">
        <f t="shared" ca="1" si="264"/>
        <v>0.32254014337152614</v>
      </c>
      <c r="E1325" s="9">
        <f t="shared" ca="1" si="265"/>
        <v>376</v>
      </c>
      <c r="F1325" s="9">
        <f t="shared" ca="1" si="257"/>
        <v>329</v>
      </c>
      <c r="G1325" s="12" t="str">
        <f t="shared" ca="1" si="258"/>
        <v>No</v>
      </c>
      <c r="H1325" s="12">
        <f t="shared" ca="1" si="266"/>
        <v>0</v>
      </c>
      <c r="I1325" s="10">
        <f t="shared" ca="1" si="259"/>
        <v>2</v>
      </c>
      <c r="J1325" s="13">
        <f t="shared" ca="1" si="260"/>
        <v>0</v>
      </c>
      <c r="K1325" s="14">
        <f t="shared" ca="1" si="261"/>
        <v>65.8</v>
      </c>
      <c r="L1325" s="14">
        <f t="shared" ca="1" si="262"/>
        <v>0</v>
      </c>
      <c r="M1325" s="15">
        <f t="shared" ca="1" si="263"/>
        <v>65.8</v>
      </c>
      <c r="N1325" s="16">
        <f ca="1">SUM($M$9:M1325)/A1325</f>
        <v>337.8596810933941</v>
      </c>
    </row>
    <row r="1326" spans="1:14" x14ac:dyDescent="0.25">
      <c r="A1326" s="8">
        <v>1318</v>
      </c>
      <c r="B1326" s="9">
        <f t="shared" ca="1" si="255"/>
        <v>329</v>
      </c>
      <c r="C1326" s="10">
        <f t="shared" ca="1" si="256"/>
        <v>0</v>
      </c>
      <c r="D1326" s="11">
        <f t="shared" ca="1" si="264"/>
        <v>0.27953014314475044</v>
      </c>
      <c r="E1326" s="9">
        <f t="shared" ca="1" si="265"/>
        <v>370</v>
      </c>
      <c r="F1326" s="9">
        <f t="shared" ca="1" si="257"/>
        <v>0</v>
      </c>
      <c r="G1326" s="12" t="str">
        <f t="shared" ca="1" si="258"/>
        <v>No</v>
      </c>
      <c r="H1326" s="12">
        <f t="shared" ca="1" si="266"/>
        <v>0</v>
      </c>
      <c r="I1326" s="10">
        <f t="shared" ca="1" si="259"/>
        <v>1</v>
      </c>
      <c r="J1326" s="13">
        <f t="shared" ca="1" si="260"/>
        <v>0</v>
      </c>
      <c r="K1326" s="14">
        <f t="shared" ca="1" si="261"/>
        <v>0</v>
      </c>
      <c r="L1326" s="14">
        <f t="shared" ca="1" si="262"/>
        <v>82</v>
      </c>
      <c r="M1326" s="15">
        <f t="shared" ca="1" si="263"/>
        <v>82</v>
      </c>
      <c r="N1326" s="16">
        <f ca="1">SUM($M$9:M1326)/A1326</f>
        <v>337.66555386949926</v>
      </c>
    </row>
    <row r="1327" spans="1:14" x14ac:dyDescent="0.25">
      <c r="A1327" s="8">
        <v>1319</v>
      </c>
      <c r="B1327" s="9">
        <f t="shared" ca="1" si="255"/>
        <v>1800</v>
      </c>
      <c r="C1327" s="10">
        <f t="shared" ca="1" si="256"/>
        <v>1800</v>
      </c>
      <c r="D1327" s="11">
        <f t="shared" ca="1" si="264"/>
        <v>0.74457994740702615</v>
      </c>
      <c r="E1327" s="9">
        <f t="shared" ca="1" si="265"/>
        <v>432</v>
      </c>
      <c r="F1327" s="9">
        <f t="shared" ca="1" si="257"/>
        <v>1368</v>
      </c>
      <c r="G1327" s="12" t="str">
        <f t="shared" ca="1" si="258"/>
        <v>No</v>
      </c>
      <c r="H1327" s="12">
        <f t="shared" ca="1" si="266"/>
        <v>0</v>
      </c>
      <c r="I1327" s="10">
        <f t="shared" ca="1" si="259"/>
        <v>0</v>
      </c>
      <c r="J1327" s="13">
        <f t="shared" ca="1" si="260"/>
        <v>0</v>
      </c>
      <c r="K1327" s="14">
        <f t="shared" ca="1" si="261"/>
        <v>273.60000000000002</v>
      </c>
      <c r="L1327" s="14">
        <f t="shared" ca="1" si="262"/>
        <v>0</v>
      </c>
      <c r="M1327" s="15">
        <f t="shared" ca="1" si="263"/>
        <v>273.60000000000002</v>
      </c>
      <c r="N1327" s="16">
        <f ca="1">SUM($M$9:M1327)/A1327</f>
        <v>337.61698256254738</v>
      </c>
    </row>
    <row r="1328" spans="1:14" x14ac:dyDescent="0.25">
      <c r="A1328" s="8">
        <v>1320</v>
      </c>
      <c r="B1328" s="9">
        <f t="shared" ca="1" si="255"/>
        <v>1368</v>
      </c>
      <c r="C1328" s="10">
        <f t="shared" ca="1" si="256"/>
        <v>0</v>
      </c>
      <c r="D1328" s="11">
        <f t="shared" ca="1" si="264"/>
        <v>0.29557105723286692</v>
      </c>
      <c r="E1328" s="9">
        <f t="shared" ca="1" si="265"/>
        <v>373</v>
      </c>
      <c r="F1328" s="9">
        <f t="shared" ca="1" si="257"/>
        <v>995</v>
      </c>
      <c r="G1328" s="12" t="str">
        <f t="shared" ca="1" si="258"/>
        <v>Yes</v>
      </c>
      <c r="H1328" s="12">
        <f t="shared" ca="1" si="266"/>
        <v>0.60422881272942319</v>
      </c>
      <c r="I1328" s="10">
        <f t="shared" ca="1" si="259"/>
        <v>1</v>
      </c>
      <c r="J1328" s="13">
        <f t="shared" ca="1" si="260"/>
        <v>300</v>
      </c>
      <c r="K1328" s="14">
        <f t="shared" ca="1" si="261"/>
        <v>199</v>
      </c>
      <c r="L1328" s="14">
        <f t="shared" ca="1" si="262"/>
        <v>0</v>
      </c>
      <c r="M1328" s="15">
        <f t="shared" ca="1" si="263"/>
        <v>499</v>
      </c>
      <c r="N1328" s="16">
        <f ca="1">SUM($M$9:M1328)/A1328</f>
        <v>337.73924242424243</v>
      </c>
    </row>
    <row r="1329" spans="1:14" x14ac:dyDescent="0.25">
      <c r="A1329" s="8">
        <v>1321</v>
      </c>
      <c r="B1329" s="9">
        <f t="shared" ca="1" si="255"/>
        <v>2795</v>
      </c>
      <c r="C1329" s="10">
        <f t="shared" ca="1" si="256"/>
        <v>1800</v>
      </c>
      <c r="D1329" s="11">
        <f t="shared" ca="1" si="264"/>
        <v>0.69069135205819998</v>
      </c>
      <c r="E1329" s="9">
        <f t="shared" ca="1" si="265"/>
        <v>424</v>
      </c>
      <c r="F1329" s="9">
        <f t="shared" ca="1" si="257"/>
        <v>2371</v>
      </c>
      <c r="G1329" s="12" t="str">
        <f t="shared" ca="1" si="258"/>
        <v>No</v>
      </c>
      <c r="H1329" s="12">
        <f t="shared" ca="1" si="266"/>
        <v>0</v>
      </c>
      <c r="I1329" s="10">
        <f t="shared" ca="1" si="259"/>
        <v>0</v>
      </c>
      <c r="J1329" s="13">
        <f t="shared" ca="1" si="260"/>
        <v>0</v>
      </c>
      <c r="K1329" s="14">
        <f t="shared" ca="1" si="261"/>
        <v>474.20000000000005</v>
      </c>
      <c r="L1329" s="14">
        <f t="shared" ca="1" si="262"/>
        <v>0</v>
      </c>
      <c r="M1329" s="15">
        <f t="shared" ca="1" si="263"/>
        <v>474.20000000000005</v>
      </c>
      <c r="N1329" s="16">
        <f ca="1">SUM($M$9:M1329)/A1329</f>
        <v>337.8425435276306</v>
      </c>
    </row>
    <row r="1330" spans="1:14" x14ac:dyDescent="0.25">
      <c r="A1330" s="8">
        <v>1322</v>
      </c>
      <c r="B1330" s="9">
        <f t="shared" ca="1" si="255"/>
        <v>2371</v>
      </c>
      <c r="C1330" s="10">
        <f t="shared" ca="1" si="256"/>
        <v>0</v>
      </c>
      <c r="D1330" s="11">
        <f t="shared" ca="1" si="264"/>
        <v>2.6507490345828444E-5</v>
      </c>
      <c r="E1330" s="9">
        <f t="shared" ca="1" si="265"/>
        <v>197</v>
      </c>
      <c r="F1330" s="9">
        <f t="shared" ca="1" si="257"/>
        <v>2174</v>
      </c>
      <c r="G1330" s="12" t="str">
        <f t="shared" ca="1" si="258"/>
        <v>No</v>
      </c>
      <c r="H1330" s="12">
        <f t="shared" ca="1" si="266"/>
        <v>0</v>
      </c>
      <c r="I1330" s="10">
        <f t="shared" ca="1" si="259"/>
        <v>0</v>
      </c>
      <c r="J1330" s="13">
        <f t="shared" ca="1" si="260"/>
        <v>0</v>
      </c>
      <c r="K1330" s="14">
        <f t="shared" ca="1" si="261"/>
        <v>434.8</v>
      </c>
      <c r="L1330" s="14">
        <f t="shared" ca="1" si="262"/>
        <v>0</v>
      </c>
      <c r="M1330" s="15">
        <f t="shared" ca="1" si="263"/>
        <v>434.8</v>
      </c>
      <c r="N1330" s="16">
        <f ca="1">SUM($M$9:M1330)/A1330</f>
        <v>337.91588502269286</v>
      </c>
    </row>
    <row r="1331" spans="1:14" x14ac:dyDescent="0.25">
      <c r="A1331" s="8">
        <v>1323</v>
      </c>
      <c r="B1331" s="9">
        <f t="shared" ca="1" si="255"/>
        <v>2174</v>
      </c>
      <c r="C1331" s="10">
        <f t="shared" ca="1" si="256"/>
        <v>0</v>
      </c>
      <c r="D1331" s="11">
        <f t="shared" ca="1" si="264"/>
        <v>0.8606864354895698</v>
      </c>
      <c r="E1331" s="9">
        <f t="shared" ca="1" si="265"/>
        <v>454</v>
      </c>
      <c r="F1331" s="9">
        <f t="shared" ca="1" si="257"/>
        <v>1720</v>
      </c>
      <c r="G1331" s="12" t="str">
        <f t="shared" ca="1" si="258"/>
        <v>No</v>
      </c>
      <c r="H1331" s="12">
        <f t="shared" ca="1" si="266"/>
        <v>0</v>
      </c>
      <c r="I1331" s="10">
        <f t="shared" ca="1" si="259"/>
        <v>0</v>
      </c>
      <c r="J1331" s="13">
        <f t="shared" ca="1" si="260"/>
        <v>0</v>
      </c>
      <c r="K1331" s="14">
        <f t="shared" ca="1" si="261"/>
        <v>344</v>
      </c>
      <c r="L1331" s="14">
        <f t="shared" ca="1" si="262"/>
        <v>0</v>
      </c>
      <c r="M1331" s="15">
        <f t="shared" ca="1" si="263"/>
        <v>344</v>
      </c>
      <c r="N1331" s="16">
        <f ca="1">SUM($M$9:M1331)/A1331</f>
        <v>337.92048374905517</v>
      </c>
    </row>
    <row r="1332" spans="1:14" x14ac:dyDescent="0.25">
      <c r="A1332" s="8">
        <v>1324</v>
      </c>
      <c r="B1332" s="9">
        <f t="shared" ca="1" si="255"/>
        <v>1720</v>
      </c>
      <c r="C1332" s="10">
        <f t="shared" ca="1" si="256"/>
        <v>0</v>
      </c>
      <c r="D1332" s="11">
        <f t="shared" ca="1" si="264"/>
        <v>0.35585197618203646</v>
      </c>
      <c r="E1332" s="9">
        <f t="shared" ca="1" si="265"/>
        <v>381</v>
      </c>
      <c r="F1332" s="9">
        <f t="shared" ca="1" si="257"/>
        <v>1339</v>
      </c>
      <c r="G1332" s="12" t="str">
        <f t="shared" ca="1" si="258"/>
        <v>No</v>
      </c>
      <c r="H1332" s="12">
        <f t="shared" ca="1" si="266"/>
        <v>0</v>
      </c>
      <c r="I1332" s="10">
        <f t="shared" ca="1" si="259"/>
        <v>0</v>
      </c>
      <c r="J1332" s="13">
        <f t="shared" ca="1" si="260"/>
        <v>0</v>
      </c>
      <c r="K1332" s="14">
        <f t="shared" ca="1" si="261"/>
        <v>267.8</v>
      </c>
      <c r="L1332" s="14">
        <f t="shared" ca="1" si="262"/>
        <v>0</v>
      </c>
      <c r="M1332" s="15">
        <f t="shared" ca="1" si="263"/>
        <v>267.8</v>
      </c>
      <c r="N1332" s="16">
        <f ca="1">SUM($M$9:M1332)/A1332</f>
        <v>337.86752265861026</v>
      </c>
    </row>
    <row r="1333" spans="1:14" x14ac:dyDescent="0.25">
      <c r="A1333" s="8">
        <v>1325</v>
      </c>
      <c r="B1333" s="9">
        <f t="shared" ca="1" si="255"/>
        <v>1339</v>
      </c>
      <c r="C1333" s="10">
        <f t="shared" ca="1" si="256"/>
        <v>0</v>
      </c>
      <c r="D1333" s="11">
        <f t="shared" ca="1" si="264"/>
        <v>0.63745701901024499</v>
      </c>
      <c r="E1333" s="9">
        <f t="shared" ca="1" si="265"/>
        <v>417</v>
      </c>
      <c r="F1333" s="9">
        <f t="shared" ca="1" si="257"/>
        <v>922</v>
      </c>
      <c r="G1333" s="12" t="str">
        <f t="shared" ca="1" si="258"/>
        <v>Yes</v>
      </c>
      <c r="H1333" s="12">
        <f t="shared" ca="1" si="266"/>
        <v>0.44899529863531651</v>
      </c>
      <c r="I1333" s="10">
        <f t="shared" ca="1" si="259"/>
        <v>1</v>
      </c>
      <c r="J1333" s="13">
        <f t="shared" ca="1" si="260"/>
        <v>300</v>
      </c>
      <c r="K1333" s="14">
        <f t="shared" ca="1" si="261"/>
        <v>184.4</v>
      </c>
      <c r="L1333" s="14">
        <f t="shared" ca="1" si="262"/>
        <v>0</v>
      </c>
      <c r="M1333" s="15">
        <f t="shared" ca="1" si="263"/>
        <v>484.4</v>
      </c>
      <c r="N1333" s="16">
        <f ca="1">SUM($M$9:M1333)/A1333</f>
        <v>337.97811320754715</v>
      </c>
    </row>
    <row r="1334" spans="1:14" x14ac:dyDescent="0.25">
      <c r="A1334" s="8">
        <v>1326</v>
      </c>
      <c r="B1334" s="9">
        <f t="shared" ca="1" si="255"/>
        <v>2722</v>
      </c>
      <c r="C1334" s="10">
        <f t="shared" ca="1" si="256"/>
        <v>1800</v>
      </c>
      <c r="D1334" s="11">
        <f t="shared" ca="1" si="264"/>
        <v>0.54887531330094697</v>
      </c>
      <c r="E1334" s="9">
        <f t="shared" ca="1" si="265"/>
        <v>406</v>
      </c>
      <c r="F1334" s="9">
        <f t="shared" ca="1" si="257"/>
        <v>2316</v>
      </c>
      <c r="G1334" s="12" t="str">
        <f t="shared" ca="1" si="258"/>
        <v>No</v>
      </c>
      <c r="H1334" s="12">
        <f t="shared" ca="1" si="266"/>
        <v>0</v>
      </c>
      <c r="I1334" s="10">
        <f t="shared" ca="1" si="259"/>
        <v>0</v>
      </c>
      <c r="J1334" s="13">
        <f t="shared" ca="1" si="260"/>
        <v>0</v>
      </c>
      <c r="K1334" s="14">
        <f t="shared" ca="1" si="261"/>
        <v>463.20000000000005</v>
      </c>
      <c r="L1334" s="14">
        <f t="shared" ca="1" si="262"/>
        <v>0</v>
      </c>
      <c r="M1334" s="15">
        <f t="shared" ca="1" si="263"/>
        <v>463.20000000000005</v>
      </c>
      <c r="N1334" s="16">
        <f ca="1">SUM($M$9:M1334)/A1334</f>
        <v>338.07254901960783</v>
      </c>
    </row>
    <row r="1335" spans="1:14" x14ac:dyDescent="0.25">
      <c r="A1335" s="8">
        <v>1327</v>
      </c>
      <c r="B1335" s="9">
        <f t="shared" ca="1" si="255"/>
        <v>2316</v>
      </c>
      <c r="C1335" s="10">
        <f t="shared" ca="1" si="256"/>
        <v>0</v>
      </c>
      <c r="D1335" s="11">
        <f t="shared" ca="1" si="264"/>
        <v>0.91144934817113321</v>
      </c>
      <c r="E1335" s="9">
        <f t="shared" ca="1" si="265"/>
        <v>467</v>
      </c>
      <c r="F1335" s="9">
        <f t="shared" ca="1" si="257"/>
        <v>1849</v>
      </c>
      <c r="G1335" s="12" t="str">
        <f t="shared" ca="1" si="258"/>
        <v>No</v>
      </c>
      <c r="H1335" s="12">
        <f t="shared" ca="1" si="266"/>
        <v>0</v>
      </c>
      <c r="I1335" s="10">
        <f t="shared" ca="1" si="259"/>
        <v>0</v>
      </c>
      <c r="J1335" s="13">
        <f t="shared" ca="1" si="260"/>
        <v>0</v>
      </c>
      <c r="K1335" s="14">
        <f t="shared" ca="1" si="261"/>
        <v>369.8</v>
      </c>
      <c r="L1335" s="14">
        <f t="shared" ca="1" si="262"/>
        <v>0</v>
      </c>
      <c r="M1335" s="15">
        <f t="shared" ca="1" si="263"/>
        <v>369.8</v>
      </c>
      <c r="N1335" s="16">
        <f ca="1">SUM($M$9:M1335)/A1335</f>
        <v>338.09645817633759</v>
      </c>
    </row>
    <row r="1336" spans="1:14" x14ac:dyDescent="0.25">
      <c r="A1336" s="8">
        <v>1328</v>
      </c>
      <c r="B1336" s="9">
        <f t="shared" ca="1" si="255"/>
        <v>1849</v>
      </c>
      <c r="C1336" s="10">
        <f t="shared" ca="1" si="256"/>
        <v>0</v>
      </c>
      <c r="D1336" s="11">
        <f t="shared" ca="1" si="264"/>
        <v>0.28255358529449959</v>
      </c>
      <c r="E1336" s="9">
        <f t="shared" ca="1" si="265"/>
        <v>371</v>
      </c>
      <c r="F1336" s="9">
        <f t="shared" ca="1" si="257"/>
        <v>1478</v>
      </c>
      <c r="G1336" s="12" t="str">
        <f t="shared" ca="1" si="258"/>
        <v>No</v>
      </c>
      <c r="H1336" s="12">
        <f t="shared" ca="1" si="266"/>
        <v>0</v>
      </c>
      <c r="I1336" s="10">
        <f t="shared" ca="1" si="259"/>
        <v>0</v>
      </c>
      <c r="J1336" s="13">
        <f t="shared" ca="1" si="260"/>
        <v>0</v>
      </c>
      <c r="K1336" s="14">
        <f t="shared" ca="1" si="261"/>
        <v>295.60000000000002</v>
      </c>
      <c r="L1336" s="14">
        <f t="shared" ca="1" si="262"/>
        <v>0</v>
      </c>
      <c r="M1336" s="15">
        <f t="shared" ca="1" si="263"/>
        <v>295.60000000000002</v>
      </c>
      <c r="N1336" s="16">
        <f ca="1">SUM($M$9:M1336)/A1336</f>
        <v>338.06445783132529</v>
      </c>
    </row>
    <row r="1337" spans="1:14" x14ac:dyDescent="0.25">
      <c r="A1337" s="8">
        <v>1329</v>
      </c>
      <c r="B1337" s="9">
        <f t="shared" ca="1" si="255"/>
        <v>1478</v>
      </c>
      <c r="C1337" s="10">
        <f t="shared" ca="1" si="256"/>
        <v>0</v>
      </c>
      <c r="D1337" s="11">
        <f t="shared" ca="1" si="264"/>
        <v>0.63638956515654266</v>
      </c>
      <c r="E1337" s="9">
        <f t="shared" ca="1" si="265"/>
        <v>417</v>
      </c>
      <c r="F1337" s="9">
        <f t="shared" ca="1" si="257"/>
        <v>1061</v>
      </c>
      <c r="G1337" s="12" t="str">
        <f t="shared" ca="1" si="258"/>
        <v>No</v>
      </c>
      <c r="H1337" s="12">
        <f t="shared" ca="1" si="266"/>
        <v>0</v>
      </c>
      <c r="I1337" s="10">
        <f t="shared" ca="1" si="259"/>
        <v>0</v>
      </c>
      <c r="J1337" s="13">
        <f t="shared" ca="1" si="260"/>
        <v>0</v>
      </c>
      <c r="K1337" s="14">
        <f t="shared" ca="1" si="261"/>
        <v>212.20000000000002</v>
      </c>
      <c r="L1337" s="14">
        <f t="shared" ca="1" si="262"/>
        <v>0</v>
      </c>
      <c r="M1337" s="15">
        <f t="shared" ca="1" si="263"/>
        <v>212.20000000000002</v>
      </c>
      <c r="N1337" s="16">
        <f ca="1">SUM($M$9:M1337)/A1337</f>
        <v>337.96975169300225</v>
      </c>
    </row>
    <row r="1338" spans="1:14" x14ac:dyDescent="0.25">
      <c r="A1338" s="8">
        <v>1330</v>
      </c>
      <c r="B1338" s="9">
        <f t="shared" ca="1" si="255"/>
        <v>1061</v>
      </c>
      <c r="C1338" s="10">
        <f t="shared" ca="1" si="256"/>
        <v>0</v>
      </c>
      <c r="D1338" s="11">
        <f t="shared" ca="1" si="264"/>
        <v>0.40170299295746892</v>
      </c>
      <c r="E1338" s="9">
        <f t="shared" ca="1" si="265"/>
        <v>387</v>
      </c>
      <c r="F1338" s="9">
        <f t="shared" ca="1" si="257"/>
        <v>674</v>
      </c>
      <c r="G1338" s="12" t="str">
        <f t="shared" ca="1" si="258"/>
        <v>Yes</v>
      </c>
      <c r="H1338" s="12">
        <f t="shared" ca="1" si="266"/>
        <v>0.20179552855306726</v>
      </c>
      <c r="I1338" s="10">
        <f t="shared" ca="1" si="259"/>
        <v>1</v>
      </c>
      <c r="J1338" s="13">
        <f t="shared" ca="1" si="260"/>
        <v>300</v>
      </c>
      <c r="K1338" s="14">
        <f t="shared" ca="1" si="261"/>
        <v>134.80000000000001</v>
      </c>
      <c r="L1338" s="14">
        <f t="shared" ca="1" si="262"/>
        <v>0</v>
      </c>
      <c r="M1338" s="15">
        <f t="shared" ca="1" si="263"/>
        <v>434.8</v>
      </c>
      <c r="N1338" s="16">
        <f ca="1">SUM($M$9:M1338)/A1338</f>
        <v>338.04255639097744</v>
      </c>
    </row>
    <row r="1339" spans="1:14" x14ac:dyDescent="0.25">
      <c r="A1339" s="8">
        <v>1331</v>
      </c>
      <c r="B1339" s="9">
        <f t="shared" ca="1" si="255"/>
        <v>2474</v>
      </c>
      <c r="C1339" s="10">
        <f t="shared" ca="1" si="256"/>
        <v>1800</v>
      </c>
      <c r="D1339" s="11">
        <f t="shared" ca="1" si="264"/>
        <v>0.18703133107998071</v>
      </c>
      <c r="E1339" s="9">
        <f t="shared" ca="1" si="265"/>
        <v>355</v>
      </c>
      <c r="F1339" s="9">
        <f t="shared" ca="1" si="257"/>
        <v>2119</v>
      </c>
      <c r="G1339" s="12" t="str">
        <f t="shared" ca="1" si="258"/>
        <v>No</v>
      </c>
      <c r="H1339" s="12">
        <f t="shared" ca="1" si="266"/>
        <v>0</v>
      </c>
      <c r="I1339" s="10">
        <f t="shared" ca="1" si="259"/>
        <v>0</v>
      </c>
      <c r="J1339" s="13">
        <f t="shared" ca="1" si="260"/>
        <v>0</v>
      </c>
      <c r="K1339" s="14">
        <f t="shared" ca="1" si="261"/>
        <v>423.8</v>
      </c>
      <c r="L1339" s="14">
        <f t="shared" ca="1" si="262"/>
        <v>0</v>
      </c>
      <c r="M1339" s="15">
        <f t="shared" ca="1" si="263"/>
        <v>423.8</v>
      </c>
      <c r="N1339" s="16">
        <f ca="1">SUM($M$9:M1339)/A1339</f>
        <v>338.10698722764835</v>
      </c>
    </row>
    <row r="1340" spans="1:14" x14ac:dyDescent="0.25">
      <c r="A1340" s="8">
        <v>1332</v>
      </c>
      <c r="B1340" s="9">
        <f t="shared" ca="1" si="255"/>
        <v>2119</v>
      </c>
      <c r="C1340" s="10">
        <f t="shared" ca="1" si="256"/>
        <v>0</v>
      </c>
      <c r="D1340" s="11">
        <f t="shared" ca="1" si="264"/>
        <v>0.38003279091930797</v>
      </c>
      <c r="E1340" s="9">
        <f t="shared" ca="1" si="265"/>
        <v>384</v>
      </c>
      <c r="F1340" s="9">
        <f t="shared" ca="1" si="257"/>
        <v>1735</v>
      </c>
      <c r="G1340" s="12" t="str">
        <f t="shared" ca="1" si="258"/>
        <v>No</v>
      </c>
      <c r="H1340" s="12">
        <f t="shared" ca="1" si="266"/>
        <v>0</v>
      </c>
      <c r="I1340" s="10">
        <f t="shared" ca="1" si="259"/>
        <v>0</v>
      </c>
      <c r="J1340" s="13">
        <f t="shared" ca="1" si="260"/>
        <v>0</v>
      </c>
      <c r="K1340" s="14">
        <f t="shared" ca="1" si="261"/>
        <v>347</v>
      </c>
      <c r="L1340" s="14">
        <f t="shared" ca="1" si="262"/>
        <v>0</v>
      </c>
      <c r="M1340" s="15">
        <f t="shared" ca="1" si="263"/>
        <v>347</v>
      </c>
      <c r="N1340" s="16">
        <f ca="1">SUM($M$9:M1340)/A1340</f>
        <v>338.11366366366366</v>
      </c>
    </row>
    <row r="1341" spans="1:14" x14ac:dyDescent="0.25">
      <c r="A1341" s="8">
        <v>1333</v>
      </c>
      <c r="B1341" s="9">
        <f t="shared" ref="B1341:B1404" ca="1" si="267">IF(I1340=1,F1340+Quantity,F1340)</f>
        <v>1735</v>
      </c>
      <c r="C1341" s="10">
        <f t="shared" ref="C1341:C1404" ca="1" si="268">IF(I1340=1,Quantity,0)</f>
        <v>0</v>
      </c>
      <c r="D1341" s="11">
        <f t="shared" ca="1" si="264"/>
        <v>0.27083460787300817</v>
      </c>
      <c r="E1341" s="9">
        <f t="shared" ca="1" si="265"/>
        <v>369</v>
      </c>
      <c r="F1341" s="9">
        <f t="shared" ref="F1341:F1404" ca="1" si="269">IF(B1341+C1341-E1341&lt;0,0,B1341-E1341)</f>
        <v>1366</v>
      </c>
      <c r="G1341" s="12" t="str">
        <f t="shared" ref="G1341:G1404" ca="1" si="270">IF(B1341&lt;Point,IF(I1340=0,"Yes","No"),"No")</f>
        <v>No</v>
      </c>
      <c r="H1341" s="12">
        <f t="shared" ca="1" si="266"/>
        <v>0</v>
      </c>
      <c r="I1341" s="10">
        <f t="shared" ref="I1341:I1404" ca="1" si="271">IF(I1340&gt;0,I1340-1,(IF(G1341="Yes",(VLOOKUP(H1341,LTD,3)),0)))</f>
        <v>0</v>
      </c>
      <c r="J1341" s="13">
        <f t="shared" ref="J1341:J1404" ca="1" si="272">IF(G1341="Yes",Order_Cost,0)</f>
        <v>0</v>
      </c>
      <c r="K1341" s="14">
        <f t="shared" ref="K1341:K1404" ca="1" si="273">F1341*Holding_Cost</f>
        <v>273.2</v>
      </c>
      <c r="L1341" s="14">
        <f t="shared" ref="L1341:L1404" ca="1" si="274">IF(B1341+C1341&lt;E1341,Shortage_Cost*(E1341-B1341-C1341),0)</f>
        <v>0</v>
      </c>
      <c r="M1341" s="15">
        <f t="shared" ref="M1341:M1404" ca="1" si="275">SUM(J1341:L1341)</f>
        <v>273.2</v>
      </c>
      <c r="N1341" s="16">
        <f ca="1">SUM($M$9:M1341)/A1341</f>
        <v>338.0649662415604</v>
      </c>
    </row>
    <row r="1342" spans="1:14" x14ac:dyDescent="0.25">
      <c r="A1342" s="8">
        <v>1334</v>
      </c>
      <c r="B1342" s="9">
        <f t="shared" ca="1" si="267"/>
        <v>1366</v>
      </c>
      <c r="C1342" s="10">
        <f t="shared" ca="1" si="268"/>
        <v>0</v>
      </c>
      <c r="D1342" s="11">
        <f t="shared" ca="1" si="264"/>
        <v>0.14072391009157548</v>
      </c>
      <c r="E1342" s="9">
        <f t="shared" ca="1" si="265"/>
        <v>346</v>
      </c>
      <c r="F1342" s="9">
        <f t="shared" ca="1" si="269"/>
        <v>1020</v>
      </c>
      <c r="G1342" s="12" t="str">
        <f t="shared" ca="1" si="270"/>
        <v>Yes</v>
      </c>
      <c r="H1342" s="12">
        <f t="shared" ca="1" si="266"/>
        <v>0.37236468498645758</v>
      </c>
      <c r="I1342" s="10">
        <f t="shared" ca="1" si="271"/>
        <v>1</v>
      </c>
      <c r="J1342" s="13">
        <f t="shared" ca="1" si="272"/>
        <v>300</v>
      </c>
      <c r="K1342" s="14">
        <f t="shared" ca="1" si="273"/>
        <v>204</v>
      </c>
      <c r="L1342" s="14">
        <f t="shared" ca="1" si="274"/>
        <v>0</v>
      </c>
      <c r="M1342" s="15">
        <f t="shared" ca="1" si="275"/>
        <v>504</v>
      </c>
      <c r="N1342" s="16">
        <f ca="1">SUM($M$9:M1342)/A1342</f>
        <v>338.18935532233883</v>
      </c>
    </row>
    <row r="1343" spans="1:14" x14ac:dyDescent="0.25">
      <c r="A1343" s="8">
        <v>1335</v>
      </c>
      <c r="B1343" s="9">
        <f t="shared" ca="1" si="267"/>
        <v>2820</v>
      </c>
      <c r="C1343" s="10">
        <f t="shared" ca="1" si="268"/>
        <v>1800</v>
      </c>
      <c r="D1343" s="11">
        <f t="shared" ca="1" si="264"/>
        <v>0.92009010496992094</v>
      </c>
      <c r="E1343" s="9">
        <f t="shared" ca="1" si="265"/>
        <v>470</v>
      </c>
      <c r="F1343" s="9">
        <f t="shared" ca="1" si="269"/>
        <v>2350</v>
      </c>
      <c r="G1343" s="12" t="str">
        <f t="shared" ca="1" si="270"/>
        <v>No</v>
      </c>
      <c r="H1343" s="12">
        <f t="shared" ca="1" si="266"/>
        <v>0</v>
      </c>
      <c r="I1343" s="10">
        <f t="shared" ca="1" si="271"/>
        <v>0</v>
      </c>
      <c r="J1343" s="13">
        <f t="shared" ca="1" si="272"/>
        <v>0</v>
      </c>
      <c r="K1343" s="14">
        <f t="shared" ca="1" si="273"/>
        <v>470</v>
      </c>
      <c r="L1343" s="14">
        <f t="shared" ca="1" si="274"/>
        <v>0</v>
      </c>
      <c r="M1343" s="15">
        <f t="shared" ca="1" si="275"/>
        <v>470</v>
      </c>
      <c r="N1343" s="16">
        <f ca="1">SUM($M$9:M1343)/A1343</f>
        <v>338.28808988764041</v>
      </c>
    </row>
    <row r="1344" spans="1:14" x14ac:dyDescent="0.25">
      <c r="A1344" s="8">
        <v>1336</v>
      </c>
      <c r="B1344" s="9">
        <f t="shared" ca="1" si="267"/>
        <v>2350</v>
      </c>
      <c r="C1344" s="10">
        <f t="shared" ca="1" si="268"/>
        <v>0</v>
      </c>
      <c r="D1344" s="11">
        <f t="shared" ca="1" si="264"/>
        <v>0.45842318111185121</v>
      </c>
      <c r="E1344" s="9">
        <f t="shared" ca="1" si="265"/>
        <v>394</v>
      </c>
      <c r="F1344" s="9">
        <f t="shared" ca="1" si="269"/>
        <v>1956</v>
      </c>
      <c r="G1344" s="12" t="str">
        <f t="shared" ca="1" si="270"/>
        <v>No</v>
      </c>
      <c r="H1344" s="12">
        <f t="shared" ca="1" si="266"/>
        <v>0</v>
      </c>
      <c r="I1344" s="10">
        <f t="shared" ca="1" si="271"/>
        <v>0</v>
      </c>
      <c r="J1344" s="13">
        <f t="shared" ca="1" si="272"/>
        <v>0</v>
      </c>
      <c r="K1344" s="14">
        <f t="shared" ca="1" si="273"/>
        <v>391.20000000000005</v>
      </c>
      <c r="L1344" s="14">
        <f t="shared" ca="1" si="274"/>
        <v>0</v>
      </c>
      <c r="M1344" s="15">
        <f t="shared" ca="1" si="275"/>
        <v>391.20000000000005</v>
      </c>
      <c r="N1344" s="16">
        <f ca="1">SUM($M$9:M1344)/A1344</f>
        <v>338.32769461077845</v>
      </c>
    </row>
    <row r="1345" spans="1:14" x14ac:dyDescent="0.25">
      <c r="A1345" s="8">
        <v>1337</v>
      </c>
      <c r="B1345" s="9">
        <f t="shared" ca="1" si="267"/>
        <v>1956</v>
      </c>
      <c r="C1345" s="10">
        <f t="shared" ca="1" si="268"/>
        <v>0</v>
      </c>
      <c r="D1345" s="11">
        <f t="shared" ca="1" si="264"/>
        <v>0.85570630163839378</v>
      </c>
      <c r="E1345" s="9">
        <f t="shared" ca="1" si="265"/>
        <v>453</v>
      </c>
      <c r="F1345" s="9">
        <f t="shared" ca="1" si="269"/>
        <v>1503</v>
      </c>
      <c r="G1345" s="12" t="str">
        <f t="shared" ca="1" si="270"/>
        <v>No</v>
      </c>
      <c r="H1345" s="12">
        <f t="shared" ca="1" si="266"/>
        <v>0</v>
      </c>
      <c r="I1345" s="10">
        <f t="shared" ca="1" si="271"/>
        <v>0</v>
      </c>
      <c r="J1345" s="13">
        <f t="shared" ca="1" si="272"/>
        <v>0</v>
      </c>
      <c r="K1345" s="14">
        <f t="shared" ca="1" si="273"/>
        <v>300.60000000000002</v>
      </c>
      <c r="L1345" s="14">
        <f t="shared" ca="1" si="274"/>
        <v>0</v>
      </c>
      <c r="M1345" s="15">
        <f t="shared" ca="1" si="275"/>
        <v>300.60000000000002</v>
      </c>
      <c r="N1345" s="16">
        <f ca="1">SUM($M$9:M1345)/A1345</f>
        <v>338.29947643979057</v>
      </c>
    </row>
    <row r="1346" spans="1:14" x14ac:dyDescent="0.25">
      <c r="A1346" s="8">
        <v>1338</v>
      </c>
      <c r="B1346" s="9">
        <f t="shared" ca="1" si="267"/>
        <v>1503</v>
      </c>
      <c r="C1346" s="10">
        <f t="shared" ca="1" si="268"/>
        <v>0</v>
      </c>
      <c r="D1346" s="11">
        <f t="shared" ca="1" si="264"/>
        <v>0.95820704407804325</v>
      </c>
      <c r="E1346" s="9">
        <f t="shared" ca="1" si="265"/>
        <v>486</v>
      </c>
      <c r="F1346" s="9">
        <f t="shared" ca="1" si="269"/>
        <v>1017</v>
      </c>
      <c r="G1346" s="12" t="str">
        <f t="shared" ca="1" si="270"/>
        <v>No</v>
      </c>
      <c r="H1346" s="12">
        <f t="shared" ca="1" si="266"/>
        <v>0</v>
      </c>
      <c r="I1346" s="10">
        <f t="shared" ca="1" si="271"/>
        <v>0</v>
      </c>
      <c r="J1346" s="13">
        <f t="shared" ca="1" si="272"/>
        <v>0</v>
      </c>
      <c r="K1346" s="14">
        <f t="shared" ca="1" si="273"/>
        <v>203.4</v>
      </c>
      <c r="L1346" s="14">
        <f t="shared" ca="1" si="274"/>
        <v>0</v>
      </c>
      <c r="M1346" s="15">
        <f t="shared" ca="1" si="275"/>
        <v>203.4</v>
      </c>
      <c r="N1346" s="16">
        <f ca="1">SUM($M$9:M1346)/A1346</f>
        <v>338.19865470852017</v>
      </c>
    </row>
    <row r="1347" spans="1:14" x14ac:dyDescent="0.25">
      <c r="A1347" s="8">
        <v>1339</v>
      </c>
      <c r="B1347" s="9">
        <f t="shared" ca="1" si="267"/>
        <v>1017</v>
      </c>
      <c r="C1347" s="10">
        <f t="shared" ca="1" si="268"/>
        <v>0</v>
      </c>
      <c r="D1347" s="11">
        <f t="shared" ca="1" si="264"/>
        <v>0.45043871480967812</v>
      </c>
      <c r="E1347" s="9">
        <f t="shared" ca="1" si="265"/>
        <v>393</v>
      </c>
      <c r="F1347" s="9">
        <f t="shared" ca="1" si="269"/>
        <v>624</v>
      </c>
      <c r="G1347" s="12" t="str">
        <f t="shared" ca="1" si="270"/>
        <v>Yes</v>
      </c>
      <c r="H1347" s="12">
        <f t="shared" ca="1" si="266"/>
        <v>0.17797105651729683</v>
      </c>
      <c r="I1347" s="10">
        <f t="shared" ca="1" si="271"/>
        <v>1</v>
      </c>
      <c r="J1347" s="13">
        <f t="shared" ca="1" si="272"/>
        <v>300</v>
      </c>
      <c r="K1347" s="14">
        <f t="shared" ca="1" si="273"/>
        <v>124.80000000000001</v>
      </c>
      <c r="L1347" s="14">
        <f t="shared" ca="1" si="274"/>
        <v>0</v>
      </c>
      <c r="M1347" s="15">
        <f t="shared" ca="1" si="275"/>
        <v>424.8</v>
      </c>
      <c r="N1347" s="16">
        <f ca="1">SUM($M$9:M1347)/A1347</f>
        <v>338.26333084391337</v>
      </c>
    </row>
    <row r="1348" spans="1:14" x14ac:dyDescent="0.25">
      <c r="A1348" s="8">
        <v>1340</v>
      </c>
      <c r="B1348" s="9">
        <f t="shared" ca="1" si="267"/>
        <v>2424</v>
      </c>
      <c r="C1348" s="10">
        <f t="shared" ca="1" si="268"/>
        <v>1800</v>
      </c>
      <c r="D1348" s="11">
        <f t="shared" ca="1" si="264"/>
        <v>0.14101637157581837</v>
      </c>
      <c r="E1348" s="9">
        <f t="shared" ca="1" si="265"/>
        <v>346</v>
      </c>
      <c r="F1348" s="9">
        <f t="shared" ca="1" si="269"/>
        <v>2078</v>
      </c>
      <c r="G1348" s="12" t="str">
        <f t="shared" ca="1" si="270"/>
        <v>No</v>
      </c>
      <c r="H1348" s="12">
        <f t="shared" ca="1" si="266"/>
        <v>0</v>
      </c>
      <c r="I1348" s="10">
        <f t="shared" ca="1" si="271"/>
        <v>0</v>
      </c>
      <c r="J1348" s="13">
        <f t="shared" ca="1" si="272"/>
        <v>0</v>
      </c>
      <c r="K1348" s="14">
        <f t="shared" ca="1" si="273"/>
        <v>415.6</v>
      </c>
      <c r="L1348" s="14">
        <f t="shared" ca="1" si="274"/>
        <v>0</v>
      </c>
      <c r="M1348" s="15">
        <f t="shared" ca="1" si="275"/>
        <v>415.6</v>
      </c>
      <c r="N1348" s="16">
        <f ca="1">SUM($M$9:M1348)/A1348</f>
        <v>338.32104477611938</v>
      </c>
    </row>
    <row r="1349" spans="1:14" x14ac:dyDescent="0.25">
      <c r="A1349" s="8">
        <v>1341</v>
      </c>
      <c r="B1349" s="9">
        <f t="shared" ca="1" si="267"/>
        <v>2078</v>
      </c>
      <c r="C1349" s="10">
        <f t="shared" ca="1" si="268"/>
        <v>0</v>
      </c>
      <c r="D1349" s="11">
        <f t="shared" ca="1" si="264"/>
        <v>0.72652086436713459</v>
      </c>
      <c r="E1349" s="9">
        <f t="shared" ca="1" si="265"/>
        <v>430</v>
      </c>
      <c r="F1349" s="9">
        <f t="shared" ca="1" si="269"/>
        <v>1648</v>
      </c>
      <c r="G1349" s="12" t="str">
        <f t="shared" ca="1" si="270"/>
        <v>No</v>
      </c>
      <c r="H1349" s="12">
        <f t="shared" ca="1" si="266"/>
        <v>0</v>
      </c>
      <c r="I1349" s="10">
        <f t="shared" ca="1" si="271"/>
        <v>0</v>
      </c>
      <c r="J1349" s="13">
        <f t="shared" ca="1" si="272"/>
        <v>0</v>
      </c>
      <c r="K1349" s="14">
        <f t="shared" ca="1" si="273"/>
        <v>329.6</v>
      </c>
      <c r="L1349" s="14">
        <f t="shared" ca="1" si="274"/>
        <v>0</v>
      </c>
      <c r="M1349" s="15">
        <f t="shared" ca="1" si="275"/>
        <v>329.6</v>
      </c>
      <c r="N1349" s="16">
        <f ca="1">SUM($M$9:M1349)/A1349</f>
        <v>338.31454138702458</v>
      </c>
    </row>
    <row r="1350" spans="1:14" x14ac:dyDescent="0.25">
      <c r="A1350" s="8">
        <v>1342</v>
      </c>
      <c r="B1350" s="9">
        <f t="shared" ca="1" si="267"/>
        <v>1648</v>
      </c>
      <c r="C1350" s="10">
        <f t="shared" ca="1" si="268"/>
        <v>0</v>
      </c>
      <c r="D1350" s="11">
        <f t="shared" ca="1" si="264"/>
        <v>0.46864014436519708</v>
      </c>
      <c r="E1350" s="9">
        <f t="shared" ca="1" si="265"/>
        <v>396</v>
      </c>
      <c r="F1350" s="9">
        <f t="shared" ca="1" si="269"/>
        <v>1252</v>
      </c>
      <c r="G1350" s="12" t="str">
        <f t="shared" ca="1" si="270"/>
        <v>No</v>
      </c>
      <c r="H1350" s="12">
        <f t="shared" ca="1" si="266"/>
        <v>0</v>
      </c>
      <c r="I1350" s="10">
        <f t="shared" ca="1" si="271"/>
        <v>0</v>
      </c>
      <c r="J1350" s="13">
        <f t="shared" ca="1" si="272"/>
        <v>0</v>
      </c>
      <c r="K1350" s="14">
        <f t="shared" ca="1" si="273"/>
        <v>250.4</v>
      </c>
      <c r="L1350" s="14">
        <f t="shared" ca="1" si="274"/>
        <v>0</v>
      </c>
      <c r="M1350" s="15">
        <f t="shared" ca="1" si="275"/>
        <v>250.4</v>
      </c>
      <c r="N1350" s="16">
        <f ca="1">SUM($M$9:M1350)/A1350</f>
        <v>338.24903129657224</v>
      </c>
    </row>
    <row r="1351" spans="1:14" x14ac:dyDescent="0.25">
      <c r="A1351" s="8">
        <v>1343</v>
      </c>
      <c r="B1351" s="9">
        <f t="shared" ca="1" si="267"/>
        <v>1252</v>
      </c>
      <c r="C1351" s="10">
        <f t="shared" ca="1" si="268"/>
        <v>0</v>
      </c>
      <c r="D1351" s="11">
        <f t="shared" ca="1" si="264"/>
        <v>0.12267499942271398</v>
      </c>
      <c r="E1351" s="9">
        <f t="shared" ca="1" si="265"/>
        <v>341</v>
      </c>
      <c r="F1351" s="9">
        <f t="shared" ca="1" si="269"/>
        <v>911</v>
      </c>
      <c r="G1351" s="12" t="str">
        <f t="shared" ca="1" si="270"/>
        <v>Yes</v>
      </c>
      <c r="H1351" s="12">
        <f t="shared" ca="1" si="266"/>
        <v>0.44911982299058917</v>
      </c>
      <c r="I1351" s="10">
        <f t="shared" ca="1" si="271"/>
        <v>1</v>
      </c>
      <c r="J1351" s="13">
        <f t="shared" ca="1" si="272"/>
        <v>300</v>
      </c>
      <c r="K1351" s="14">
        <f t="shared" ca="1" si="273"/>
        <v>182.20000000000002</v>
      </c>
      <c r="L1351" s="14">
        <f t="shared" ca="1" si="274"/>
        <v>0</v>
      </c>
      <c r="M1351" s="15">
        <f t="shared" ca="1" si="275"/>
        <v>482.20000000000005</v>
      </c>
      <c r="N1351" s="16">
        <f ca="1">SUM($M$9:M1351)/A1351</f>
        <v>338.35621742367829</v>
      </c>
    </row>
    <row r="1352" spans="1:14" x14ac:dyDescent="0.25">
      <c r="A1352" s="8">
        <v>1344</v>
      </c>
      <c r="B1352" s="9">
        <f t="shared" ca="1" si="267"/>
        <v>2711</v>
      </c>
      <c r="C1352" s="10">
        <f t="shared" ca="1" si="268"/>
        <v>1800</v>
      </c>
      <c r="D1352" s="11">
        <f t="shared" ca="1" si="264"/>
        <v>0.71867568212248067</v>
      </c>
      <c r="E1352" s="9">
        <f t="shared" ca="1" si="265"/>
        <v>428</v>
      </c>
      <c r="F1352" s="9">
        <f t="shared" ca="1" si="269"/>
        <v>2283</v>
      </c>
      <c r="G1352" s="12" t="str">
        <f t="shared" ca="1" si="270"/>
        <v>No</v>
      </c>
      <c r="H1352" s="12">
        <f t="shared" ca="1" si="266"/>
        <v>0</v>
      </c>
      <c r="I1352" s="10">
        <f t="shared" ca="1" si="271"/>
        <v>0</v>
      </c>
      <c r="J1352" s="13">
        <f t="shared" ca="1" si="272"/>
        <v>0</v>
      </c>
      <c r="K1352" s="14">
        <f t="shared" ca="1" si="273"/>
        <v>456.6</v>
      </c>
      <c r="L1352" s="14">
        <f t="shared" ca="1" si="274"/>
        <v>0</v>
      </c>
      <c r="M1352" s="15">
        <f t="shared" ca="1" si="275"/>
        <v>456.6</v>
      </c>
      <c r="N1352" s="16">
        <f ca="1">SUM($M$9:M1352)/A1352</f>
        <v>338.44419642857139</v>
      </c>
    </row>
    <row r="1353" spans="1:14" x14ac:dyDescent="0.25">
      <c r="A1353" s="8">
        <v>1345</v>
      </c>
      <c r="B1353" s="9">
        <f t="shared" ca="1" si="267"/>
        <v>2283</v>
      </c>
      <c r="C1353" s="10">
        <f t="shared" ca="1" si="268"/>
        <v>0</v>
      </c>
      <c r="D1353" s="11">
        <f t="shared" ca="1" si="264"/>
        <v>0.88658495323931996</v>
      </c>
      <c r="E1353" s="9">
        <f t="shared" ca="1" si="265"/>
        <v>460</v>
      </c>
      <c r="F1353" s="9">
        <f t="shared" ca="1" si="269"/>
        <v>1823</v>
      </c>
      <c r="G1353" s="12" t="str">
        <f t="shared" ca="1" si="270"/>
        <v>No</v>
      </c>
      <c r="H1353" s="12">
        <f t="shared" ca="1" si="266"/>
        <v>0</v>
      </c>
      <c r="I1353" s="10">
        <f t="shared" ca="1" si="271"/>
        <v>0</v>
      </c>
      <c r="J1353" s="13">
        <f t="shared" ca="1" si="272"/>
        <v>0</v>
      </c>
      <c r="K1353" s="14">
        <f t="shared" ca="1" si="273"/>
        <v>364.6</v>
      </c>
      <c r="L1353" s="14">
        <f t="shared" ca="1" si="274"/>
        <v>0</v>
      </c>
      <c r="M1353" s="15">
        <f t="shared" ca="1" si="275"/>
        <v>364.6</v>
      </c>
      <c r="N1353" s="16">
        <f ca="1">SUM($M$9:M1353)/A1353</f>
        <v>338.4636431226765</v>
      </c>
    </row>
    <row r="1354" spans="1:14" x14ac:dyDescent="0.25">
      <c r="A1354" s="8">
        <v>1346</v>
      </c>
      <c r="B1354" s="9">
        <f t="shared" ca="1" si="267"/>
        <v>1823</v>
      </c>
      <c r="C1354" s="10">
        <f t="shared" ca="1" si="268"/>
        <v>0</v>
      </c>
      <c r="D1354" s="11">
        <f t="shared" ref="D1354:D1417" ca="1" si="276">RAND()</f>
        <v>0.71279966202207412</v>
      </c>
      <c r="E1354" s="9">
        <f t="shared" ref="E1354:E1417" ca="1" si="277">INT(NORMINV(D1354,D_Mean,D_StdDev))</f>
        <v>428</v>
      </c>
      <c r="F1354" s="9">
        <f t="shared" ca="1" si="269"/>
        <v>1395</v>
      </c>
      <c r="G1354" s="12" t="str">
        <f t="shared" ca="1" si="270"/>
        <v>No</v>
      </c>
      <c r="H1354" s="12">
        <f t="shared" ref="H1354:H1417" ca="1" si="278">IF(G1354="Yes",RAND(),0)</f>
        <v>0</v>
      </c>
      <c r="I1354" s="10">
        <f t="shared" ca="1" si="271"/>
        <v>0</v>
      </c>
      <c r="J1354" s="13">
        <f t="shared" ca="1" si="272"/>
        <v>0</v>
      </c>
      <c r="K1354" s="14">
        <f t="shared" ca="1" si="273"/>
        <v>279</v>
      </c>
      <c r="L1354" s="14">
        <f t="shared" ca="1" si="274"/>
        <v>0</v>
      </c>
      <c r="M1354" s="15">
        <f t="shared" ca="1" si="275"/>
        <v>279</v>
      </c>
      <c r="N1354" s="16">
        <f ca="1">SUM($M$9:M1354)/A1354</f>
        <v>338.41946508172356</v>
      </c>
    </row>
    <row r="1355" spans="1:14" x14ac:dyDescent="0.25">
      <c r="A1355" s="8">
        <v>1347</v>
      </c>
      <c r="B1355" s="9">
        <f t="shared" ca="1" si="267"/>
        <v>1395</v>
      </c>
      <c r="C1355" s="10">
        <f t="shared" ca="1" si="268"/>
        <v>0</v>
      </c>
      <c r="D1355" s="11">
        <f t="shared" ca="1" si="276"/>
        <v>0.81293177471993661</v>
      </c>
      <c r="E1355" s="9">
        <f t="shared" ca="1" si="277"/>
        <v>444</v>
      </c>
      <c r="F1355" s="9">
        <f t="shared" ca="1" si="269"/>
        <v>951</v>
      </c>
      <c r="G1355" s="12" t="str">
        <f t="shared" ca="1" si="270"/>
        <v>Yes</v>
      </c>
      <c r="H1355" s="12">
        <f t="shared" ca="1" si="278"/>
        <v>7.4480538122361328E-2</v>
      </c>
      <c r="I1355" s="10">
        <f t="shared" ca="1" si="271"/>
        <v>1</v>
      </c>
      <c r="J1355" s="13">
        <f t="shared" ca="1" si="272"/>
        <v>300</v>
      </c>
      <c r="K1355" s="14">
        <f t="shared" ca="1" si="273"/>
        <v>190.20000000000002</v>
      </c>
      <c r="L1355" s="14">
        <f t="shared" ca="1" si="274"/>
        <v>0</v>
      </c>
      <c r="M1355" s="15">
        <f t="shared" ca="1" si="275"/>
        <v>490.20000000000005</v>
      </c>
      <c r="N1355" s="16">
        <f ca="1">SUM($M$9:M1355)/A1355</f>
        <v>338.53214550853744</v>
      </c>
    </row>
    <row r="1356" spans="1:14" x14ac:dyDescent="0.25">
      <c r="A1356" s="8">
        <v>1348</v>
      </c>
      <c r="B1356" s="9">
        <f t="shared" ca="1" si="267"/>
        <v>2751</v>
      </c>
      <c r="C1356" s="10">
        <f t="shared" ca="1" si="268"/>
        <v>1800</v>
      </c>
      <c r="D1356" s="11">
        <f t="shared" ca="1" si="276"/>
        <v>0.18995419447024509</v>
      </c>
      <c r="E1356" s="9">
        <f t="shared" ca="1" si="277"/>
        <v>356</v>
      </c>
      <c r="F1356" s="9">
        <f t="shared" ca="1" si="269"/>
        <v>2395</v>
      </c>
      <c r="G1356" s="12" t="str">
        <f t="shared" ca="1" si="270"/>
        <v>No</v>
      </c>
      <c r="H1356" s="12">
        <f t="shared" ca="1" si="278"/>
        <v>0</v>
      </c>
      <c r="I1356" s="10">
        <f t="shared" ca="1" si="271"/>
        <v>0</v>
      </c>
      <c r="J1356" s="13">
        <f t="shared" ca="1" si="272"/>
        <v>0</v>
      </c>
      <c r="K1356" s="14">
        <f t="shared" ca="1" si="273"/>
        <v>479</v>
      </c>
      <c r="L1356" s="14">
        <f t="shared" ca="1" si="274"/>
        <v>0</v>
      </c>
      <c r="M1356" s="15">
        <f t="shared" ca="1" si="275"/>
        <v>479</v>
      </c>
      <c r="N1356" s="16">
        <f ca="1">SUM($M$9:M1356)/A1356</f>
        <v>338.63635014836791</v>
      </c>
    </row>
    <row r="1357" spans="1:14" x14ac:dyDescent="0.25">
      <c r="A1357" s="8">
        <v>1349</v>
      </c>
      <c r="B1357" s="9">
        <f t="shared" ca="1" si="267"/>
        <v>2395</v>
      </c>
      <c r="C1357" s="10">
        <f t="shared" ca="1" si="268"/>
        <v>0</v>
      </c>
      <c r="D1357" s="11">
        <f t="shared" ca="1" si="276"/>
        <v>0.3537342036911143</v>
      </c>
      <c r="E1357" s="9">
        <f t="shared" ca="1" si="277"/>
        <v>381</v>
      </c>
      <c r="F1357" s="9">
        <f t="shared" ca="1" si="269"/>
        <v>2014</v>
      </c>
      <c r="G1357" s="12" t="str">
        <f t="shared" ca="1" si="270"/>
        <v>No</v>
      </c>
      <c r="H1357" s="12">
        <f t="shared" ca="1" si="278"/>
        <v>0</v>
      </c>
      <c r="I1357" s="10">
        <f t="shared" ca="1" si="271"/>
        <v>0</v>
      </c>
      <c r="J1357" s="13">
        <f t="shared" ca="1" si="272"/>
        <v>0</v>
      </c>
      <c r="K1357" s="14">
        <f t="shared" ca="1" si="273"/>
        <v>402.8</v>
      </c>
      <c r="L1357" s="14">
        <f t="shared" ca="1" si="274"/>
        <v>0</v>
      </c>
      <c r="M1357" s="15">
        <f t="shared" ca="1" si="275"/>
        <v>402.8</v>
      </c>
      <c r="N1357" s="16">
        <f ca="1">SUM($M$9:M1357)/A1357</f>
        <v>338.68391401037798</v>
      </c>
    </row>
    <row r="1358" spans="1:14" x14ac:dyDescent="0.25">
      <c r="A1358" s="8">
        <v>1350</v>
      </c>
      <c r="B1358" s="9">
        <f t="shared" ca="1" si="267"/>
        <v>2014</v>
      </c>
      <c r="C1358" s="10">
        <f t="shared" ca="1" si="268"/>
        <v>0</v>
      </c>
      <c r="D1358" s="11">
        <f t="shared" ca="1" si="276"/>
        <v>0.63291033184811407</v>
      </c>
      <c r="E1358" s="9">
        <f t="shared" ca="1" si="277"/>
        <v>416</v>
      </c>
      <c r="F1358" s="9">
        <f t="shared" ca="1" si="269"/>
        <v>1598</v>
      </c>
      <c r="G1358" s="12" t="str">
        <f t="shared" ca="1" si="270"/>
        <v>No</v>
      </c>
      <c r="H1358" s="12">
        <f t="shared" ca="1" si="278"/>
        <v>0</v>
      </c>
      <c r="I1358" s="10">
        <f t="shared" ca="1" si="271"/>
        <v>0</v>
      </c>
      <c r="J1358" s="13">
        <f t="shared" ca="1" si="272"/>
        <v>0</v>
      </c>
      <c r="K1358" s="14">
        <f t="shared" ca="1" si="273"/>
        <v>319.60000000000002</v>
      </c>
      <c r="L1358" s="14">
        <f t="shared" ca="1" si="274"/>
        <v>0</v>
      </c>
      <c r="M1358" s="15">
        <f t="shared" ca="1" si="275"/>
        <v>319.60000000000002</v>
      </c>
      <c r="N1358" s="16">
        <f ca="1">SUM($M$9:M1358)/A1358</f>
        <v>338.66977777777771</v>
      </c>
    </row>
    <row r="1359" spans="1:14" x14ac:dyDescent="0.25">
      <c r="A1359" s="8">
        <v>1351</v>
      </c>
      <c r="B1359" s="9">
        <f t="shared" ca="1" si="267"/>
        <v>1598</v>
      </c>
      <c r="C1359" s="10">
        <f t="shared" ca="1" si="268"/>
        <v>0</v>
      </c>
      <c r="D1359" s="11">
        <f t="shared" ca="1" si="276"/>
        <v>0.81599442311577852</v>
      </c>
      <c r="E1359" s="9">
        <f t="shared" ca="1" si="277"/>
        <v>445</v>
      </c>
      <c r="F1359" s="9">
        <f t="shared" ca="1" si="269"/>
        <v>1153</v>
      </c>
      <c r="G1359" s="12" t="str">
        <f t="shared" ca="1" si="270"/>
        <v>No</v>
      </c>
      <c r="H1359" s="12">
        <f t="shared" ca="1" si="278"/>
        <v>0</v>
      </c>
      <c r="I1359" s="10">
        <f t="shared" ca="1" si="271"/>
        <v>0</v>
      </c>
      <c r="J1359" s="13">
        <f t="shared" ca="1" si="272"/>
        <v>0</v>
      </c>
      <c r="K1359" s="14">
        <f t="shared" ca="1" si="273"/>
        <v>230.60000000000002</v>
      </c>
      <c r="L1359" s="14">
        <f t="shared" ca="1" si="274"/>
        <v>0</v>
      </c>
      <c r="M1359" s="15">
        <f t="shared" ca="1" si="275"/>
        <v>230.60000000000002</v>
      </c>
      <c r="N1359" s="16">
        <f ca="1">SUM($M$9:M1359)/A1359</f>
        <v>338.58978534418941</v>
      </c>
    </row>
    <row r="1360" spans="1:14" x14ac:dyDescent="0.25">
      <c r="A1360" s="8">
        <v>1352</v>
      </c>
      <c r="B1360" s="9">
        <f t="shared" ca="1" si="267"/>
        <v>1153</v>
      </c>
      <c r="C1360" s="10">
        <f t="shared" ca="1" si="268"/>
        <v>0</v>
      </c>
      <c r="D1360" s="11">
        <f t="shared" ca="1" si="276"/>
        <v>0.87343918724345904</v>
      </c>
      <c r="E1360" s="9">
        <f t="shared" ca="1" si="277"/>
        <v>457</v>
      </c>
      <c r="F1360" s="9">
        <f t="shared" ca="1" si="269"/>
        <v>696</v>
      </c>
      <c r="G1360" s="12" t="str">
        <f t="shared" ca="1" si="270"/>
        <v>Yes</v>
      </c>
      <c r="H1360" s="12">
        <f t="shared" ca="1" si="278"/>
        <v>0.24816267850092621</v>
      </c>
      <c r="I1360" s="10">
        <f t="shared" ca="1" si="271"/>
        <v>1</v>
      </c>
      <c r="J1360" s="13">
        <f t="shared" ca="1" si="272"/>
        <v>300</v>
      </c>
      <c r="K1360" s="14">
        <f t="shared" ca="1" si="273"/>
        <v>139.20000000000002</v>
      </c>
      <c r="L1360" s="14">
        <f t="shared" ca="1" si="274"/>
        <v>0</v>
      </c>
      <c r="M1360" s="15">
        <f t="shared" ca="1" si="275"/>
        <v>439.20000000000005</v>
      </c>
      <c r="N1360" s="16">
        <f ca="1">SUM($M$9:M1360)/A1360</f>
        <v>338.66420118343189</v>
      </c>
    </row>
    <row r="1361" spans="1:14" x14ac:dyDescent="0.25">
      <c r="A1361" s="8">
        <v>1353</v>
      </c>
      <c r="B1361" s="9">
        <f t="shared" ca="1" si="267"/>
        <v>2496</v>
      </c>
      <c r="C1361" s="10">
        <f t="shared" ca="1" si="268"/>
        <v>1800</v>
      </c>
      <c r="D1361" s="11">
        <f t="shared" ca="1" si="276"/>
        <v>0.74846507128568585</v>
      </c>
      <c r="E1361" s="9">
        <f t="shared" ca="1" si="277"/>
        <v>433</v>
      </c>
      <c r="F1361" s="9">
        <f t="shared" ca="1" si="269"/>
        <v>2063</v>
      </c>
      <c r="G1361" s="12" t="str">
        <f t="shared" ca="1" si="270"/>
        <v>No</v>
      </c>
      <c r="H1361" s="12">
        <f t="shared" ca="1" si="278"/>
        <v>0</v>
      </c>
      <c r="I1361" s="10">
        <f t="shared" ca="1" si="271"/>
        <v>0</v>
      </c>
      <c r="J1361" s="13">
        <f t="shared" ca="1" si="272"/>
        <v>0</v>
      </c>
      <c r="K1361" s="14">
        <f t="shared" ca="1" si="273"/>
        <v>412.6</v>
      </c>
      <c r="L1361" s="14">
        <f t="shared" ca="1" si="274"/>
        <v>0</v>
      </c>
      <c r="M1361" s="15">
        <f t="shared" ca="1" si="275"/>
        <v>412.6</v>
      </c>
      <c r="N1361" s="16">
        <f ca="1">SUM($M$9:M1361)/A1361</f>
        <v>338.7188470066518</v>
      </c>
    </row>
    <row r="1362" spans="1:14" x14ac:dyDescent="0.25">
      <c r="A1362" s="8">
        <v>1354</v>
      </c>
      <c r="B1362" s="9">
        <f t="shared" ca="1" si="267"/>
        <v>2063</v>
      </c>
      <c r="C1362" s="10">
        <f t="shared" ca="1" si="268"/>
        <v>0</v>
      </c>
      <c r="D1362" s="11">
        <f t="shared" ca="1" si="276"/>
        <v>0.10381028722125119</v>
      </c>
      <c r="E1362" s="9">
        <f t="shared" ca="1" si="277"/>
        <v>336</v>
      </c>
      <c r="F1362" s="9">
        <f t="shared" ca="1" si="269"/>
        <v>1727</v>
      </c>
      <c r="G1362" s="12" t="str">
        <f t="shared" ca="1" si="270"/>
        <v>No</v>
      </c>
      <c r="H1362" s="12">
        <f t="shared" ca="1" si="278"/>
        <v>0</v>
      </c>
      <c r="I1362" s="10">
        <f t="shared" ca="1" si="271"/>
        <v>0</v>
      </c>
      <c r="J1362" s="13">
        <f t="shared" ca="1" si="272"/>
        <v>0</v>
      </c>
      <c r="K1362" s="14">
        <f t="shared" ca="1" si="273"/>
        <v>345.40000000000003</v>
      </c>
      <c r="L1362" s="14">
        <f t="shared" ca="1" si="274"/>
        <v>0</v>
      </c>
      <c r="M1362" s="15">
        <f t="shared" ca="1" si="275"/>
        <v>345.40000000000003</v>
      </c>
      <c r="N1362" s="16">
        <f ca="1">SUM($M$9:M1362)/A1362</f>
        <v>338.72378138847847</v>
      </c>
    </row>
    <row r="1363" spans="1:14" x14ac:dyDescent="0.25">
      <c r="A1363" s="8">
        <v>1355</v>
      </c>
      <c r="B1363" s="9">
        <f t="shared" ca="1" si="267"/>
        <v>1727</v>
      </c>
      <c r="C1363" s="10">
        <f t="shared" ca="1" si="268"/>
        <v>0</v>
      </c>
      <c r="D1363" s="11">
        <f t="shared" ca="1" si="276"/>
        <v>0.67368375669754466</v>
      </c>
      <c r="E1363" s="9">
        <f t="shared" ca="1" si="277"/>
        <v>422</v>
      </c>
      <c r="F1363" s="9">
        <f t="shared" ca="1" si="269"/>
        <v>1305</v>
      </c>
      <c r="G1363" s="12" t="str">
        <f t="shared" ca="1" si="270"/>
        <v>No</v>
      </c>
      <c r="H1363" s="12">
        <f t="shared" ca="1" si="278"/>
        <v>0</v>
      </c>
      <c r="I1363" s="10">
        <f t="shared" ca="1" si="271"/>
        <v>0</v>
      </c>
      <c r="J1363" s="13">
        <f t="shared" ca="1" si="272"/>
        <v>0</v>
      </c>
      <c r="K1363" s="14">
        <f t="shared" ca="1" si="273"/>
        <v>261</v>
      </c>
      <c r="L1363" s="14">
        <f t="shared" ca="1" si="274"/>
        <v>0</v>
      </c>
      <c r="M1363" s="15">
        <f t="shared" ca="1" si="275"/>
        <v>261</v>
      </c>
      <c r="N1363" s="16">
        <f ca="1">SUM($M$9:M1363)/A1363</f>
        <v>338.66642066420656</v>
      </c>
    </row>
    <row r="1364" spans="1:14" x14ac:dyDescent="0.25">
      <c r="A1364" s="8">
        <v>1356</v>
      </c>
      <c r="B1364" s="9">
        <f t="shared" ca="1" si="267"/>
        <v>1305</v>
      </c>
      <c r="C1364" s="10">
        <f t="shared" ca="1" si="268"/>
        <v>0</v>
      </c>
      <c r="D1364" s="11">
        <f t="shared" ca="1" si="276"/>
        <v>0.31581574114223143</v>
      </c>
      <c r="E1364" s="9">
        <f t="shared" ca="1" si="277"/>
        <v>376</v>
      </c>
      <c r="F1364" s="9">
        <f t="shared" ca="1" si="269"/>
        <v>929</v>
      </c>
      <c r="G1364" s="12" t="str">
        <f t="shared" ca="1" si="270"/>
        <v>Yes</v>
      </c>
      <c r="H1364" s="12">
        <f t="shared" ca="1" si="278"/>
        <v>0.71925042773180958</v>
      </c>
      <c r="I1364" s="10">
        <f t="shared" ca="1" si="271"/>
        <v>2</v>
      </c>
      <c r="J1364" s="13">
        <f t="shared" ca="1" si="272"/>
        <v>300</v>
      </c>
      <c r="K1364" s="14">
        <f t="shared" ca="1" si="273"/>
        <v>185.8</v>
      </c>
      <c r="L1364" s="14">
        <f t="shared" ca="1" si="274"/>
        <v>0</v>
      </c>
      <c r="M1364" s="15">
        <f t="shared" ca="1" si="275"/>
        <v>485.8</v>
      </c>
      <c r="N1364" s="16">
        <f ca="1">SUM($M$9:M1364)/A1364</f>
        <v>338.77492625368723</v>
      </c>
    </row>
    <row r="1365" spans="1:14" x14ac:dyDescent="0.25">
      <c r="A1365" s="8">
        <v>1357</v>
      </c>
      <c r="B1365" s="9">
        <f t="shared" ca="1" si="267"/>
        <v>929</v>
      </c>
      <c r="C1365" s="10">
        <f t="shared" ca="1" si="268"/>
        <v>0</v>
      </c>
      <c r="D1365" s="11">
        <f t="shared" ca="1" si="276"/>
        <v>0.80299234821708132</v>
      </c>
      <c r="E1365" s="9">
        <f t="shared" ca="1" si="277"/>
        <v>442</v>
      </c>
      <c r="F1365" s="9">
        <f t="shared" ca="1" si="269"/>
        <v>487</v>
      </c>
      <c r="G1365" s="12" t="str">
        <f t="shared" ca="1" si="270"/>
        <v>No</v>
      </c>
      <c r="H1365" s="12">
        <f t="shared" ca="1" si="278"/>
        <v>0</v>
      </c>
      <c r="I1365" s="10">
        <f t="shared" ca="1" si="271"/>
        <v>1</v>
      </c>
      <c r="J1365" s="13">
        <f t="shared" ca="1" si="272"/>
        <v>0</v>
      </c>
      <c r="K1365" s="14">
        <f t="shared" ca="1" si="273"/>
        <v>97.4</v>
      </c>
      <c r="L1365" s="14">
        <f t="shared" ca="1" si="274"/>
        <v>0</v>
      </c>
      <c r="M1365" s="15">
        <f t="shared" ca="1" si="275"/>
        <v>97.4</v>
      </c>
      <c r="N1365" s="16">
        <f ca="1">SUM($M$9:M1365)/A1365</f>
        <v>338.59705232129693</v>
      </c>
    </row>
    <row r="1366" spans="1:14" x14ac:dyDescent="0.25">
      <c r="A1366" s="8">
        <v>1358</v>
      </c>
      <c r="B1366" s="9">
        <f t="shared" ca="1" si="267"/>
        <v>2287</v>
      </c>
      <c r="C1366" s="10">
        <f t="shared" ca="1" si="268"/>
        <v>1800</v>
      </c>
      <c r="D1366" s="11">
        <f t="shared" ca="1" si="276"/>
        <v>0.33341373677052588</v>
      </c>
      <c r="E1366" s="9">
        <f t="shared" ca="1" si="277"/>
        <v>378</v>
      </c>
      <c r="F1366" s="9">
        <f t="shared" ca="1" si="269"/>
        <v>1909</v>
      </c>
      <c r="G1366" s="12" t="str">
        <f t="shared" ca="1" si="270"/>
        <v>No</v>
      </c>
      <c r="H1366" s="12">
        <f t="shared" ca="1" si="278"/>
        <v>0</v>
      </c>
      <c r="I1366" s="10">
        <f t="shared" ca="1" si="271"/>
        <v>0</v>
      </c>
      <c r="J1366" s="13">
        <f t="shared" ca="1" si="272"/>
        <v>0</v>
      </c>
      <c r="K1366" s="14">
        <f t="shared" ca="1" si="273"/>
        <v>381.8</v>
      </c>
      <c r="L1366" s="14">
        <f t="shared" ca="1" si="274"/>
        <v>0</v>
      </c>
      <c r="M1366" s="15">
        <f t="shared" ca="1" si="275"/>
        <v>381.8</v>
      </c>
      <c r="N1366" s="16">
        <f ca="1">SUM($M$9:M1366)/A1366</f>
        <v>338.62886597938137</v>
      </c>
    </row>
    <row r="1367" spans="1:14" x14ac:dyDescent="0.25">
      <c r="A1367" s="8">
        <v>1359</v>
      </c>
      <c r="B1367" s="9">
        <f t="shared" ca="1" si="267"/>
        <v>1909</v>
      </c>
      <c r="C1367" s="10">
        <f t="shared" ca="1" si="268"/>
        <v>0</v>
      </c>
      <c r="D1367" s="11">
        <f t="shared" ca="1" si="276"/>
        <v>0.83370860657085799</v>
      </c>
      <c r="E1367" s="9">
        <f t="shared" ca="1" si="277"/>
        <v>448</v>
      </c>
      <c r="F1367" s="9">
        <f t="shared" ca="1" si="269"/>
        <v>1461</v>
      </c>
      <c r="G1367" s="12" t="str">
        <f t="shared" ca="1" si="270"/>
        <v>No</v>
      </c>
      <c r="H1367" s="12">
        <f t="shared" ca="1" si="278"/>
        <v>0</v>
      </c>
      <c r="I1367" s="10">
        <f t="shared" ca="1" si="271"/>
        <v>0</v>
      </c>
      <c r="J1367" s="13">
        <f t="shared" ca="1" si="272"/>
        <v>0</v>
      </c>
      <c r="K1367" s="14">
        <f t="shared" ca="1" si="273"/>
        <v>292.2</v>
      </c>
      <c r="L1367" s="14">
        <f t="shared" ca="1" si="274"/>
        <v>0</v>
      </c>
      <c r="M1367" s="15">
        <f t="shared" ca="1" si="275"/>
        <v>292.2</v>
      </c>
      <c r="N1367" s="16">
        <f ca="1">SUM($M$9:M1367)/A1367</f>
        <v>338.5947019867549</v>
      </c>
    </row>
    <row r="1368" spans="1:14" x14ac:dyDescent="0.25">
      <c r="A1368" s="8">
        <v>1360</v>
      </c>
      <c r="B1368" s="9">
        <f t="shared" ca="1" si="267"/>
        <v>1461</v>
      </c>
      <c r="C1368" s="10">
        <f t="shared" ca="1" si="268"/>
        <v>0</v>
      </c>
      <c r="D1368" s="11">
        <f t="shared" ca="1" si="276"/>
        <v>0.5773524977798038</v>
      </c>
      <c r="E1368" s="9">
        <f t="shared" ca="1" si="277"/>
        <v>409</v>
      </c>
      <c r="F1368" s="9">
        <f t="shared" ca="1" si="269"/>
        <v>1052</v>
      </c>
      <c r="G1368" s="12" t="str">
        <f t="shared" ca="1" si="270"/>
        <v>No</v>
      </c>
      <c r="H1368" s="12">
        <f t="shared" ca="1" si="278"/>
        <v>0</v>
      </c>
      <c r="I1368" s="10">
        <f t="shared" ca="1" si="271"/>
        <v>0</v>
      </c>
      <c r="J1368" s="13">
        <f t="shared" ca="1" si="272"/>
        <v>0</v>
      </c>
      <c r="K1368" s="14">
        <f t="shared" ca="1" si="273"/>
        <v>210.4</v>
      </c>
      <c r="L1368" s="14">
        <f t="shared" ca="1" si="274"/>
        <v>0</v>
      </c>
      <c r="M1368" s="15">
        <f t="shared" ca="1" si="275"/>
        <v>210.4</v>
      </c>
      <c r="N1368" s="16">
        <f ca="1">SUM($M$9:M1368)/A1368</f>
        <v>338.50044117647053</v>
      </c>
    </row>
    <row r="1369" spans="1:14" x14ac:dyDescent="0.25">
      <c r="A1369" s="8">
        <v>1361</v>
      </c>
      <c r="B1369" s="9">
        <f t="shared" ca="1" si="267"/>
        <v>1052</v>
      </c>
      <c r="C1369" s="10">
        <f t="shared" ca="1" si="268"/>
        <v>0</v>
      </c>
      <c r="D1369" s="11">
        <f t="shared" ca="1" si="276"/>
        <v>0.22935727479879364</v>
      </c>
      <c r="E1369" s="9">
        <f t="shared" ca="1" si="277"/>
        <v>362</v>
      </c>
      <c r="F1369" s="9">
        <f t="shared" ca="1" si="269"/>
        <v>690</v>
      </c>
      <c r="G1369" s="12" t="str">
        <f t="shared" ca="1" si="270"/>
        <v>Yes</v>
      </c>
      <c r="H1369" s="12">
        <f t="shared" ca="1" si="278"/>
        <v>0.42980786096692103</v>
      </c>
      <c r="I1369" s="10">
        <f t="shared" ca="1" si="271"/>
        <v>1</v>
      </c>
      <c r="J1369" s="13">
        <f t="shared" ca="1" si="272"/>
        <v>300</v>
      </c>
      <c r="K1369" s="14">
        <f t="shared" ca="1" si="273"/>
        <v>138</v>
      </c>
      <c r="L1369" s="14">
        <f t="shared" ca="1" si="274"/>
        <v>0</v>
      </c>
      <c r="M1369" s="15">
        <f t="shared" ca="1" si="275"/>
        <v>438</v>
      </c>
      <c r="N1369" s="16">
        <f ca="1">SUM($M$9:M1369)/A1369</f>
        <v>338.57354886113148</v>
      </c>
    </row>
    <row r="1370" spans="1:14" x14ac:dyDescent="0.25">
      <c r="A1370" s="8">
        <v>1362</v>
      </c>
      <c r="B1370" s="9">
        <f t="shared" ca="1" si="267"/>
        <v>2490</v>
      </c>
      <c r="C1370" s="10">
        <f t="shared" ca="1" si="268"/>
        <v>1800</v>
      </c>
      <c r="D1370" s="11">
        <f t="shared" ca="1" si="276"/>
        <v>0.7422794496042221</v>
      </c>
      <c r="E1370" s="9">
        <f t="shared" ca="1" si="277"/>
        <v>432</v>
      </c>
      <c r="F1370" s="9">
        <f t="shared" ca="1" si="269"/>
        <v>2058</v>
      </c>
      <c r="G1370" s="12" t="str">
        <f t="shared" ca="1" si="270"/>
        <v>No</v>
      </c>
      <c r="H1370" s="12">
        <f t="shared" ca="1" si="278"/>
        <v>0</v>
      </c>
      <c r="I1370" s="10">
        <f t="shared" ca="1" si="271"/>
        <v>0</v>
      </c>
      <c r="J1370" s="13">
        <f t="shared" ca="1" si="272"/>
        <v>0</v>
      </c>
      <c r="K1370" s="14">
        <f t="shared" ca="1" si="273"/>
        <v>411.6</v>
      </c>
      <c r="L1370" s="14">
        <f t="shared" ca="1" si="274"/>
        <v>0</v>
      </c>
      <c r="M1370" s="15">
        <f t="shared" ca="1" si="275"/>
        <v>411.6</v>
      </c>
      <c r="N1370" s="16">
        <f ca="1">SUM($M$9:M1370)/A1370</f>
        <v>338.62716593245221</v>
      </c>
    </row>
    <row r="1371" spans="1:14" x14ac:dyDescent="0.25">
      <c r="A1371" s="8">
        <v>1363</v>
      </c>
      <c r="B1371" s="9">
        <f t="shared" ca="1" si="267"/>
        <v>2058</v>
      </c>
      <c r="C1371" s="10">
        <f t="shared" ca="1" si="268"/>
        <v>0</v>
      </c>
      <c r="D1371" s="11">
        <f t="shared" ca="1" si="276"/>
        <v>0.39894612103020766</v>
      </c>
      <c r="E1371" s="9">
        <f t="shared" ca="1" si="277"/>
        <v>387</v>
      </c>
      <c r="F1371" s="9">
        <f t="shared" ca="1" si="269"/>
        <v>1671</v>
      </c>
      <c r="G1371" s="12" t="str">
        <f t="shared" ca="1" si="270"/>
        <v>No</v>
      </c>
      <c r="H1371" s="12">
        <f t="shared" ca="1" si="278"/>
        <v>0</v>
      </c>
      <c r="I1371" s="10">
        <f t="shared" ca="1" si="271"/>
        <v>0</v>
      </c>
      <c r="J1371" s="13">
        <f t="shared" ca="1" si="272"/>
        <v>0</v>
      </c>
      <c r="K1371" s="14">
        <f t="shared" ca="1" si="273"/>
        <v>334.20000000000005</v>
      </c>
      <c r="L1371" s="14">
        <f t="shared" ca="1" si="274"/>
        <v>0</v>
      </c>
      <c r="M1371" s="15">
        <f t="shared" ca="1" si="275"/>
        <v>334.20000000000005</v>
      </c>
      <c r="N1371" s="16">
        <f ca="1">SUM($M$9:M1371)/A1371</f>
        <v>338.6239178283198</v>
      </c>
    </row>
    <row r="1372" spans="1:14" x14ac:dyDescent="0.25">
      <c r="A1372" s="8">
        <v>1364</v>
      </c>
      <c r="B1372" s="9">
        <f t="shared" ca="1" si="267"/>
        <v>1671</v>
      </c>
      <c r="C1372" s="10">
        <f t="shared" ca="1" si="268"/>
        <v>0</v>
      </c>
      <c r="D1372" s="11">
        <f t="shared" ca="1" si="276"/>
        <v>0.95829153021670854</v>
      </c>
      <c r="E1372" s="9">
        <f t="shared" ca="1" si="277"/>
        <v>486</v>
      </c>
      <c r="F1372" s="9">
        <f t="shared" ca="1" si="269"/>
        <v>1185</v>
      </c>
      <c r="G1372" s="12" t="str">
        <f t="shared" ca="1" si="270"/>
        <v>No</v>
      </c>
      <c r="H1372" s="12">
        <f t="shared" ca="1" si="278"/>
        <v>0</v>
      </c>
      <c r="I1372" s="10">
        <f t="shared" ca="1" si="271"/>
        <v>0</v>
      </c>
      <c r="J1372" s="13">
        <f t="shared" ca="1" si="272"/>
        <v>0</v>
      </c>
      <c r="K1372" s="14">
        <f t="shared" ca="1" si="273"/>
        <v>237</v>
      </c>
      <c r="L1372" s="14">
        <f t="shared" ca="1" si="274"/>
        <v>0</v>
      </c>
      <c r="M1372" s="15">
        <f t="shared" ca="1" si="275"/>
        <v>237</v>
      </c>
      <c r="N1372" s="16">
        <f ca="1">SUM($M$9:M1372)/A1372</f>
        <v>338.54941348973603</v>
      </c>
    </row>
    <row r="1373" spans="1:14" x14ac:dyDescent="0.25">
      <c r="A1373" s="8">
        <v>1365</v>
      </c>
      <c r="B1373" s="9">
        <f t="shared" ca="1" si="267"/>
        <v>1185</v>
      </c>
      <c r="C1373" s="10">
        <f t="shared" ca="1" si="268"/>
        <v>0</v>
      </c>
      <c r="D1373" s="11">
        <f t="shared" ca="1" si="276"/>
        <v>0.85606902455519118</v>
      </c>
      <c r="E1373" s="9">
        <f t="shared" ca="1" si="277"/>
        <v>453</v>
      </c>
      <c r="F1373" s="9">
        <f t="shared" ca="1" si="269"/>
        <v>732</v>
      </c>
      <c r="G1373" s="12" t="str">
        <f t="shared" ca="1" si="270"/>
        <v>Yes</v>
      </c>
      <c r="H1373" s="12">
        <f t="shared" ca="1" si="278"/>
        <v>0.92845758651811838</v>
      </c>
      <c r="I1373" s="10">
        <f t="shared" ca="1" si="271"/>
        <v>3</v>
      </c>
      <c r="J1373" s="13">
        <f t="shared" ca="1" si="272"/>
        <v>300</v>
      </c>
      <c r="K1373" s="14">
        <f t="shared" ca="1" si="273"/>
        <v>146.4</v>
      </c>
      <c r="L1373" s="14">
        <f t="shared" ca="1" si="274"/>
        <v>0</v>
      </c>
      <c r="M1373" s="15">
        <f t="shared" ca="1" si="275"/>
        <v>446.4</v>
      </c>
      <c r="N1373" s="16">
        <f ca="1">SUM($M$9:M1373)/A1373</f>
        <v>338.62842490842485</v>
      </c>
    </row>
    <row r="1374" spans="1:14" x14ac:dyDescent="0.25">
      <c r="A1374" s="8">
        <v>1366</v>
      </c>
      <c r="B1374" s="9">
        <f t="shared" ca="1" si="267"/>
        <v>732</v>
      </c>
      <c r="C1374" s="10">
        <f t="shared" ca="1" si="268"/>
        <v>0</v>
      </c>
      <c r="D1374" s="11">
        <f t="shared" ca="1" si="276"/>
        <v>0.13203489849083327</v>
      </c>
      <c r="E1374" s="9">
        <f t="shared" ca="1" si="277"/>
        <v>344</v>
      </c>
      <c r="F1374" s="9">
        <f t="shared" ca="1" si="269"/>
        <v>388</v>
      </c>
      <c r="G1374" s="12" t="str">
        <f t="shared" ca="1" si="270"/>
        <v>No</v>
      </c>
      <c r="H1374" s="12">
        <f t="shared" ca="1" si="278"/>
        <v>0</v>
      </c>
      <c r="I1374" s="10">
        <f t="shared" ca="1" si="271"/>
        <v>2</v>
      </c>
      <c r="J1374" s="13">
        <f t="shared" ca="1" si="272"/>
        <v>0</v>
      </c>
      <c r="K1374" s="14">
        <f t="shared" ca="1" si="273"/>
        <v>77.600000000000009</v>
      </c>
      <c r="L1374" s="14">
        <f t="shared" ca="1" si="274"/>
        <v>0</v>
      </c>
      <c r="M1374" s="15">
        <f t="shared" ca="1" si="275"/>
        <v>77.600000000000009</v>
      </c>
      <c r="N1374" s="16">
        <f ca="1">SUM($M$9:M1374)/A1374</f>
        <v>338.43733528550507</v>
      </c>
    </row>
    <row r="1375" spans="1:14" x14ac:dyDescent="0.25">
      <c r="A1375" s="8">
        <v>1367</v>
      </c>
      <c r="B1375" s="9">
        <f t="shared" ca="1" si="267"/>
        <v>388</v>
      </c>
      <c r="C1375" s="10">
        <f t="shared" ca="1" si="268"/>
        <v>0</v>
      </c>
      <c r="D1375" s="11">
        <f t="shared" ca="1" si="276"/>
        <v>0.65278939795446522</v>
      </c>
      <c r="E1375" s="9">
        <f t="shared" ca="1" si="277"/>
        <v>419</v>
      </c>
      <c r="F1375" s="9">
        <f t="shared" ca="1" si="269"/>
        <v>0</v>
      </c>
      <c r="G1375" s="12" t="str">
        <f t="shared" ca="1" si="270"/>
        <v>No</v>
      </c>
      <c r="H1375" s="12">
        <f t="shared" ca="1" si="278"/>
        <v>0</v>
      </c>
      <c r="I1375" s="10">
        <f t="shared" ca="1" si="271"/>
        <v>1</v>
      </c>
      <c r="J1375" s="13">
        <f t="shared" ca="1" si="272"/>
        <v>0</v>
      </c>
      <c r="K1375" s="14">
        <f t="shared" ca="1" si="273"/>
        <v>0</v>
      </c>
      <c r="L1375" s="14">
        <f t="shared" ca="1" si="274"/>
        <v>62</v>
      </c>
      <c r="M1375" s="15">
        <f t="shared" ca="1" si="275"/>
        <v>62</v>
      </c>
      <c r="N1375" s="16">
        <f ca="1">SUM($M$9:M1375)/A1375</f>
        <v>338.2351133869787</v>
      </c>
    </row>
    <row r="1376" spans="1:14" x14ac:dyDescent="0.25">
      <c r="A1376" s="8">
        <v>1368</v>
      </c>
      <c r="B1376" s="9">
        <f t="shared" ca="1" si="267"/>
        <v>1800</v>
      </c>
      <c r="C1376" s="10">
        <f t="shared" ca="1" si="268"/>
        <v>1800</v>
      </c>
      <c r="D1376" s="11">
        <f t="shared" ca="1" si="276"/>
        <v>0.8551381438548743</v>
      </c>
      <c r="E1376" s="9">
        <f t="shared" ca="1" si="277"/>
        <v>452</v>
      </c>
      <c r="F1376" s="9">
        <f t="shared" ca="1" si="269"/>
        <v>1348</v>
      </c>
      <c r="G1376" s="12" t="str">
        <f t="shared" ca="1" si="270"/>
        <v>No</v>
      </c>
      <c r="H1376" s="12">
        <f t="shared" ca="1" si="278"/>
        <v>0</v>
      </c>
      <c r="I1376" s="10">
        <f t="shared" ca="1" si="271"/>
        <v>0</v>
      </c>
      <c r="J1376" s="13">
        <f t="shared" ca="1" si="272"/>
        <v>0</v>
      </c>
      <c r="K1376" s="14">
        <f t="shared" ca="1" si="273"/>
        <v>269.60000000000002</v>
      </c>
      <c r="L1376" s="14">
        <f t="shared" ca="1" si="274"/>
        <v>0</v>
      </c>
      <c r="M1376" s="15">
        <f t="shared" ca="1" si="275"/>
        <v>269.60000000000002</v>
      </c>
      <c r="N1376" s="16">
        <f ca="1">SUM($M$9:M1376)/A1376</f>
        <v>338.18494152046776</v>
      </c>
    </row>
    <row r="1377" spans="1:14" x14ac:dyDescent="0.25">
      <c r="A1377" s="8">
        <v>1369</v>
      </c>
      <c r="B1377" s="9">
        <f t="shared" ca="1" si="267"/>
        <v>1348</v>
      </c>
      <c r="C1377" s="10">
        <f t="shared" ca="1" si="268"/>
        <v>0</v>
      </c>
      <c r="D1377" s="11">
        <f t="shared" ca="1" si="276"/>
        <v>0.82836657686057324</v>
      </c>
      <c r="E1377" s="9">
        <f t="shared" ca="1" si="277"/>
        <v>447</v>
      </c>
      <c r="F1377" s="9">
        <f t="shared" ca="1" si="269"/>
        <v>901</v>
      </c>
      <c r="G1377" s="12" t="str">
        <f t="shared" ca="1" si="270"/>
        <v>Yes</v>
      </c>
      <c r="H1377" s="12">
        <f t="shared" ca="1" si="278"/>
        <v>0.40149160697749664</v>
      </c>
      <c r="I1377" s="10">
        <f t="shared" ca="1" si="271"/>
        <v>1</v>
      </c>
      <c r="J1377" s="13">
        <f t="shared" ca="1" si="272"/>
        <v>300</v>
      </c>
      <c r="K1377" s="14">
        <f t="shared" ca="1" si="273"/>
        <v>180.20000000000002</v>
      </c>
      <c r="L1377" s="14">
        <f t="shared" ca="1" si="274"/>
        <v>0</v>
      </c>
      <c r="M1377" s="15">
        <f t="shared" ca="1" si="275"/>
        <v>480.20000000000005</v>
      </c>
      <c r="N1377" s="16">
        <f ca="1">SUM($M$9:M1377)/A1377</f>
        <v>338.28867786705615</v>
      </c>
    </row>
    <row r="1378" spans="1:14" x14ac:dyDescent="0.25">
      <c r="A1378" s="8">
        <v>1370</v>
      </c>
      <c r="B1378" s="9">
        <f t="shared" ca="1" si="267"/>
        <v>2701</v>
      </c>
      <c r="C1378" s="10">
        <f t="shared" ca="1" si="268"/>
        <v>1800</v>
      </c>
      <c r="D1378" s="11">
        <f t="shared" ca="1" si="276"/>
        <v>0.99139830791893535</v>
      </c>
      <c r="E1378" s="9">
        <f t="shared" ca="1" si="277"/>
        <v>519</v>
      </c>
      <c r="F1378" s="9">
        <f t="shared" ca="1" si="269"/>
        <v>2182</v>
      </c>
      <c r="G1378" s="12" t="str">
        <f t="shared" ca="1" si="270"/>
        <v>No</v>
      </c>
      <c r="H1378" s="12">
        <f t="shared" ca="1" si="278"/>
        <v>0</v>
      </c>
      <c r="I1378" s="10">
        <f t="shared" ca="1" si="271"/>
        <v>0</v>
      </c>
      <c r="J1378" s="13">
        <f t="shared" ca="1" si="272"/>
        <v>0</v>
      </c>
      <c r="K1378" s="14">
        <f t="shared" ca="1" si="273"/>
        <v>436.40000000000003</v>
      </c>
      <c r="L1378" s="14">
        <f t="shared" ca="1" si="274"/>
        <v>0</v>
      </c>
      <c r="M1378" s="15">
        <f t="shared" ca="1" si="275"/>
        <v>436.40000000000003</v>
      </c>
      <c r="N1378" s="16">
        <f ca="1">SUM($M$9:M1378)/A1378</f>
        <v>338.36029197080285</v>
      </c>
    </row>
    <row r="1379" spans="1:14" x14ac:dyDescent="0.25">
      <c r="A1379" s="8">
        <v>1371</v>
      </c>
      <c r="B1379" s="9">
        <f t="shared" ca="1" si="267"/>
        <v>2182</v>
      </c>
      <c r="C1379" s="10">
        <f t="shared" ca="1" si="268"/>
        <v>0</v>
      </c>
      <c r="D1379" s="11">
        <f t="shared" ca="1" si="276"/>
        <v>0.93931634130452613</v>
      </c>
      <c r="E1379" s="9">
        <f t="shared" ca="1" si="277"/>
        <v>477</v>
      </c>
      <c r="F1379" s="9">
        <f t="shared" ca="1" si="269"/>
        <v>1705</v>
      </c>
      <c r="G1379" s="12" t="str">
        <f t="shared" ca="1" si="270"/>
        <v>No</v>
      </c>
      <c r="H1379" s="12">
        <f t="shared" ca="1" si="278"/>
        <v>0</v>
      </c>
      <c r="I1379" s="10">
        <f t="shared" ca="1" si="271"/>
        <v>0</v>
      </c>
      <c r="J1379" s="13">
        <f t="shared" ca="1" si="272"/>
        <v>0</v>
      </c>
      <c r="K1379" s="14">
        <f t="shared" ca="1" si="273"/>
        <v>341</v>
      </c>
      <c r="L1379" s="14">
        <f t="shared" ca="1" si="274"/>
        <v>0</v>
      </c>
      <c r="M1379" s="15">
        <f t="shared" ca="1" si="275"/>
        <v>341</v>
      </c>
      <c r="N1379" s="16">
        <f ca="1">SUM($M$9:M1379)/A1379</f>
        <v>338.36221735959145</v>
      </c>
    </row>
    <row r="1380" spans="1:14" x14ac:dyDescent="0.25">
      <c r="A1380" s="8">
        <v>1372</v>
      </c>
      <c r="B1380" s="9">
        <f t="shared" ca="1" si="267"/>
        <v>1705</v>
      </c>
      <c r="C1380" s="10">
        <f t="shared" ca="1" si="268"/>
        <v>0</v>
      </c>
      <c r="D1380" s="11">
        <f t="shared" ca="1" si="276"/>
        <v>0.26394452500516186</v>
      </c>
      <c r="E1380" s="9">
        <f t="shared" ca="1" si="277"/>
        <v>368</v>
      </c>
      <c r="F1380" s="9">
        <f t="shared" ca="1" si="269"/>
        <v>1337</v>
      </c>
      <c r="G1380" s="12" t="str">
        <f t="shared" ca="1" si="270"/>
        <v>No</v>
      </c>
      <c r="H1380" s="12">
        <f t="shared" ca="1" si="278"/>
        <v>0</v>
      </c>
      <c r="I1380" s="10">
        <f t="shared" ca="1" si="271"/>
        <v>0</v>
      </c>
      <c r="J1380" s="13">
        <f t="shared" ca="1" si="272"/>
        <v>0</v>
      </c>
      <c r="K1380" s="14">
        <f t="shared" ca="1" si="273"/>
        <v>267.40000000000003</v>
      </c>
      <c r="L1380" s="14">
        <f t="shared" ca="1" si="274"/>
        <v>0</v>
      </c>
      <c r="M1380" s="15">
        <f t="shared" ca="1" si="275"/>
        <v>267.40000000000003</v>
      </c>
      <c r="N1380" s="16">
        <f ca="1">SUM($M$9:M1380)/A1380</f>
        <v>338.3104956268221</v>
      </c>
    </row>
    <row r="1381" spans="1:14" x14ac:dyDescent="0.25">
      <c r="A1381" s="8">
        <v>1373</v>
      </c>
      <c r="B1381" s="9">
        <f t="shared" ca="1" si="267"/>
        <v>1337</v>
      </c>
      <c r="C1381" s="10">
        <f t="shared" ca="1" si="268"/>
        <v>0</v>
      </c>
      <c r="D1381" s="11">
        <f t="shared" ca="1" si="276"/>
        <v>0.35525346130912461</v>
      </c>
      <c r="E1381" s="9">
        <f t="shared" ca="1" si="277"/>
        <v>381</v>
      </c>
      <c r="F1381" s="9">
        <f t="shared" ca="1" si="269"/>
        <v>956</v>
      </c>
      <c r="G1381" s="12" t="str">
        <f t="shared" ca="1" si="270"/>
        <v>Yes</v>
      </c>
      <c r="H1381" s="12">
        <f t="shared" ca="1" si="278"/>
        <v>0.96355303435716666</v>
      </c>
      <c r="I1381" s="10">
        <f t="shared" ca="1" si="271"/>
        <v>3</v>
      </c>
      <c r="J1381" s="13">
        <f t="shared" ca="1" si="272"/>
        <v>300</v>
      </c>
      <c r="K1381" s="14">
        <f t="shared" ca="1" si="273"/>
        <v>191.20000000000002</v>
      </c>
      <c r="L1381" s="14">
        <f t="shared" ca="1" si="274"/>
        <v>0</v>
      </c>
      <c r="M1381" s="15">
        <f t="shared" ca="1" si="275"/>
        <v>491.20000000000005</v>
      </c>
      <c r="N1381" s="16">
        <f ca="1">SUM($M$9:M1381)/A1381</f>
        <v>338.42184996358338</v>
      </c>
    </row>
    <row r="1382" spans="1:14" x14ac:dyDescent="0.25">
      <c r="A1382" s="8">
        <v>1374</v>
      </c>
      <c r="B1382" s="9">
        <f t="shared" ca="1" si="267"/>
        <v>956</v>
      </c>
      <c r="C1382" s="10">
        <f t="shared" ca="1" si="268"/>
        <v>0</v>
      </c>
      <c r="D1382" s="11">
        <f t="shared" ca="1" si="276"/>
        <v>0.73878489475709952</v>
      </c>
      <c r="E1382" s="9">
        <f t="shared" ca="1" si="277"/>
        <v>431</v>
      </c>
      <c r="F1382" s="9">
        <f t="shared" ca="1" si="269"/>
        <v>525</v>
      </c>
      <c r="G1382" s="12" t="str">
        <f t="shared" ca="1" si="270"/>
        <v>No</v>
      </c>
      <c r="H1382" s="12">
        <f t="shared" ca="1" si="278"/>
        <v>0</v>
      </c>
      <c r="I1382" s="10">
        <f t="shared" ca="1" si="271"/>
        <v>2</v>
      </c>
      <c r="J1382" s="13">
        <f t="shared" ca="1" si="272"/>
        <v>0</v>
      </c>
      <c r="K1382" s="14">
        <f t="shared" ca="1" si="273"/>
        <v>105</v>
      </c>
      <c r="L1382" s="14">
        <f t="shared" ca="1" si="274"/>
        <v>0</v>
      </c>
      <c r="M1382" s="15">
        <f t="shared" ca="1" si="275"/>
        <v>105</v>
      </c>
      <c r="N1382" s="16">
        <f ca="1">SUM($M$9:M1382)/A1382</f>
        <v>338.25196506550213</v>
      </c>
    </row>
    <row r="1383" spans="1:14" x14ac:dyDescent="0.25">
      <c r="A1383" s="8">
        <v>1375</v>
      </c>
      <c r="B1383" s="9">
        <f t="shared" ca="1" si="267"/>
        <v>525</v>
      </c>
      <c r="C1383" s="10">
        <f t="shared" ca="1" si="268"/>
        <v>0</v>
      </c>
      <c r="D1383" s="11">
        <f t="shared" ca="1" si="276"/>
        <v>0.70062712986940057</v>
      </c>
      <c r="E1383" s="9">
        <f t="shared" ca="1" si="277"/>
        <v>426</v>
      </c>
      <c r="F1383" s="9">
        <f t="shared" ca="1" si="269"/>
        <v>99</v>
      </c>
      <c r="G1383" s="12" t="str">
        <f t="shared" ca="1" si="270"/>
        <v>No</v>
      </c>
      <c r="H1383" s="12">
        <f t="shared" ca="1" si="278"/>
        <v>0</v>
      </c>
      <c r="I1383" s="10">
        <f t="shared" ca="1" si="271"/>
        <v>1</v>
      </c>
      <c r="J1383" s="13">
        <f t="shared" ca="1" si="272"/>
        <v>0</v>
      </c>
      <c r="K1383" s="14">
        <f t="shared" ca="1" si="273"/>
        <v>19.8</v>
      </c>
      <c r="L1383" s="14">
        <f t="shared" ca="1" si="274"/>
        <v>0</v>
      </c>
      <c r="M1383" s="15">
        <f t="shared" ca="1" si="275"/>
        <v>19.8</v>
      </c>
      <c r="N1383" s="16">
        <f ca="1">SUM($M$9:M1383)/A1383</f>
        <v>338.02036363636358</v>
      </c>
    </row>
    <row r="1384" spans="1:14" x14ac:dyDescent="0.25">
      <c r="A1384" s="8">
        <v>1376</v>
      </c>
      <c r="B1384" s="9">
        <f t="shared" ca="1" si="267"/>
        <v>1899</v>
      </c>
      <c r="C1384" s="10">
        <f t="shared" ca="1" si="268"/>
        <v>1800</v>
      </c>
      <c r="D1384" s="11">
        <f t="shared" ca="1" si="276"/>
        <v>0.47236780369897402</v>
      </c>
      <c r="E1384" s="9">
        <f t="shared" ca="1" si="277"/>
        <v>396</v>
      </c>
      <c r="F1384" s="9">
        <f t="shared" ca="1" si="269"/>
        <v>1503</v>
      </c>
      <c r="G1384" s="12" t="str">
        <f t="shared" ca="1" si="270"/>
        <v>No</v>
      </c>
      <c r="H1384" s="12">
        <f t="shared" ca="1" si="278"/>
        <v>0</v>
      </c>
      <c r="I1384" s="10">
        <f t="shared" ca="1" si="271"/>
        <v>0</v>
      </c>
      <c r="J1384" s="13">
        <f t="shared" ca="1" si="272"/>
        <v>0</v>
      </c>
      <c r="K1384" s="14">
        <f t="shared" ca="1" si="273"/>
        <v>300.60000000000002</v>
      </c>
      <c r="L1384" s="14">
        <f t="shared" ca="1" si="274"/>
        <v>0</v>
      </c>
      <c r="M1384" s="15">
        <f t="shared" ca="1" si="275"/>
        <v>300.60000000000002</v>
      </c>
      <c r="N1384" s="16">
        <f ca="1">SUM($M$9:M1384)/A1384</f>
        <v>337.99316860465109</v>
      </c>
    </row>
    <row r="1385" spans="1:14" x14ac:dyDescent="0.25">
      <c r="A1385" s="8">
        <v>1377</v>
      </c>
      <c r="B1385" s="9">
        <f t="shared" ca="1" si="267"/>
        <v>1503</v>
      </c>
      <c r="C1385" s="10">
        <f t="shared" ca="1" si="268"/>
        <v>0</v>
      </c>
      <c r="D1385" s="11">
        <f t="shared" ca="1" si="276"/>
        <v>0.58083256278714923</v>
      </c>
      <c r="E1385" s="9">
        <f t="shared" ca="1" si="277"/>
        <v>410</v>
      </c>
      <c r="F1385" s="9">
        <f t="shared" ca="1" si="269"/>
        <v>1093</v>
      </c>
      <c r="G1385" s="12" t="str">
        <f t="shared" ca="1" si="270"/>
        <v>No</v>
      </c>
      <c r="H1385" s="12">
        <f t="shared" ca="1" si="278"/>
        <v>0</v>
      </c>
      <c r="I1385" s="10">
        <f t="shared" ca="1" si="271"/>
        <v>0</v>
      </c>
      <c r="J1385" s="13">
        <f t="shared" ca="1" si="272"/>
        <v>0</v>
      </c>
      <c r="K1385" s="14">
        <f t="shared" ca="1" si="273"/>
        <v>218.60000000000002</v>
      </c>
      <c r="L1385" s="14">
        <f t="shared" ca="1" si="274"/>
        <v>0</v>
      </c>
      <c r="M1385" s="15">
        <f t="shared" ca="1" si="275"/>
        <v>218.60000000000002</v>
      </c>
      <c r="N1385" s="16">
        <f ca="1">SUM($M$9:M1385)/A1385</f>
        <v>337.9064633260711</v>
      </c>
    </row>
    <row r="1386" spans="1:14" x14ac:dyDescent="0.25">
      <c r="A1386" s="8">
        <v>1378</v>
      </c>
      <c r="B1386" s="9">
        <f t="shared" ca="1" si="267"/>
        <v>1093</v>
      </c>
      <c r="C1386" s="10">
        <f t="shared" ca="1" si="268"/>
        <v>0</v>
      </c>
      <c r="D1386" s="11">
        <f t="shared" ca="1" si="276"/>
        <v>0.87319248687856332</v>
      </c>
      <c r="E1386" s="9">
        <f t="shared" ca="1" si="277"/>
        <v>457</v>
      </c>
      <c r="F1386" s="9">
        <f t="shared" ca="1" si="269"/>
        <v>636</v>
      </c>
      <c r="G1386" s="12" t="str">
        <f t="shared" ca="1" si="270"/>
        <v>Yes</v>
      </c>
      <c r="H1386" s="12">
        <f t="shared" ca="1" si="278"/>
        <v>0.80370102462514281</v>
      </c>
      <c r="I1386" s="10">
        <f t="shared" ca="1" si="271"/>
        <v>2</v>
      </c>
      <c r="J1386" s="13">
        <f t="shared" ca="1" si="272"/>
        <v>300</v>
      </c>
      <c r="K1386" s="14">
        <f t="shared" ca="1" si="273"/>
        <v>127.2</v>
      </c>
      <c r="L1386" s="14">
        <f t="shared" ca="1" si="274"/>
        <v>0</v>
      </c>
      <c r="M1386" s="15">
        <f t="shared" ca="1" si="275"/>
        <v>427.2</v>
      </c>
      <c r="N1386" s="16">
        <f ca="1">SUM($M$9:M1386)/A1386</f>
        <v>337.97126269956453</v>
      </c>
    </row>
    <row r="1387" spans="1:14" x14ac:dyDescent="0.25">
      <c r="A1387" s="8">
        <v>1379</v>
      </c>
      <c r="B1387" s="9">
        <f t="shared" ca="1" si="267"/>
        <v>636</v>
      </c>
      <c r="C1387" s="10">
        <f t="shared" ca="1" si="268"/>
        <v>0</v>
      </c>
      <c r="D1387" s="11">
        <f t="shared" ca="1" si="276"/>
        <v>0.72281632823130448</v>
      </c>
      <c r="E1387" s="9">
        <f t="shared" ca="1" si="277"/>
        <v>429</v>
      </c>
      <c r="F1387" s="9">
        <f t="shared" ca="1" si="269"/>
        <v>207</v>
      </c>
      <c r="G1387" s="12" t="str">
        <f t="shared" ca="1" si="270"/>
        <v>No</v>
      </c>
      <c r="H1387" s="12">
        <f t="shared" ca="1" si="278"/>
        <v>0</v>
      </c>
      <c r="I1387" s="10">
        <f t="shared" ca="1" si="271"/>
        <v>1</v>
      </c>
      <c r="J1387" s="13">
        <f t="shared" ca="1" si="272"/>
        <v>0</v>
      </c>
      <c r="K1387" s="14">
        <f t="shared" ca="1" si="273"/>
        <v>41.400000000000006</v>
      </c>
      <c r="L1387" s="14">
        <f t="shared" ca="1" si="274"/>
        <v>0</v>
      </c>
      <c r="M1387" s="15">
        <f t="shared" ca="1" si="275"/>
        <v>41.400000000000006</v>
      </c>
      <c r="N1387" s="16">
        <f ca="1">SUM($M$9:M1387)/A1387</f>
        <v>337.75620014503261</v>
      </c>
    </row>
    <row r="1388" spans="1:14" x14ac:dyDescent="0.25">
      <c r="A1388" s="8">
        <v>1380</v>
      </c>
      <c r="B1388" s="9">
        <f t="shared" ca="1" si="267"/>
        <v>2007</v>
      </c>
      <c r="C1388" s="10">
        <f t="shared" ca="1" si="268"/>
        <v>1800</v>
      </c>
      <c r="D1388" s="11">
        <f t="shared" ca="1" si="276"/>
        <v>0.26944710653589288</v>
      </c>
      <c r="E1388" s="9">
        <f t="shared" ca="1" si="277"/>
        <v>369</v>
      </c>
      <c r="F1388" s="9">
        <f t="shared" ca="1" si="269"/>
        <v>1638</v>
      </c>
      <c r="G1388" s="12" t="str">
        <f t="shared" ca="1" si="270"/>
        <v>No</v>
      </c>
      <c r="H1388" s="12">
        <f t="shared" ca="1" si="278"/>
        <v>0</v>
      </c>
      <c r="I1388" s="10">
        <f t="shared" ca="1" si="271"/>
        <v>0</v>
      </c>
      <c r="J1388" s="13">
        <f t="shared" ca="1" si="272"/>
        <v>0</v>
      </c>
      <c r="K1388" s="14">
        <f t="shared" ca="1" si="273"/>
        <v>327.60000000000002</v>
      </c>
      <c r="L1388" s="14">
        <f t="shared" ca="1" si="274"/>
        <v>0</v>
      </c>
      <c r="M1388" s="15">
        <f t="shared" ca="1" si="275"/>
        <v>327.60000000000002</v>
      </c>
      <c r="N1388" s="16">
        <f ca="1">SUM($M$9:M1388)/A1388</f>
        <v>337.74884057971008</v>
      </c>
    </row>
    <row r="1389" spans="1:14" x14ac:dyDescent="0.25">
      <c r="A1389" s="8">
        <v>1381</v>
      </c>
      <c r="B1389" s="9">
        <f t="shared" ca="1" si="267"/>
        <v>1638</v>
      </c>
      <c r="C1389" s="10">
        <f t="shared" ca="1" si="268"/>
        <v>0</v>
      </c>
      <c r="D1389" s="11">
        <f t="shared" ca="1" si="276"/>
        <v>0.66081179415716795</v>
      </c>
      <c r="E1389" s="9">
        <f t="shared" ca="1" si="277"/>
        <v>420</v>
      </c>
      <c r="F1389" s="9">
        <f t="shared" ca="1" si="269"/>
        <v>1218</v>
      </c>
      <c r="G1389" s="12" t="str">
        <f t="shared" ca="1" si="270"/>
        <v>No</v>
      </c>
      <c r="H1389" s="12">
        <f t="shared" ca="1" si="278"/>
        <v>0</v>
      </c>
      <c r="I1389" s="10">
        <f t="shared" ca="1" si="271"/>
        <v>0</v>
      </c>
      <c r="J1389" s="13">
        <f t="shared" ca="1" si="272"/>
        <v>0</v>
      </c>
      <c r="K1389" s="14">
        <f t="shared" ca="1" si="273"/>
        <v>243.60000000000002</v>
      </c>
      <c r="L1389" s="14">
        <f t="shared" ca="1" si="274"/>
        <v>0</v>
      </c>
      <c r="M1389" s="15">
        <f t="shared" ca="1" si="275"/>
        <v>243.60000000000002</v>
      </c>
      <c r="N1389" s="16">
        <f ca="1">SUM($M$9:M1389)/A1389</f>
        <v>337.68066618392459</v>
      </c>
    </row>
    <row r="1390" spans="1:14" x14ac:dyDescent="0.25">
      <c r="A1390" s="8">
        <v>1382</v>
      </c>
      <c r="B1390" s="9">
        <f t="shared" ca="1" si="267"/>
        <v>1218</v>
      </c>
      <c r="C1390" s="10">
        <f t="shared" ca="1" si="268"/>
        <v>0</v>
      </c>
      <c r="D1390" s="11">
        <f t="shared" ca="1" si="276"/>
        <v>0.7974918031708319</v>
      </c>
      <c r="E1390" s="9">
        <f t="shared" ca="1" si="277"/>
        <v>441</v>
      </c>
      <c r="F1390" s="9">
        <f t="shared" ca="1" si="269"/>
        <v>777</v>
      </c>
      <c r="G1390" s="12" t="str">
        <f t="shared" ca="1" si="270"/>
        <v>Yes</v>
      </c>
      <c r="H1390" s="12">
        <f t="shared" ca="1" si="278"/>
        <v>0.29861191707430124</v>
      </c>
      <c r="I1390" s="10">
        <f t="shared" ca="1" si="271"/>
        <v>1</v>
      </c>
      <c r="J1390" s="13">
        <f t="shared" ca="1" si="272"/>
        <v>300</v>
      </c>
      <c r="K1390" s="14">
        <f t="shared" ca="1" si="273"/>
        <v>155.4</v>
      </c>
      <c r="L1390" s="14">
        <f t="shared" ca="1" si="274"/>
        <v>0</v>
      </c>
      <c r="M1390" s="15">
        <f t="shared" ca="1" si="275"/>
        <v>455.4</v>
      </c>
      <c r="N1390" s="16">
        <f ca="1">SUM($M$9:M1390)/A1390</f>
        <v>337.76584659913163</v>
      </c>
    </row>
    <row r="1391" spans="1:14" x14ac:dyDescent="0.25">
      <c r="A1391" s="8">
        <v>1383</v>
      </c>
      <c r="B1391" s="9">
        <f t="shared" ca="1" si="267"/>
        <v>2577</v>
      </c>
      <c r="C1391" s="10">
        <f t="shared" ca="1" si="268"/>
        <v>1800</v>
      </c>
      <c r="D1391" s="11">
        <f t="shared" ca="1" si="276"/>
        <v>0.28222422418856619</v>
      </c>
      <c r="E1391" s="9">
        <f t="shared" ca="1" si="277"/>
        <v>371</v>
      </c>
      <c r="F1391" s="9">
        <f t="shared" ca="1" si="269"/>
        <v>2206</v>
      </c>
      <c r="G1391" s="12" t="str">
        <f t="shared" ca="1" si="270"/>
        <v>No</v>
      </c>
      <c r="H1391" s="12">
        <f t="shared" ca="1" si="278"/>
        <v>0</v>
      </c>
      <c r="I1391" s="10">
        <f t="shared" ca="1" si="271"/>
        <v>0</v>
      </c>
      <c r="J1391" s="13">
        <f t="shared" ca="1" si="272"/>
        <v>0</v>
      </c>
      <c r="K1391" s="14">
        <f t="shared" ca="1" si="273"/>
        <v>441.20000000000005</v>
      </c>
      <c r="L1391" s="14">
        <f t="shared" ca="1" si="274"/>
        <v>0</v>
      </c>
      <c r="M1391" s="15">
        <f t="shared" ca="1" si="275"/>
        <v>441.20000000000005</v>
      </c>
      <c r="N1391" s="16">
        <f ca="1">SUM($M$9:M1391)/A1391</f>
        <v>337.84063629790307</v>
      </c>
    </row>
    <row r="1392" spans="1:14" x14ac:dyDescent="0.25">
      <c r="A1392" s="8">
        <v>1384</v>
      </c>
      <c r="B1392" s="9">
        <f t="shared" ca="1" si="267"/>
        <v>2206</v>
      </c>
      <c r="C1392" s="10">
        <f t="shared" ca="1" si="268"/>
        <v>0</v>
      </c>
      <c r="D1392" s="11">
        <f t="shared" ca="1" si="276"/>
        <v>0.2479086877866018</v>
      </c>
      <c r="E1392" s="9">
        <f t="shared" ca="1" si="277"/>
        <v>365</v>
      </c>
      <c r="F1392" s="9">
        <f t="shared" ca="1" si="269"/>
        <v>1841</v>
      </c>
      <c r="G1392" s="12" t="str">
        <f t="shared" ca="1" si="270"/>
        <v>No</v>
      </c>
      <c r="H1392" s="12">
        <f t="shared" ca="1" si="278"/>
        <v>0</v>
      </c>
      <c r="I1392" s="10">
        <f t="shared" ca="1" si="271"/>
        <v>0</v>
      </c>
      <c r="J1392" s="13">
        <f t="shared" ca="1" si="272"/>
        <v>0</v>
      </c>
      <c r="K1392" s="14">
        <f t="shared" ca="1" si="273"/>
        <v>368.20000000000005</v>
      </c>
      <c r="L1392" s="14">
        <f t="shared" ca="1" si="274"/>
        <v>0</v>
      </c>
      <c r="M1392" s="15">
        <f t="shared" ca="1" si="275"/>
        <v>368.20000000000005</v>
      </c>
      <c r="N1392" s="16">
        <f ca="1">SUM($M$9:M1392)/A1392</f>
        <v>337.86257225433519</v>
      </c>
    </row>
    <row r="1393" spans="1:14" x14ac:dyDescent="0.25">
      <c r="A1393" s="8">
        <v>1385</v>
      </c>
      <c r="B1393" s="9">
        <f t="shared" ca="1" si="267"/>
        <v>1841</v>
      </c>
      <c r="C1393" s="10">
        <f t="shared" ca="1" si="268"/>
        <v>0</v>
      </c>
      <c r="D1393" s="11">
        <f t="shared" ca="1" si="276"/>
        <v>0.15241567645755394</v>
      </c>
      <c r="E1393" s="9">
        <f t="shared" ca="1" si="277"/>
        <v>348</v>
      </c>
      <c r="F1393" s="9">
        <f t="shared" ca="1" si="269"/>
        <v>1493</v>
      </c>
      <c r="G1393" s="12" t="str">
        <f t="shared" ca="1" si="270"/>
        <v>No</v>
      </c>
      <c r="H1393" s="12">
        <f t="shared" ca="1" si="278"/>
        <v>0</v>
      </c>
      <c r="I1393" s="10">
        <f t="shared" ca="1" si="271"/>
        <v>0</v>
      </c>
      <c r="J1393" s="13">
        <f t="shared" ca="1" si="272"/>
        <v>0</v>
      </c>
      <c r="K1393" s="14">
        <f t="shared" ca="1" si="273"/>
        <v>298.60000000000002</v>
      </c>
      <c r="L1393" s="14">
        <f t="shared" ca="1" si="274"/>
        <v>0</v>
      </c>
      <c r="M1393" s="15">
        <f t="shared" ca="1" si="275"/>
        <v>298.60000000000002</v>
      </c>
      <c r="N1393" s="16">
        <f ca="1">SUM($M$9:M1393)/A1393</f>
        <v>337.83422382671472</v>
      </c>
    </row>
    <row r="1394" spans="1:14" x14ac:dyDescent="0.25">
      <c r="A1394" s="8">
        <v>1386</v>
      </c>
      <c r="B1394" s="9">
        <f t="shared" ca="1" si="267"/>
        <v>1493</v>
      </c>
      <c r="C1394" s="10">
        <f t="shared" ca="1" si="268"/>
        <v>0</v>
      </c>
      <c r="D1394" s="11">
        <f t="shared" ca="1" si="276"/>
        <v>0.52660280966189399</v>
      </c>
      <c r="E1394" s="9">
        <f t="shared" ca="1" si="277"/>
        <v>403</v>
      </c>
      <c r="F1394" s="9">
        <f t="shared" ca="1" si="269"/>
        <v>1090</v>
      </c>
      <c r="G1394" s="12" t="str">
        <f t="shared" ca="1" si="270"/>
        <v>No</v>
      </c>
      <c r="H1394" s="12">
        <f t="shared" ca="1" si="278"/>
        <v>0</v>
      </c>
      <c r="I1394" s="10">
        <f t="shared" ca="1" si="271"/>
        <v>0</v>
      </c>
      <c r="J1394" s="13">
        <f t="shared" ca="1" si="272"/>
        <v>0</v>
      </c>
      <c r="K1394" s="14">
        <f t="shared" ca="1" si="273"/>
        <v>218</v>
      </c>
      <c r="L1394" s="14">
        <f t="shared" ca="1" si="274"/>
        <v>0</v>
      </c>
      <c r="M1394" s="15">
        <f t="shared" ca="1" si="275"/>
        <v>218</v>
      </c>
      <c r="N1394" s="16">
        <f ca="1">SUM($M$9:M1394)/A1394</f>
        <v>337.74776334776328</v>
      </c>
    </row>
    <row r="1395" spans="1:14" x14ac:dyDescent="0.25">
      <c r="A1395" s="8">
        <v>1387</v>
      </c>
      <c r="B1395" s="9">
        <f t="shared" ca="1" si="267"/>
        <v>1090</v>
      </c>
      <c r="C1395" s="10">
        <f t="shared" ca="1" si="268"/>
        <v>0</v>
      </c>
      <c r="D1395" s="11">
        <f t="shared" ca="1" si="276"/>
        <v>0.38490512603396376</v>
      </c>
      <c r="E1395" s="9">
        <f t="shared" ca="1" si="277"/>
        <v>385</v>
      </c>
      <c r="F1395" s="9">
        <f t="shared" ca="1" si="269"/>
        <v>705</v>
      </c>
      <c r="G1395" s="12" t="str">
        <f t="shared" ca="1" si="270"/>
        <v>Yes</v>
      </c>
      <c r="H1395" s="12">
        <f t="shared" ca="1" si="278"/>
        <v>0.90758059641800459</v>
      </c>
      <c r="I1395" s="10">
        <f t="shared" ca="1" si="271"/>
        <v>3</v>
      </c>
      <c r="J1395" s="13">
        <f t="shared" ca="1" si="272"/>
        <v>300</v>
      </c>
      <c r="K1395" s="14">
        <f t="shared" ca="1" si="273"/>
        <v>141</v>
      </c>
      <c r="L1395" s="14">
        <f t="shared" ca="1" si="274"/>
        <v>0</v>
      </c>
      <c r="M1395" s="15">
        <f t="shared" ca="1" si="275"/>
        <v>441</v>
      </c>
      <c r="N1395" s="16">
        <f ca="1">SUM($M$9:M1395)/A1395</f>
        <v>337.8222062004325</v>
      </c>
    </row>
    <row r="1396" spans="1:14" x14ac:dyDescent="0.25">
      <c r="A1396" s="8">
        <v>1388</v>
      </c>
      <c r="B1396" s="9">
        <f t="shared" ca="1" si="267"/>
        <v>705</v>
      </c>
      <c r="C1396" s="10">
        <f t="shared" ca="1" si="268"/>
        <v>0</v>
      </c>
      <c r="D1396" s="11">
        <f t="shared" ca="1" si="276"/>
        <v>0.88917273831240151</v>
      </c>
      <c r="E1396" s="9">
        <f t="shared" ca="1" si="277"/>
        <v>461</v>
      </c>
      <c r="F1396" s="9">
        <f t="shared" ca="1" si="269"/>
        <v>244</v>
      </c>
      <c r="G1396" s="12" t="str">
        <f t="shared" ca="1" si="270"/>
        <v>No</v>
      </c>
      <c r="H1396" s="12">
        <f t="shared" ca="1" si="278"/>
        <v>0</v>
      </c>
      <c r="I1396" s="10">
        <f t="shared" ca="1" si="271"/>
        <v>2</v>
      </c>
      <c r="J1396" s="13">
        <f t="shared" ca="1" si="272"/>
        <v>0</v>
      </c>
      <c r="K1396" s="14">
        <f t="shared" ca="1" si="273"/>
        <v>48.800000000000004</v>
      </c>
      <c r="L1396" s="14">
        <f t="shared" ca="1" si="274"/>
        <v>0</v>
      </c>
      <c r="M1396" s="15">
        <f t="shared" ca="1" si="275"/>
        <v>48.800000000000004</v>
      </c>
      <c r="N1396" s="16">
        <f ca="1">SUM($M$9:M1396)/A1396</f>
        <v>337.61397694524487</v>
      </c>
    </row>
    <row r="1397" spans="1:14" x14ac:dyDescent="0.25">
      <c r="A1397" s="8">
        <v>1389</v>
      </c>
      <c r="B1397" s="9">
        <f t="shared" ca="1" si="267"/>
        <v>244</v>
      </c>
      <c r="C1397" s="10">
        <f t="shared" ca="1" si="268"/>
        <v>0</v>
      </c>
      <c r="D1397" s="11">
        <f t="shared" ca="1" si="276"/>
        <v>0.12974371578074051</v>
      </c>
      <c r="E1397" s="9">
        <f t="shared" ca="1" si="277"/>
        <v>343</v>
      </c>
      <c r="F1397" s="9">
        <f t="shared" ca="1" si="269"/>
        <v>0</v>
      </c>
      <c r="G1397" s="12" t="str">
        <f t="shared" ca="1" si="270"/>
        <v>No</v>
      </c>
      <c r="H1397" s="12">
        <f t="shared" ca="1" si="278"/>
        <v>0</v>
      </c>
      <c r="I1397" s="10">
        <f t="shared" ca="1" si="271"/>
        <v>1</v>
      </c>
      <c r="J1397" s="13">
        <f t="shared" ca="1" si="272"/>
        <v>0</v>
      </c>
      <c r="K1397" s="14">
        <f t="shared" ca="1" si="273"/>
        <v>0</v>
      </c>
      <c r="L1397" s="14">
        <f t="shared" ca="1" si="274"/>
        <v>198</v>
      </c>
      <c r="M1397" s="15">
        <f t="shared" ca="1" si="275"/>
        <v>198</v>
      </c>
      <c r="N1397" s="16">
        <f ca="1">SUM($M$9:M1397)/A1397</f>
        <v>337.51346292296608</v>
      </c>
    </row>
    <row r="1398" spans="1:14" x14ac:dyDescent="0.25">
      <c r="A1398" s="8">
        <v>1390</v>
      </c>
      <c r="B1398" s="9">
        <f t="shared" ca="1" si="267"/>
        <v>1800</v>
      </c>
      <c r="C1398" s="10">
        <f t="shared" ca="1" si="268"/>
        <v>1800</v>
      </c>
      <c r="D1398" s="11">
        <f t="shared" ca="1" si="276"/>
        <v>0.1414468290598172</v>
      </c>
      <c r="E1398" s="9">
        <f t="shared" ca="1" si="277"/>
        <v>346</v>
      </c>
      <c r="F1398" s="9">
        <f t="shared" ca="1" si="269"/>
        <v>1454</v>
      </c>
      <c r="G1398" s="12" t="str">
        <f t="shared" ca="1" si="270"/>
        <v>No</v>
      </c>
      <c r="H1398" s="12">
        <f t="shared" ca="1" si="278"/>
        <v>0</v>
      </c>
      <c r="I1398" s="10">
        <f t="shared" ca="1" si="271"/>
        <v>0</v>
      </c>
      <c r="J1398" s="13">
        <f t="shared" ca="1" si="272"/>
        <v>0</v>
      </c>
      <c r="K1398" s="14">
        <f t="shared" ca="1" si="273"/>
        <v>290.8</v>
      </c>
      <c r="L1398" s="14">
        <f t="shared" ca="1" si="274"/>
        <v>0</v>
      </c>
      <c r="M1398" s="15">
        <f t="shared" ca="1" si="275"/>
        <v>290.8</v>
      </c>
      <c r="N1398" s="16">
        <f ca="1">SUM($M$9:M1398)/A1398</f>
        <v>337.47985611510785</v>
      </c>
    </row>
    <row r="1399" spans="1:14" x14ac:dyDescent="0.25">
      <c r="A1399" s="8">
        <v>1391</v>
      </c>
      <c r="B1399" s="9">
        <f t="shared" ca="1" si="267"/>
        <v>1454</v>
      </c>
      <c r="C1399" s="10">
        <f t="shared" ca="1" si="268"/>
        <v>0</v>
      </c>
      <c r="D1399" s="11">
        <f t="shared" ca="1" si="276"/>
        <v>0.7994075974216307</v>
      </c>
      <c r="E1399" s="9">
        <f t="shared" ca="1" si="277"/>
        <v>441</v>
      </c>
      <c r="F1399" s="9">
        <f t="shared" ca="1" si="269"/>
        <v>1013</v>
      </c>
      <c r="G1399" s="12" t="str">
        <f t="shared" ca="1" si="270"/>
        <v>No</v>
      </c>
      <c r="H1399" s="12">
        <f t="shared" ca="1" si="278"/>
        <v>0</v>
      </c>
      <c r="I1399" s="10">
        <f t="shared" ca="1" si="271"/>
        <v>0</v>
      </c>
      <c r="J1399" s="13">
        <f t="shared" ca="1" si="272"/>
        <v>0</v>
      </c>
      <c r="K1399" s="14">
        <f t="shared" ca="1" si="273"/>
        <v>202.60000000000002</v>
      </c>
      <c r="L1399" s="14">
        <f t="shared" ca="1" si="274"/>
        <v>0</v>
      </c>
      <c r="M1399" s="15">
        <f t="shared" ca="1" si="275"/>
        <v>202.60000000000002</v>
      </c>
      <c r="N1399" s="16">
        <f ca="1">SUM($M$9:M1399)/A1399</f>
        <v>337.38289000718896</v>
      </c>
    </row>
    <row r="1400" spans="1:14" x14ac:dyDescent="0.25">
      <c r="A1400" s="8">
        <v>1392</v>
      </c>
      <c r="B1400" s="9">
        <f t="shared" ca="1" si="267"/>
        <v>1013</v>
      </c>
      <c r="C1400" s="10">
        <f t="shared" ca="1" si="268"/>
        <v>0</v>
      </c>
      <c r="D1400" s="11">
        <f t="shared" ca="1" si="276"/>
        <v>0.70789611590855994</v>
      </c>
      <c r="E1400" s="9">
        <f t="shared" ca="1" si="277"/>
        <v>427</v>
      </c>
      <c r="F1400" s="9">
        <f t="shared" ca="1" si="269"/>
        <v>586</v>
      </c>
      <c r="G1400" s="12" t="str">
        <f t="shared" ca="1" si="270"/>
        <v>Yes</v>
      </c>
      <c r="H1400" s="12">
        <f t="shared" ca="1" si="278"/>
        <v>0.53511543456451327</v>
      </c>
      <c r="I1400" s="10">
        <f t="shared" ca="1" si="271"/>
        <v>1</v>
      </c>
      <c r="J1400" s="13">
        <f t="shared" ca="1" si="272"/>
        <v>300</v>
      </c>
      <c r="K1400" s="14">
        <f t="shared" ca="1" si="273"/>
        <v>117.2</v>
      </c>
      <c r="L1400" s="14">
        <f t="shared" ca="1" si="274"/>
        <v>0</v>
      </c>
      <c r="M1400" s="15">
        <f t="shared" ca="1" si="275"/>
        <v>417.2</v>
      </c>
      <c r="N1400" s="16">
        <f ca="1">SUM($M$9:M1400)/A1400</f>
        <v>337.44022988505736</v>
      </c>
    </row>
    <row r="1401" spans="1:14" x14ac:dyDescent="0.25">
      <c r="A1401" s="8">
        <v>1393</v>
      </c>
      <c r="B1401" s="9">
        <f t="shared" ca="1" si="267"/>
        <v>2386</v>
      </c>
      <c r="C1401" s="10">
        <f t="shared" ca="1" si="268"/>
        <v>1800</v>
      </c>
      <c r="D1401" s="11">
        <f t="shared" ca="1" si="276"/>
        <v>0.35310076081816766</v>
      </c>
      <c r="E1401" s="9">
        <f t="shared" ca="1" si="277"/>
        <v>381</v>
      </c>
      <c r="F1401" s="9">
        <f t="shared" ca="1" si="269"/>
        <v>2005</v>
      </c>
      <c r="G1401" s="12" t="str">
        <f t="shared" ca="1" si="270"/>
        <v>No</v>
      </c>
      <c r="H1401" s="12">
        <f t="shared" ca="1" si="278"/>
        <v>0</v>
      </c>
      <c r="I1401" s="10">
        <f t="shared" ca="1" si="271"/>
        <v>0</v>
      </c>
      <c r="J1401" s="13">
        <f t="shared" ca="1" si="272"/>
        <v>0</v>
      </c>
      <c r="K1401" s="14">
        <f t="shared" ca="1" si="273"/>
        <v>401</v>
      </c>
      <c r="L1401" s="14">
        <f t="shared" ca="1" si="274"/>
        <v>0</v>
      </c>
      <c r="M1401" s="15">
        <f t="shared" ca="1" si="275"/>
        <v>401</v>
      </c>
      <c r="N1401" s="16">
        <f ca="1">SUM($M$9:M1401)/A1401</f>
        <v>337.48585786073215</v>
      </c>
    </row>
    <row r="1402" spans="1:14" x14ac:dyDescent="0.25">
      <c r="A1402" s="8">
        <v>1394</v>
      </c>
      <c r="B1402" s="9">
        <f t="shared" ca="1" si="267"/>
        <v>2005</v>
      </c>
      <c r="C1402" s="10">
        <f t="shared" ca="1" si="268"/>
        <v>0</v>
      </c>
      <c r="D1402" s="11">
        <f t="shared" ca="1" si="276"/>
        <v>0.40788520606051415</v>
      </c>
      <c r="E1402" s="9">
        <f t="shared" ca="1" si="277"/>
        <v>388</v>
      </c>
      <c r="F1402" s="9">
        <f t="shared" ca="1" si="269"/>
        <v>1617</v>
      </c>
      <c r="G1402" s="12" t="str">
        <f t="shared" ca="1" si="270"/>
        <v>No</v>
      </c>
      <c r="H1402" s="12">
        <f t="shared" ca="1" si="278"/>
        <v>0</v>
      </c>
      <c r="I1402" s="10">
        <f t="shared" ca="1" si="271"/>
        <v>0</v>
      </c>
      <c r="J1402" s="13">
        <f t="shared" ca="1" si="272"/>
        <v>0</v>
      </c>
      <c r="K1402" s="14">
        <f t="shared" ca="1" si="273"/>
        <v>323.40000000000003</v>
      </c>
      <c r="L1402" s="14">
        <f t="shared" ca="1" si="274"/>
        <v>0</v>
      </c>
      <c r="M1402" s="15">
        <f t="shared" ca="1" si="275"/>
        <v>323.40000000000003</v>
      </c>
      <c r="N1402" s="16">
        <f ca="1">SUM($M$9:M1402)/A1402</f>
        <v>337.47575322812042</v>
      </c>
    </row>
    <row r="1403" spans="1:14" x14ac:dyDescent="0.25">
      <c r="A1403" s="8">
        <v>1395</v>
      </c>
      <c r="B1403" s="9">
        <f t="shared" ca="1" si="267"/>
        <v>1617</v>
      </c>
      <c r="C1403" s="10">
        <f t="shared" ca="1" si="268"/>
        <v>0</v>
      </c>
      <c r="D1403" s="11">
        <f t="shared" ca="1" si="276"/>
        <v>0.93932654213309774</v>
      </c>
      <c r="E1403" s="9">
        <f t="shared" ca="1" si="277"/>
        <v>477</v>
      </c>
      <c r="F1403" s="9">
        <f t="shared" ca="1" si="269"/>
        <v>1140</v>
      </c>
      <c r="G1403" s="12" t="str">
        <f t="shared" ca="1" si="270"/>
        <v>No</v>
      </c>
      <c r="H1403" s="12">
        <f t="shared" ca="1" si="278"/>
        <v>0</v>
      </c>
      <c r="I1403" s="10">
        <f t="shared" ca="1" si="271"/>
        <v>0</v>
      </c>
      <c r="J1403" s="13">
        <f t="shared" ca="1" si="272"/>
        <v>0</v>
      </c>
      <c r="K1403" s="14">
        <f t="shared" ca="1" si="273"/>
        <v>228</v>
      </c>
      <c r="L1403" s="14">
        <f t="shared" ca="1" si="274"/>
        <v>0</v>
      </c>
      <c r="M1403" s="15">
        <f t="shared" ca="1" si="275"/>
        <v>228</v>
      </c>
      <c r="N1403" s="16">
        <f ca="1">SUM($M$9:M1403)/A1403</f>
        <v>337.39727598566299</v>
      </c>
    </row>
    <row r="1404" spans="1:14" x14ac:dyDescent="0.25">
      <c r="A1404" s="8">
        <v>1396</v>
      </c>
      <c r="B1404" s="9">
        <f t="shared" ca="1" si="267"/>
        <v>1140</v>
      </c>
      <c r="C1404" s="10">
        <f t="shared" ca="1" si="268"/>
        <v>0</v>
      </c>
      <c r="D1404" s="11">
        <f t="shared" ca="1" si="276"/>
        <v>0.51273826403639078</v>
      </c>
      <c r="E1404" s="9">
        <f t="shared" ca="1" si="277"/>
        <v>401</v>
      </c>
      <c r="F1404" s="9">
        <f t="shared" ca="1" si="269"/>
        <v>739</v>
      </c>
      <c r="G1404" s="12" t="str">
        <f t="shared" ca="1" si="270"/>
        <v>Yes</v>
      </c>
      <c r="H1404" s="12">
        <f t="shared" ca="1" si="278"/>
        <v>0.85008030134314205</v>
      </c>
      <c r="I1404" s="10">
        <f t="shared" ca="1" si="271"/>
        <v>2</v>
      </c>
      <c r="J1404" s="13">
        <f t="shared" ca="1" si="272"/>
        <v>300</v>
      </c>
      <c r="K1404" s="14">
        <f t="shared" ca="1" si="273"/>
        <v>147.80000000000001</v>
      </c>
      <c r="L1404" s="14">
        <f t="shared" ca="1" si="274"/>
        <v>0</v>
      </c>
      <c r="M1404" s="15">
        <f t="shared" ca="1" si="275"/>
        <v>447.8</v>
      </c>
      <c r="N1404" s="16">
        <f ca="1">SUM($M$9:M1404)/A1404</f>
        <v>337.47636103151854</v>
      </c>
    </row>
    <row r="1405" spans="1:14" x14ac:dyDescent="0.25">
      <c r="A1405" s="8">
        <v>1397</v>
      </c>
      <c r="B1405" s="9">
        <f t="shared" ref="B1405:B1468" ca="1" si="279">IF(I1404=1,F1404+Quantity,F1404)</f>
        <v>739</v>
      </c>
      <c r="C1405" s="10">
        <f t="shared" ref="C1405:C1468" ca="1" si="280">IF(I1404=1,Quantity,0)</f>
        <v>0</v>
      </c>
      <c r="D1405" s="11">
        <f t="shared" ca="1" si="276"/>
        <v>0.64500386071288252</v>
      </c>
      <c r="E1405" s="9">
        <f t="shared" ca="1" si="277"/>
        <v>418</v>
      </c>
      <c r="F1405" s="9">
        <f t="shared" ref="F1405:F1468" ca="1" si="281">IF(B1405+C1405-E1405&lt;0,0,B1405-E1405)</f>
        <v>321</v>
      </c>
      <c r="G1405" s="12" t="str">
        <f t="shared" ref="G1405:G1468" ca="1" si="282">IF(B1405&lt;Point,IF(I1404=0,"Yes","No"),"No")</f>
        <v>No</v>
      </c>
      <c r="H1405" s="12">
        <f t="shared" ca="1" si="278"/>
        <v>0</v>
      </c>
      <c r="I1405" s="10">
        <f t="shared" ref="I1405:I1468" ca="1" si="283">IF(I1404&gt;0,I1404-1,(IF(G1405="Yes",(VLOOKUP(H1405,LTD,3)),0)))</f>
        <v>1</v>
      </c>
      <c r="J1405" s="13">
        <f t="shared" ref="J1405:J1468" ca="1" si="284">IF(G1405="Yes",Order_Cost,0)</f>
        <v>0</v>
      </c>
      <c r="K1405" s="14">
        <f t="shared" ref="K1405:K1468" ca="1" si="285">F1405*Holding_Cost</f>
        <v>64.2</v>
      </c>
      <c r="L1405" s="14">
        <f t="shared" ref="L1405:L1468" ca="1" si="286">IF(B1405+C1405&lt;E1405,Shortage_Cost*(E1405-B1405-C1405),0)</f>
        <v>0</v>
      </c>
      <c r="M1405" s="15">
        <f t="shared" ref="M1405:M1468" ca="1" si="287">SUM(J1405:L1405)</f>
        <v>64.2</v>
      </c>
      <c r="N1405" s="16">
        <f ca="1">SUM($M$9:M1405)/A1405</f>
        <v>337.28074445239793</v>
      </c>
    </row>
    <row r="1406" spans="1:14" x14ac:dyDescent="0.25">
      <c r="A1406" s="8">
        <v>1398</v>
      </c>
      <c r="B1406" s="9">
        <f t="shared" ca="1" si="279"/>
        <v>2121</v>
      </c>
      <c r="C1406" s="10">
        <f t="shared" ca="1" si="280"/>
        <v>1800</v>
      </c>
      <c r="D1406" s="11">
        <f t="shared" ca="1" si="276"/>
        <v>0.26335203721704747</v>
      </c>
      <c r="E1406" s="9">
        <f t="shared" ca="1" si="277"/>
        <v>368</v>
      </c>
      <c r="F1406" s="9">
        <f t="shared" ca="1" si="281"/>
        <v>1753</v>
      </c>
      <c r="G1406" s="12" t="str">
        <f t="shared" ca="1" si="282"/>
        <v>No</v>
      </c>
      <c r="H1406" s="12">
        <f t="shared" ca="1" si="278"/>
        <v>0</v>
      </c>
      <c r="I1406" s="10">
        <f t="shared" ca="1" si="283"/>
        <v>0</v>
      </c>
      <c r="J1406" s="13">
        <f t="shared" ca="1" si="284"/>
        <v>0</v>
      </c>
      <c r="K1406" s="14">
        <f t="shared" ca="1" si="285"/>
        <v>350.6</v>
      </c>
      <c r="L1406" s="14">
        <f t="shared" ca="1" si="286"/>
        <v>0</v>
      </c>
      <c r="M1406" s="15">
        <f t="shared" ca="1" si="287"/>
        <v>350.6</v>
      </c>
      <c r="N1406" s="16">
        <f ca="1">SUM($M$9:M1406)/A1406</f>
        <v>337.29027181688116</v>
      </c>
    </row>
    <row r="1407" spans="1:14" x14ac:dyDescent="0.25">
      <c r="A1407" s="8">
        <v>1399</v>
      </c>
      <c r="B1407" s="9">
        <f t="shared" ca="1" si="279"/>
        <v>1753</v>
      </c>
      <c r="C1407" s="10">
        <f t="shared" ca="1" si="280"/>
        <v>0</v>
      </c>
      <c r="D1407" s="11">
        <f t="shared" ca="1" si="276"/>
        <v>0.32728132886975247</v>
      </c>
      <c r="E1407" s="9">
        <f t="shared" ca="1" si="277"/>
        <v>377</v>
      </c>
      <c r="F1407" s="9">
        <f t="shared" ca="1" si="281"/>
        <v>1376</v>
      </c>
      <c r="G1407" s="12" t="str">
        <f t="shared" ca="1" si="282"/>
        <v>No</v>
      </c>
      <c r="H1407" s="12">
        <f t="shared" ca="1" si="278"/>
        <v>0</v>
      </c>
      <c r="I1407" s="10">
        <f t="shared" ca="1" si="283"/>
        <v>0</v>
      </c>
      <c r="J1407" s="13">
        <f t="shared" ca="1" si="284"/>
        <v>0</v>
      </c>
      <c r="K1407" s="14">
        <f t="shared" ca="1" si="285"/>
        <v>275.2</v>
      </c>
      <c r="L1407" s="14">
        <f t="shared" ca="1" si="286"/>
        <v>0</v>
      </c>
      <c r="M1407" s="15">
        <f t="shared" ca="1" si="287"/>
        <v>275.2</v>
      </c>
      <c r="N1407" s="16">
        <f ca="1">SUM($M$9:M1407)/A1407</f>
        <v>337.24588992137234</v>
      </c>
    </row>
    <row r="1408" spans="1:14" x14ac:dyDescent="0.25">
      <c r="A1408" s="8">
        <v>1400</v>
      </c>
      <c r="B1408" s="9">
        <f t="shared" ca="1" si="279"/>
        <v>1376</v>
      </c>
      <c r="C1408" s="10">
        <f t="shared" ca="1" si="280"/>
        <v>0</v>
      </c>
      <c r="D1408" s="11">
        <f t="shared" ca="1" si="276"/>
        <v>0.24411712875389413</v>
      </c>
      <c r="E1408" s="9">
        <f t="shared" ca="1" si="277"/>
        <v>365</v>
      </c>
      <c r="F1408" s="9">
        <f t="shared" ca="1" si="281"/>
        <v>1011</v>
      </c>
      <c r="G1408" s="12" t="str">
        <f t="shared" ca="1" si="282"/>
        <v>Yes</v>
      </c>
      <c r="H1408" s="12">
        <f t="shared" ca="1" si="278"/>
        <v>8.2609228333879181E-2</v>
      </c>
      <c r="I1408" s="10">
        <f t="shared" ca="1" si="283"/>
        <v>1</v>
      </c>
      <c r="J1408" s="13">
        <f t="shared" ca="1" si="284"/>
        <v>300</v>
      </c>
      <c r="K1408" s="14">
        <f t="shared" ca="1" si="285"/>
        <v>202.20000000000002</v>
      </c>
      <c r="L1408" s="14">
        <f t="shared" ca="1" si="286"/>
        <v>0</v>
      </c>
      <c r="M1408" s="15">
        <f t="shared" ca="1" si="287"/>
        <v>502.20000000000005</v>
      </c>
      <c r="N1408" s="16">
        <f ca="1">SUM($M$9:M1408)/A1408</f>
        <v>337.3637142857142</v>
      </c>
    </row>
    <row r="1409" spans="1:14" x14ac:dyDescent="0.25">
      <c r="A1409" s="8">
        <v>1401</v>
      </c>
      <c r="B1409" s="9">
        <f t="shared" ca="1" si="279"/>
        <v>2811</v>
      </c>
      <c r="C1409" s="10">
        <f t="shared" ca="1" si="280"/>
        <v>1800</v>
      </c>
      <c r="D1409" s="11">
        <f t="shared" ca="1" si="276"/>
        <v>0.3059577860925754</v>
      </c>
      <c r="E1409" s="9">
        <f t="shared" ca="1" si="277"/>
        <v>374</v>
      </c>
      <c r="F1409" s="9">
        <f t="shared" ca="1" si="281"/>
        <v>2437</v>
      </c>
      <c r="G1409" s="12" t="str">
        <f t="shared" ca="1" si="282"/>
        <v>No</v>
      </c>
      <c r="H1409" s="12">
        <f t="shared" ca="1" si="278"/>
        <v>0</v>
      </c>
      <c r="I1409" s="10">
        <f t="shared" ca="1" si="283"/>
        <v>0</v>
      </c>
      <c r="J1409" s="13">
        <f t="shared" ca="1" si="284"/>
        <v>0</v>
      </c>
      <c r="K1409" s="14">
        <f t="shared" ca="1" si="285"/>
        <v>487.40000000000003</v>
      </c>
      <c r="L1409" s="14">
        <f t="shared" ca="1" si="286"/>
        <v>0</v>
      </c>
      <c r="M1409" s="15">
        <f t="shared" ca="1" si="287"/>
        <v>487.40000000000003</v>
      </c>
      <c r="N1409" s="16">
        <f ca="1">SUM($M$9:M1409)/A1409</f>
        <v>337.47080656673796</v>
      </c>
    </row>
    <row r="1410" spans="1:14" x14ac:dyDescent="0.25">
      <c r="A1410" s="8">
        <v>1402</v>
      </c>
      <c r="B1410" s="9">
        <f t="shared" ca="1" si="279"/>
        <v>2437</v>
      </c>
      <c r="C1410" s="10">
        <f t="shared" ca="1" si="280"/>
        <v>0</v>
      </c>
      <c r="D1410" s="11">
        <f t="shared" ca="1" si="276"/>
        <v>0.99054943462411948</v>
      </c>
      <c r="E1410" s="9">
        <f t="shared" ca="1" si="277"/>
        <v>517</v>
      </c>
      <c r="F1410" s="9">
        <f t="shared" ca="1" si="281"/>
        <v>1920</v>
      </c>
      <c r="G1410" s="12" t="str">
        <f t="shared" ca="1" si="282"/>
        <v>No</v>
      </c>
      <c r="H1410" s="12">
        <f t="shared" ca="1" si="278"/>
        <v>0</v>
      </c>
      <c r="I1410" s="10">
        <f t="shared" ca="1" si="283"/>
        <v>0</v>
      </c>
      <c r="J1410" s="13">
        <f t="shared" ca="1" si="284"/>
        <v>0</v>
      </c>
      <c r="K1410" s="14">
        <f t="shared" ca="1" si="285"/>
        <v>384</v>
      </c>
      <c r="L1410" s="14">
        <f t="shared" ca="1" si="286"/>
        <v>0</v>
      </c>
      <c r="M1410" s="15">
        <f t="shared" ca="1" si="287"/>
        <v>384</v>
      </c>
      <c r="N1410" s="16">
        <f ca="1">SUM($M$9:M1410)/A1410</f>
        <v>337.50399429386584</v>
      </c>
    </row>
    <row r="1411" spans="1:14" x14ac:dyDescent="0.25">
      <c r="A1411" s="8">
        <v>1403</v>
      </c>
      <c r="B1411" s="9">
        <f t="shared" ca="1" si="279"/>
        <v>1920</v>
      </c>
      <c r="C1411" s="10">
        <f t="shared" ca="1" si="280"/>
        <v>0</v>
      </c>
      <c r="D1411" s="11">
        <f t="shared" ca="1" si="276"/>
        <v>0.49263808321089353</v>
      </c>
      <c r="E1411" s="9">
        <f t="shared" ca="1" si="277"/>
        <v>399</v>
      </c>
      <c r="F1411" s="9">
        <f t="shared" ca="1" si="281"/>
        <v>1521</v>
      </c>
      <c r="G1411" s="12" t="str">
        <f t="shared" ca="1" si="282"/>
        <v>No</v>
      </c>
      <c r="H1411" s="12">
        <f t="shared" ca="1" si="278"/>
        <v>0</v>
      </c>
      <c r="I1411" s="10">
        <f t="shared" ca="1" si="283"/>
        <v>0</v>
      </c>
      <c r="J1411" s="13">
        <f t="shared" ca="1" si="284"/>
        <v>0</v>
      </c>
      <c r="K1411" s="14">
        <f t="shared" ca="1" si="285"/>
        <v>304.2</v>
      </c>
      <c r="L1411" s="14">
        <f t="shared" ca="1" si="286"/>
        <v>0</v>
      </c>
      <c r="M1411" s="15">
        <f t="shared" ca="1" si="287"/>
        <v>304.2</v>
      </c>
      <c r="N1411" s="16">
        <f ca="1">SUM($M$9:M1411)/A1411</f>
        <v>337.48025659301493</v>
      </c>
    </row>
    <row r="1412" spans="1:14" x14ac:dyDescent="0.25">
      <c r="A1412" s="8">
        <v>1404</v>
      </c>
      <c r="B1412" s="9">
        <f t="shared" ca="1" si="279"/>
        <v>1521</v>
      </c>
      <c r="C1412" s="10">
        <f t="shared" ca="1" si="280"/>
        <v>0</v>
      </c>
      <c r="D1412" s="11">
        <f t="shared" ca="1" si="276"/>
        <v>0.42584005109886991</v>
      </c>
      <c r="E1412" s="9">
        <f t="shared" ca="1" si="277"/>
        <v>390</v>
      </c>
      <c r="F1412" s="9">
        <f t="shared" ca="1" si="281"/>
        <v>1131</v>
      </c>
      <c r="G1412" s="12" t="str">
        <f t="shared" ca="1" si="282"/>
        <v>No</v>
      </c>
      <c r="H1412" s="12">
        <f t="shared" ca="1" si="278"/>
        <v>0</v>
      </c>
      <c r="I1412" s="10">
        <f t="shared" ca="1" si="283"/>
        <v>0</v>
      </c>
      <c r="J1412" s="13">
        <f t="shared" ca="1" si="284"/>
        <v>0</v>
      </c>
      <c r="K1412" s="14">
        <f t="shared" ca="1" si="285"/>
        <v>226.20000000000002</v>
      </c>
      <c r="L1412" s="14">
        <f t="shared" ca="1" si="286"/>
        <v>0</v>
      </c>
      <c r="M1412" s="15">
        <f t="shared" ca="1" si="287"/>
        <v>226.20000000000002</v>
      </c>
      <c r="N1412" s="16">
        <f ca="1">SUM($M$9:M1412)/A1412</f>
        <v>337.40099715099711</v>
      </c>
    </row>
    <row r="1413" spans="1:14" x14ac:dyDescent="0.25">
      <c r="A1413" s="8">
        <v>1405</v>
      </c>
      <c r="B1413" s="9">
        <f t="shared" ca="1" si="279"/>
        <v>1131</v>
      </c>
      <c r="C1413" s="10">
        <f t="shared" ca="1" si="280"/>
        <v>0</v>
      </c>
      <c r="D1413" s="11">
        <f t="shared" ca="1" si="276"/>
        <v>0.95467351170075188</v>
      </c>
      <c r="E1413" s="9">
        <f t="shared" ca="1" si="277"/>
        <v>484</v>
      </c>
      <c r="F1413" s="9">
        <f t="shared" ca="1" si="281"/>
        <v>647</v>
      </c>
      <c r="G1413" s="12" t="str">
        <f t="shared" ca="1" si="282"/>
        <v>Yes</v>
      </c>
      <c r="H1413" s="12">
        <f t="shared" ca="1" si="278"/>
        <v>0.57979563189693895</v>
      </c>
      <c r="I1413" s="10">
        <f t="shared" ca="1" si="283"/>
        <v>1</v>
      </c>
      <c r="J1413" s="13">
        <f t="shared" ca="1" si="284"/>
        <v>300</v>
      </c>
      <c r="K1413" s="14">
        <f t="shared" ca="1" si="285"/>
        <v>129.4</v>
      </c>
      <c r="L1413" s="14">
        <f t="shared" ca="1" si="286"/>
        <v>0</v>
      </c>
      <c r="M1413" s="15">
        <f t="shared" ca="1" si="287"/>
        <v>429.4</v>
      </c>
      <c r="N1413" s="16">
        <f ca="1">SUM($M$9:M1413)/A1413</f>
        <v>337.46647686832739</v>
      </c>
    </row>
    <row r="1414" spans="1:14" x14ac:dyDescent="0.25">
      <c r="A1414" s="8">
        <v>1406</v>
      </c>
      <c r="B1414" s="9">
        <f t="shared" ca="1" si="279"/>
        <v>2447</v>
      </c>
      <c r="C1414" s="10">
        <f t="shared" ca="1" si="280"/>
        <v>1800</v>
      </c>
      <c r="D1414" s="11">
        <f t="shared" ca="1" si="276"/>
        <v>0.8631246454669802</v>
      </c>
      <c r="E1414" s="9">
        <f t="shared" ca="1" si="277"/>
        <v>454</v>
      </c>
      <c r="F1414" s="9">
        <f t="shared" ca="1" si="281"/>
        <v>1993</v>
      </c>
      <c r="G1414" s="12" t="str">
        <f t="shared" ca="1" si="282"/>
        <v>No</v>
      </c>
      <c r="H1414" s="12">
        <f t="shared" ca="1" si="278"/>
        <v>0</v>
      </c>
      <c r="I1414" s="10">
        <f t="shared" ca="1" si="283"/>
        <v>0</v>
      </c>
      <c r="J1414" s="13">
        <f t="shared" ca="1" si="284"/>
        <v>0</v>
      </c>
      <c r="K1414" s="14">
        <f t="shared" ca="1" si="285"/>
        <v>398.6</v>
      </c>
      <c r="L1414" s="14">
        <f t="shared" ca="1" si="286"/>
        <v>0</v>
      </c>
      <c r="M1414" s="15">
        <f t="shared" ca="1" si="287"/>
        <v>398.6</v>
      </c>
      <c r="N1414" s="16">
        <f ca="1">SUM($M$9:M1414)/A1414</f>
        <v>337.50995732574677</v>
      </c>
    </row>
    <row r="1415" spans="1:14" x14ac:dyDescent="0.25">
      <c r="A1415" s="8">
        <v>1407</v>
      </c>
      <c r="B1415" s="9">
        <f t="shared" ca="1" si="279"/>
        <v>1993</v>
      </c>
      <c r="C1415" s="10">
        <f t="shared" ca="1" si="280"/>
        <v>0</v>
      </c>
      <c r="D1415" s="11">
        <f t="shared" ca="1" si="276"/>
        <v>0.98440664700378433</v>
      </c>
      <c r="E1415" s="9">
        <f t="shared" ca="1" si="277"/>
        <v>507</v>
      </c>
      <c r="F1415" s="9">
        <f t="shared" ca="1" si="281"/>
        <v>1486</v>
      </c>
      <c r="G1415" s="12" t="str">
        <f t="shared" ca="1" si="282"/>
        <v>No</v>
      </c>
      <c r="H1415" s="12">
        <f t="shared" ca="1" si="278"/>
        <v>0</v>
      </c>
      <c r="I1415" s="10">
        <f t="shared" ca="1" si="283"/>
        <v>0</v>
      </c>
      <c r="J1415" s="13">
        <f t="shared" ca="1" si="284"/>
        <v>0</v>
      </c>
      <c r="K1415" s="14">
        <f t="shared" ca="1" si="285"/>
        <v>297.2</v>
      </c>
      <c r="L1415" s="14">
        <f t="shared" ca="1" si="286"/>
        <v>0</v>
      </c>
      <c r="M1415" s="15">
        <f t="shared" ca="1" si="287"/>
        <v>297.2</v>
      </c>
      <c r="N1415" s="16">
        <f ca="1">SUM($M$9:M1415)/A1415</f>
        <v>337.48130774697938</v>
      </c>
    </row>
    <row r="1416" spans="1:14" x14ac:dyDescent="0.25">
      <c r="A1416" s="8">
        <v>1408</v>
      </c>
      <c r="B1416" s="9">
        <f t="shared" ca="1" si="279"/>
        <v>1486</v>
      </c>
      <c r="C1416" s="10">
        <f t="shared" ca="1" si="280"/>
        <v>0</v>
      </c>
      <c r="D1416" s="11">
        <f t="shared" ca="1" si="276"/>
        <v>0.730747959837038</v>
      </c>
      <c r="E1416" s="9">
        <f t="shared" ca="1" si="277"/>
        <v>430</v>
      </c>
      <c r="F1416" s="9">
        <f t="shared" ca="1" si="281"/>
        <v>1056</v>
      </c>
      <c r="G1416" s="12" t="str">
        <f t="shared" ca="1" si="282"/>
        <v>No</v>
      </c>
      <c r="H1416" s="12">
        <f t="shared" ca="1" si="278"/>
        <v>0</v>
      </c>
      <c r="I1416" s="10">
        <f t="shared" ca="1" si="283"/>
        <v>0</v>
      </c>
      <c r="J1416" s="13">
        <f t="shared" ca="1" si="284"/>
        <v>0</v>
      </c>
      <c r="K1416" s="14">
        <f t="shared" ca="1" si="285"/>
        <v>211.20000000000002</v>
      </c>
      <c r="L1416" s="14">
        <f t="shared" ca="1" si="286"/>
        <v>0</v>
      </c>
      <c r="M1416" s="15">
        <f t="shared" ca="1" si="287"/>
        <v>211.20000000000002</v>
      </c>
      <c r="N1416" s="16">
        <f ca="1">SUM($M$9:M1416)/A1416</f>
        <v>337.39161931818177</v>
      </c>
    </row>
    <row r="1417" spans="1:14" x14ac:dyDescent="0.25">
      <c r="A1417" s="8">
        <v>1409</v>
      </c>
      <c r="B1417" s="9">
        <f t="shared" ca="1" si="279"/>
        <v>1056</v>
      </c>
      <c r="C1417" s="10">
        <f t="shared" ca="1" si="280"/>
        <v>0</v>
      </c>
      <c r="D1417" s="11">
        <f t="shared" ca="1" si="276"/>
        <v>0.24938017401514601</v>
      </c>
      <c r="E1417" s="9">
        <f t="shared" ca="1" si="277"/>
        <v>366</v>
      </c>
      <c r="F1417" s="9">
        <f t="shared" ca="1" si="281"/>
        <v>690</v>
      </c>
      <c r="G1417" s="12" t="str">
        <f t="shared" ca="1" si="282"/>
        <v>Yes</v>
      </c>
      <c r="H1417" s="12">
        <f t="shared" ca="1" si="278"/>
        <v>0.28249443124083029</v>
      </c>
      <c r="I1417" s="10">
        <f t="shared" ca="1" si="283"/>
        <v>1</v>
      </c>
      <c r="J1417" s="13">
        <f t="shared" ca="1" si="284"/>
        <v>300</v>
      </c>
      <c r="K1417" s="14">
        <f t="shared" ca="1" si="285"/>
        <v>138</v>
      </c>
      <c r="L1417" s="14">
        <f t="shared" ca="1" si="286"/>
        <v>0</v>
      </c>
      <c r="M1417" s="15">
        <f t="shared" ca="1" si="287"/>
        <v>438</v>
      </c>
      <c r="N1417" s="16">
        <f ca="1">SUM($M$9:M1417)/A1417</f>
        <v>337.46302342086585</v>
      </c>
    </row>
    <row r="1418" spans="1:14" x14ac:dyDescent="0.25">
      <c r="A1418" s="8">
        <v>1410</v>
      </c>
      <c r="B1418" s="9">
        <f t="shared" ca="1" si="279"/>
        <v>2490</v>
      </c>
      <c r="C1418" s="10">
        <f t="shared" ca="1" si="280"/>
        <v>1800</v>
      </c>
      <c r="D1418" s="11">
        <f t="shared" ref="D1418:D1481" ca="1" si="288">RAND()</f>
        <v>0.97381529772227127</v>
      </c>
      <c r="E1418" s="9">
        <f t="shared" ref="E1418:E1481" ca="1" si="289">INT(NORMINV(D1418,D_Mean,D_StdDev))</f>
        <v>497</v>
      </c>
      <c r="F1418" s="9">
        <f t="shared" ca="1" si="281"/>
        <v>1993</v>
      </c>
      <c r="G1418" s="12" t="str">
        <f t="shared" ca="1" si="282"/>
        <v>No</v>
      </c>
      <c r="H1418" s="12">
        <f t="shared" ref="H1418:H1481" ca="1" si="290">IF(G1418="Yes",RAND(),0)</f>
        <v>0</v>
      </c>
      <c r="I1418" s="10">
        <f t="shared" ca="1" si="283"/>
        <v>0</v>
      </c>
      <c r="J1418" s="13">
        <f t="shared" ca="1" si="284"/>
        <v>0</v>
      </c>
      <c r="K1418" s="14">
        <f t="shared" ca="1" si="285"/>
        <v>398.6</v>
      </c>
      <c r="L1418" s="14">
        <f t="shared" ca="1" si="286"/>
        <v>0</v>
      </c>
      <c r="M1418" s="15">
        <f t="shared" ca="1" si="287"/>
        <v>398.6</v>
      </c>
      <c r="N1418" s="16">
        <f ca="1">SUM($M$9:M1418)/A1418</f>
        <v>337.50638297872337</v>
      </c>
    </row>
    <row r="1419" spans="1:14" x14ac:dyDescent="0.25">
      <c r="A1419" s="8">
        <v>1411</v>
      </c>
      <c r="B1419" s="9">
        <f t="shared" ca="1" si="279"/>
        <v>1993</v>
      </c>
      <c r="C1419" s="10">
        <f t="shared" ca="1" si="280"/>
        <v>0</v>
      </c>
      <c r="D1419" s="11">
        <f t="shared" ca="1" si="288"/>
        <v>0.23264195847999769</v>
      </c>
      <c r="E1419" s="9">
        <f t="shared" ca="1" si="289"/>
        <v>363</v>
      </c>
      <c r="F1419" s="9">
        <f t="shared" ca="1" si="281"/>
        <v>1630</v>
      </c>
      <c r="G1419" s="12" t="str">
        <f t="shared" ca="1" si="282"/>
        <v>No</v>
      </c>
      <c r="H1419" s="12">
        <f t="shared" ca="1" si="290"/>
        <v>0</v>
      </c>
      <c r="I1419" s="10">
        <f t="shared" ca="1" si="283"/>
        <v>0</v>
      </c>
      <c r="J1419" s="13">
        <f t="shared" ca="1" si="284"/>
        <v>0</v>
      </c>
      <c r="K1419" s="14">
        <f t="shared" ca="1" si="285"/>
        <v>326</v>
      </c>
      <c r="L1419" s="14">
        <f t="shared" ca="1" si="286"/>
        <v>0</v>
      </c>
      <c r="M1419" s="15">
        <f t="shared" ca="1" si="287"/>
        <v>326</v>
      </c>
      <c r="N1419" s="16">
        <f ca="1">SUM($M$9:M1419)/A1419</f>
        <v>337.49822820694538</v>
      </c>
    </row>
    <row r="1420" spans="1:14" x14ac:dyDescent="0.25">
      <c r="A1420" s="8">
        <v>1412</v>
      </c>
      <c r="B1420" s="9">
        <f t="shared" ca="1" si="279"/>
        <v>1630</v>
      </c>
      <c r="C1420" s="10">
        <f t="shared" ca="1" si="280"/>
        <v>0</v>
      </c>
      <c r="D1420" s="11">
        <f t="shared" ca="1" si="288"/>
        <v>0.29306612696456302</v>
      </c>
      <c r="E1420" s="9">
        <f t="shared" ca="1" si="289"/>
        <v>372</v>
      </c>
      <c r="F1420" s="9">
        <f t="shared" ca="1" si="281"/>
        <v>1258</v>
      </c>
      <c r="G1420" s="12" t="str">
        <f t="shared" ca="1" si="282"/>
        <v>No</v>
      </c>
      <c r="H1420" s="12">
        <f t="shared" ca="1" si="290"/>
        <v>0</v>
      </c>
      <c r="I1420" s="10">
        <f t="shared" ca="1" si="283"/>
        <v>0</v>
      </c>
      <c r="J1420" s="13">
        <f t="shared" ca="1" si="284"/>
        <v>0</v>
      </c>
      <c r="K1420" s="14">
        <f t="shared" ca="1" si="285"/>
        <v>251.60000000000002</v>
      </c>
      <c r="L1420" s="14">
        <f t="shared" ca="1" si="286"/>
        <v>0</v>
      </c>
      <c r="M1420" s="15">
        <f t="shared" ca="1" si="287"/>
        <v>251.60000000000002</v>
      </c>
      <c r="N1420" s="16">
        <f ca="1">SUM($M$9:M1420)/A1420</f>
        <v>337.43739376770532</v>
      </c>
    </row>
    <row r="1421" spans="1:14" x14ac:dyDescent="0.25">
      <c r="A1421" s="8">
        <v>1413</v>
      </c>
      <c r="B1421" s="9">
        <f t="shared" ca="1" si="279"/>
        <v>1258</v>
      </c>
      <c r="C1421" s="10">
        <f t="shared" ca="1" si="280"/>
        <v>0</v>
      </c>
      <c r="D1421" s="11">
        <f t="shared" ca="1" si="288"/>
        <v>0.4428212399182595</v>
      </c>
      <c r="E1421" s="9">
        <f t="shared" ca="1" si="289"/>
        <v>392</v>
      </c>
      <c r="F1421" s="9">
        <f t="shared" ca="1" si="281"/>
        <v>866</v>
      </c>
      <c r="G1421" s="12" t="str">
        <f t="shared" ca="1" si="282"/>
        <v>Yes</v>
      </c>
      <c r="H1421" s="12">
        <f t="shared" ca="1" si="290"/>
        <v>0.25986221221198447</v>
      </c>
      <c r="I1421" s="10">
        <f t="shared" ca="1" si="283"/>
        <v>1</v>
      </c>
      <c r="J1421" s="13">
        <f t="shared" ca="1" si="284"/>
        <v>300</v>
      </c>
      <c r="K1421" s="14">
        <f t="shared" ca="1" si="285"/>
        <v>173.20000000000002</v>
      </c>
      <c r="L1421" s="14">
        <f t="shared" ca="1" si="286"/>
        <v>0</v>
      </c>
      <c r="M1421" s="15">
        <f t="shared" ca="1" si="287"/>
        <v>473.20000000000005</v>
      </c>
      <c r="N1421" s="16">
        <f ca="1">SUM($M$9:M1421)/A1421</f>
        <v>337.53347487614997</v>
      </c>
    </row>
    <row r="1422" spans="1:14" x14ac:dyDescent="0.25">
      <c r="A1422" s="8">
        <v>1414</v>
      </c>
      <c r="B1422" s="9">
        <f t="shared" ca="1" si="279"/>
        <v>2666</v>
      </c>
      <c r="C1422" s="10">
        <f t="shared" ca="1" si="280"/>
        <v>1800</v>
      </c>
      <c r="D1422" s="11">
        <f t="shared" ca="1" si="288"/>
        <v>0.64354225634607753</v>
      </c>
      <c r="E1422" s="9">
        <f t="shared" ca="1" si="289"/>
        <v>418</v>
      </c>
      <c r="F1422" s="9">
        <f t="shared" ca="1" si="281"/>
        <v>2248</v>
      </c>
      <c r="G1422" s="12" t="str">
        <f t="shared" ca="1" si="282"/>
        <v>No</v>
      </c>
      <c r="H1422" s="12">
        <f t="shared" ca="1" si="290"/>
        <v>0</v>
      </c>
      <c r="I1422" s="10">
        <f t="shared" ca="1" si="283"/>
        <v>0</v>
      </c>
      <c r="J1422" s="13">
        <f t="shared" ca="1" si="284"/>
        <v>0</v>
      </c>
      <c r="K1422" s="14">
        <f t="shared" ca="1" si="285"/>
        <v>449.6</v>
      </c>
      <c r="L1422" s="14">
        <f t="shared" ca="1" si="286"/>
        <v>0</v>
      </c>
      <c r="M1422" s="15">
        <f t="shared" ca="1" si="287"/>
        <v>449.6</v>
      </c>
      <c r="N1422" s="16">
        <f ca="1">SUM($M$9:M1422)/A1422</f>
        <v>337.61272984441297</v>
      </c>
    </row>
    <row r="1423" spans="1:14" x14ac:dyDescent="0.25">
      <c r="A1423" s="8">
        <v>1415</v>
      </c>
      <c r="B1423" s="9">
        <f t="shared" ca="1" si="279"/>
        <v>2248</v>
      </c>
      <c r="C1423" s="10">
        <f t="shared" ca="1" si="280"/>
        <v>0</v>
      </c>
      <c r="D1423" s="11">
        <f t="shared" ca="1" si="288"/>
        <v>0.36470944885313084</v>
      </c>
      <c r="E1423" s="9">
        <f t="shared" ca="1" si="289"/>
        <v>382</v>
      </c>
      <c r="F1423" s="9">
        <f t="shared" ca="1" si="281"/>
        <v>1866</v>
      </c>
      <c r="G1423" s="12" t="str">
        <f t="shared" ca="1" si="282"/>
        <v>No</v>
      </c>
      <c r="H1423" s="12">
        <f t="shared" ca="1" si="290"/>
        <v>0</v>
      </c>
      <c r="I1423" s="10">
        <f t="shared" ca="1" si="283"/>
        <v>0</v>
      </c>
      <c r="J1423" s="13">
        <f t="shared" ca="1" si="284"/>
        <v>0</v>
      </c>
      <c r="K1423" s="14">
        <f t="shared" ca="1" si="285"/>
        <v>373.20000000000005</v>
      </c>
      <c r="L1423" s="14">
        <f t="shared" ca="1" si="286"/>
        <v>0</v>
      </c>
      <c r="M1423" s="15">
        <f t="shared" ca="1" si="287"/>
        <v>373.20000000000005</v>
      </c>
      <c r="N1423" s="16">
        <f ca="1">SUM($M$9:M1423)/A1423</f>
        <v>337.63787985865719</v>
      </c>
    </row>
    <row r="1424" spans="1:14" x14ac:dyDescent="0.25">
      <c r="A1424" s="8">
        <v>1416</v>
      </c>
      <c r="B1424" s="9">
        <f t="shared" ca="1" si="279"/>
        <v>1866</v>
      </c>
      <c r="C1424" s="10">
        <f t="shared" ca="1" si="280"/>
        <v>0</v>
      </c>
      <c r="D1424" s="11">
        <f t="shared" ca="1" si="288"/>
        <v>0.52021813866920796</v>
      </c>
      <c r="E1424" s="9">
        <f t="shared" ca="1" si="289"/>
        <v>402</v>
      </c>
      <c r="F1424" s="9">
        <f t="shared" ca="1" si="281"/>
        <v>1464</v>
      </c>
      <c r="G1424" s="12" t="str">
        <f t="shared" ca="1" si="282"/>
        <v>No</v>
      </c>
      <c r="H1424" s="12">
        <f t="shared" ca="1" si="290"/>
        <v>0</v>
      </c>
      <c r="I1424" s="10">
        <f t="shared" ca="1" si="283"/>
        <v>0</v>
      </c>
      <c r="J1424" s="13">
        <f t="shared" ca="1" si="284"/>
        <v>0</v>
      </c>
      <c r="K1424" s="14">
        <f t="shared" ca="1" si="285"/>
        <v>292.8</v>
      </c>
      <c r="L1424" s="14">
        <f t="shared" ca="1" si="286"/>
        <v>0</v>
      </c>
      <c r="M1424" s="15">
        <f t="shared" ca="1" si="287"/>
        <v>292.8</v>
      </c>
      <c r="N1424" s="16">
        <f ca="1">SUM($M$9:M1424)/A1424</f>
        <v>337.60621468926547</v>
      </c>
    </row>
    <row r="1425" spans="1:14" x14ac:dyDescent="0.25">
      <c r="A1425" s="8">
        <v>1417</v>
      </c>
      <c r="B1425" s="9">
        <f t="shared" ca="1" si="279"/>
        <v>1464</v>
      </c>
      <c r="C1425" s="10">
        <f t="shared" ca="1" si="280"/>
        <v>0</v>
      </c>
      <c r="D1425" s="11">
        <f t="shared" ca="1" si="288"/>
        <v>0.61463978544851472</v>
      </c>
      <c r="E1425" s="9">
        <f t="shared" ca="1" si="289"/>
        <v>414</v>
      </c>
      <c r="F1425" s="9">
        <f t="shared" ca="1" si="281"/>
        <v>1050</v>
      </c>
      <c r="G1425" s="12" t="str">
        <f t="shared" ca="1" si="282"/>
        <v>No</v>
      </c>
      <c r="H1425" s="12">
        <f t="shared" ca="1" si="290"/>
        <v>0</v>
      </c>
      <c r="I1425" s="10">
        <f t="shared" ca="1" si="283"/>
        <v>0</v>
      </c>
      <c r="J1425" s="13">
        <f t="shared" ca="1" si="284"/>
        <v>0</v>
      </c>
      <c r="K1425" s="14">
        <f t="shared" ca="1" si="285"/>
        <v>210</v>
      </c>
      <c r="L1425" s="14">
        <f t="shared" ca="1" si="286"/>
        <v>0</v>
      </c>
      <c r="M1425" s="15">
        <f t="shared" ca="1" si="287"/>
        <v>210</v>
      </c>
      <c r="N1425" s="16">
        <f ca="1">SUM($M$9:M1425)/A1425</f>
        <v>337.5161609033168</v>
      </c>
    </row>
    <row r="1426" spans="1:14" x14ac:dyDescent="0.25">
      <c r="A1426" s="8">
        <v>1418</v>
      </c>
      <c r="B1426" s="9">
        <f t="shared" ca="1" si="279"/>
        <v>1050</v>
      </c>
      <c r="C1426" s="10">
        <f t="shared" ca="1" si="280"/>
        <v>0</v>
      </c>
      <c r="D1426" s="11">
        <f t="shared" ca="1" si="288"/>
        <v>0.81851418222556882</v>
      </c>
      <c r="E1426" s="9">
        <f t="shared" ca="1" si="289"/>
        <v>445</v>
      </c>
      <c r="F1426" s="9">
        <f t="shared" ca="1" si="281"/>
        <v>605</v>
      </c>
      <c r="G1426" s="12" t="str">
        <f t="shared" ca="1" si="282"/>
        <v>Yes</v>
      </c>
      <c r="H1426" s="12">
        <f t="shared" ca="1" si="290"/>
        <v>0.88503892326499123</v>
      </c>
      <c r="I1426" s="10">
        <f t="shared" ca="1" si="283"/>
        <v>2</v>
      </c>
      <c r="J1426" s="13">
        <f t="shared" ca="1" si="284"/>
        <v>300</v>
      </c>
      <c r="K1426" s="14">
        <f t="shared" ca="1" si="285"/>
        <v>121</v>
      </c>
      <c r="L1426" s="14">
        <f t="shared" ca="1" si="286"/>
        <v>0</v>
      </c>
      <c r="M1426" s="15">
        <f t="shared" ca="1" si="287"/>
        <v>421</v>
      </c>
      <c r="N1426" s="16">
        <f ca="1">SUM($M$9:M1426)/A1426</f>
        <v>337.5750352609308</v>
      </c>
    </row>
    <row r="1427" spans="1:14" x14ac:dyDescent="0.25">
      <c r="A1427" s="8">
        <v>1419</v>
      </c>
      <c r="B1427" s="9">
        <f t="shared" ca="1" si="279"/>
        <v>605</v>
      </c>
      <c r="C1427" s="10">
        <f t="shared" ca="1" si="280"/>
        <v>0</v>
      </c>
      <c r="D1427" s="11">
        <f t="shared" ca="1" si="288"/>
        <v>0.31966082842563392</v>
      </c>
      <c r="E1427" s="9">
        <f t="shared" ca="1" si="289"/>
        <v>376</v>
      </c>
      <c r="F1427" s="9">
        <f t="shared" ca="1" si="281"/>
        <v>229</v>
      </c>
      <c r="G1427" s="12" t="str">
        <f t="shared" ca="1" si="282"/>
        <v>No</v>
      </c>
      <c r="H1427" s="12">
        <f t="shared" ca="1" si="290"/>
        <v>0</v>
      </c>
      <c r="I1427" s="10">
        <f t="shared" ca="1" si="283"/>
        <v>1</v>
      </c>
      <c r="J1427" s="13">
        <f t="shared" ca="1" si="284"/>
        <v>0</v>
      </c>
      <c r="K1427" s="14">
        <f t="shared" ca="1" si="285"/>
        <v>45.800000000000004</v>
      </c>
      <c r="L1427" s="14">
        <f t="shared" ca="1" si="286"/>
        <v>0</v>
      </c>
      <c r="M1427" s="15">
        <f t="shared" ca="1" si="287"/>
        <v>45.800000000000004</v>
      </c>
      <c r="N1427" s="16">
        <f ca="1">SUM($M$9:M1427)/A1427</f>
        <v>337.36941508104292</v>
      </c>
    </row>
    <row r="1428" spans="1:14" x14ac:dyDescent="0.25">
      <c r="A1428" s="8">
        <v>1420</v>
      </c>
      <c r="B1428" s="9">
        <f t="shared" ca="1" si="279"/>
        <v>2029</v>
      </c>
      <c r="C1428" s="10">
        <f t="shared" ca="1" si="280"/>
        <v>1800</v>
      </c>
      <c r="D1428" s="11">
        <f t="shared" ca="1" si="288"/>
        <v>0.18338295423663176</v>
      </c>
      <c r="E1428" s="9">
        <f t="shared" ca="1" si="289"/>
        <v>354</v>
      </c>
      <c r="F1428" s="9">
        <f t="shared" ca="1" si="281"/>
        <v>1675</v>
      </c>
      <c r="G1428" s="12" t="str">
        <f t="shared" ca="1" si="282"/>
        <v>No</v>
      </c>
      <c r="H1428" s="12">
        <f t="shared" ca="1" si="290"/>
        <v>0</v>
      </c>
      <c r="I1428" s="10">
        <f t="shared" ca="1" si="283"/>
        <v>0</v>
      </c>
      <c r="J1428" s="13">
        <f t="shared" ca="1" si="284"/>
        <v>0</v>
      </c>
      <c r="K1428" s="14">
        <f t="shared" ca="1" si="285"/>
        <v>335</v>
      </c>
      <c r="L1428" s="14">
        <f t="shared" ca="1" si="286"/>
        <v>0</v>
      </c>
      <c r="M1428" s="15">
        <f t="shared" ca="1" si="287"/>
        <v>335</v>
      </c>
      <c r="N1428" s="16">
        <f ca="1">SUM($M$9:M1428)/A1428</f>
        <v>337.36774647887319</v>
      </c>
    </row>
    <row r="1429" spans="1:14" x14ac:dyDescent="0.25">
      <c r="A1429" s="8">
        <v>1421</v>
      </c>
      <c r="B1429" s="9">
        <f t="shared" ca="1" si="279"/>
        <v>1675</v>
      </c>
      <c r="C1429" s="10">
        <f t="shared" ca="1" si="280"/>
        <v>0</v>
      </c>
      <c r="D1429" s="11">
        <f t="shared" ca="1" si="288"/>
        <v>0.79497464447681676</v>
      </c>
      <c r="E1429" s="9">
        <f t="shared" ca="1" si="289"/>
        <v>441</v>
      </c>
      <c r="F1429" s="9">
        <f t="shared" ca="1" si="281"/>
        <v>1234</v>
      </c>
      <c r="G1429" s="12" t="str">
        <f t="shared" ca="1" si="282"/>
        <v>No</v>
      </c>
      <c r="H1429" s="12">
        <f t="shared" ca="1" si="290"/>
        <v>0</v>
      </c>
      <c r="I1429" s="10">
        <f t="shared" ca="1" si="283"/>
        <v>0</v>
      </c>
      <c r="J1429" s="13">
        <f t="shared" ca="1" si="284"/>
        <v>0</v>
      </c>
      <c r="K1429" s="14">
        <f t="shared" ca="1" si="285"/>
        <v>246.8</v>
      </c>
      <c r="L1429" s="14">
        <f t="shared" ca="1" si="286"/>
        <v>0</v>
      </c>
      <c r="M1429" s="15">
        <f t="shared" ca="1" si="287"/>
        <v>246.8</v>
      </c>
      <c r="N1429" s="16">
        <f ca="1">SUM($M$9:M1429)/A1429</f>
        <v>337.3040112596762</v>
      </c>
    </row>
    <row r="1430" spans="1:14" x14ac:dyDescent="0.25">
      <c r="A1430" s="8">
        <v>1422</v>
      </c>
      <c r="B1430" s="9">
        <f t="shared" ca="1" si="279"/>
        <v>1234</v>
      </c>
      <c r="C1430" s="10">
        <f t="shared" ca="1" si="280"/>
        <v>0</v>
      </c>
      <c r="D1430" s="11">
        <f t="shared" ca="1" si="288"/>
        <v>0.15603329207851113</v>
      </c>
      <c r="E1430" s="9">
        <f t="shared" ca="1" si="289"/>
        <v>349</v>
      </c>
      <c r="F1430" s="9">
        <f t="shared" ca="1" si="281"/>
        <v>885</v>
      </c>
      <c r="G1430" s="12" t="str">
        <f t="shared" ca="1" si="282"/>
        <v>Yes</v>
      </c>
      <c r="H1430" s="12">
        <f t="shared" ca="1" si="290"/>
        <v>0.84151555747994367</v>
      </c>
      <c r="I1430" s="10">
        <f t="shared" ca="1" si="283"/>
        <v>2</v>
      </c>
      <c r="J1430" s="13">
        <f t="shared" ca="1" si="284"/>
        <v>300</v>
      </c>
      <c r="K1430" s="14">
        <f t="shared" ca="1" si="285"/>
        <v>177</v>
      </c>
      <c r="L1430" s="14">
        <f t="shared" ca="1" si="286"/>
        <v>0</v>
      </c>
      <c r="M1430" s="15">
        <f t="shared" ca="1" si="287"/>
        <v>477</v>
      </c>
      <c r="N1430" s="16">
        <f ca="1">SUM($M$9:M1430)/A1430</f>
        <v>337.40225035161734</v>
      </c>
    </row>
    <row r="1431" spans="1:14" x14ac:dyDescent="0.25">
      <c r="A1431" s="8">
        <v>1423</v>
      </c>
      <c r="B1431" s="9">
        <f t="shared" ca="1" si="279"/>
        <v>885</v>
      </c>
      <c r="C1431" s="10">
        <f t="shared" ca="1" si="280"/>
        <v>0</v>
      </c>
      <c r="D1431" s="11">
        <f t="shared" ca="1" si="288"/>
        <v>0.89144878718967901</v>
      </c>
      <c r="E1431" s="9">
        <f t="shared" ca="1" si="289"/>
        <v>461</v>
      </c>
      <c r="F1431" s="9">
        <f t="shared" ca="1" si="281"/>
        <v>424</v>
      </c>
      <c r="G1431" s="12" t="str">
        <f t="shared" ca="1" si="282"/>
        <v>No</v>
      </c>
      <c r="H1431" s="12">
        <f t="shared" ca="1" si="290"/>
        <v>0</v>
      </c>
      <c r="I1431" s="10">
        <f t="shared" ca="1" si="283"/>
        <v>1</v>
      </c>
      <c r="J1431" s="13">
        <f t="shared" ca="1" si="284"/>
        <v>0</v>
      </c>
      <c r="K1431" s="14">
        <f t="shared" ca="1" si="285"/>
        <v>84.800000000000011</v>
      </c>
      <c r="L1431" s="14">
        <f t="shared" ca="1" si="286"/>
        <v>0</v>
      </c>
      <c r="M1431" s="15">
        <f t="shared" ca="1" si="287"/>
        <v>84.800000000000011</v>
      </c>
      <c r="N1431" s="16">
        <f ca="1">SUM($M$9:M1431)/A1431</f>
        <v>337.22473647224166</v>
      </c>
    </row>
    <row r="1432" spans="1:14" x14ac:dyDescent="0.25">
      <c r="A1432" s="8">
        <v>1424</v>
      </c>
      <c r="B1432" s="9">
        <f t="shared" ca="1" si="279"/>
        <v>2224</v>
      </c>
      <c r="C1432" s="10">
        <f t="shared" ca="1" si="280"/>
        <v>1800</v>
      </c>
      <c r="D1432" s="11">
        <f t="shared" ca="1" si="288"/>
        <v>0.85876457590495714</v>
      </c>
      <c r="E1432" s="9">
        <f t="shared" ca="1" si="289"/>
        <v>453</v>
      </c>
      <c r="F1432" s="9">
        <f t="shared" ca="1" si="281"/>
        <v>1771</v>
      </c>
      <c r="G1432" s="12" t="str">
        <f t="shared" ca="1" si="282"/>
        <v>No</v>
      </c>
      <c r="H1432" s="12">
        <f t="shared" ca="1" si="290"/>
        <v>0</v>
      </c>
      <c r="I1432" s="10">
        <f t="shared" ca="1" si="283"/>
        <v>0</v>
      </c>
      <c r="J1432" s="13">
        <f t="shared" ca="1" si="284"/>
        <v>0</v>
      </c>
      <c r="K1432" s="14">
        <f t="shared" ca="1" si="285"/>
        <v>354.20000000000005</v>
      </c>
      <c r="L1432" s="14">
        <f t="shared" ca="1" si="286"/>
        <v>0</v>
      </c>
      <c r="M1432" s="15">
        <f t="shared" ca="1" si="287"/>
        <v>354.20000000000005</v>
      </c>
      <c r="N1432" s="16">
        <f ca="1">SUM($M$9:M1432)/A1432</f>
        <v>337.23665730337069</v>
      </c>
    </row>
    <row r="1433" spans="1:14" x14ac:dyDescent="0.25">
      <c r="A1433" s="8">
        <v>1425</v>
      </c>
      <c r="B1433" s="9">
        <f t="shared" ca="1" si="279"/>
        <v>1771</v>
      </c>
      <c r="C1433" s="10">
        <f t="shared" ca="1" si="280"/>
        <v>0</v>
      </c>
      <c r="D1433" s="11">
        <f t="shared" ca="1" si="288"/>
        <v>4.941815618840717E-2</v>
      </c>
      <c r="E1433" s="9">
        <f t="shared" ca="1" si="289"/>
        <v>317</v>
      </c>
      <c r="F1433" s="9">
        <f t="shared" ca="1" si="281"/>
        <v>1454</v>
      </c>
      <c r="G1433" s="12" t="str">
        <f t="shared" ca="1" si="282"/>
        <v>No</v>
      </c>
      <c r="H1433" s="12">
        <f t="shared" ca="1" si="290"/>
        <v>0</v>
      </c>
      <c r="I1433" s="10">
        <f t="shared" ca="1" si="283"/>
        <v>0</v>
      </c>
      <c r="J1433" s="13">
        <f t="shared" ca="1" si="284"/>
        <v>0</v>
      </c>
      <c r="K1433" s="14">
        <f t="shared" ca="1" si="285"/>
        <v>290.8</v>
      </c>
      <c r="L1433" s="14">
        <f t="shared" ca="1" si="286"/>
        <v>0</v>
      </c>
      <c r="M1433" s="15">
        <f t="shared" ca="1" si="287"/>
        <v>290.8</v>
      </c>
      <c r="N1433" s="16">
        <f ca="1">SUM($M$9:M1433)/A1433</f>
        <v>337.20407017543852</v>
      </c>
    </row>
    <row r="1434" spans="1:14" x14ac:dyDescent="0.25">
      <c r="A1434" s="8">
        <v>1426</v>
      </c>
      <c r="B1434" s="9">
        <f t="shared" ca="1" si="279"/>
        <v>1454</v>
      </c>
      <c r="C1434" s="10">
        <f t="shared" ca="1" si="280"/>
        <v>0</v>
      </c>
      <c r="D1434" s="11">
        <f t="shared" ca="1" si="288"/>
        <v>0.16661272454988529</v>
      </c>
      <c r="E1434" s="9">
        <f t="shared" ca="1" si="289"/>
        <v>351</v>
      </c>
      <c r="F1434" s="9">
        <f t="shared" ca="1" si="281"/>
        <v>1103</v>
      </c>
      <c r="G1434" s="12" t="str">
        <f t="shared" ca="1" si="282"/>
        <v>No</v>
      </c>
      <c r="H1434" s="12">
        <f t="shared" ca="1" si="290"/>
        <v>0</v>
      </c>
      <c r="I1434" s="10">
        <f t="shared" ca="1" si="283"/>
        <v>0</v>
      </c>
      <c r="J1434" s="13">
        <f t="shared" ca="1" si="284"/>
        <v>0</v>
      </c>
      <c r="K1434" s="14">
        <f t="shared" ca="1" si="285"/>
        <v>220.60000000000002</v>
      </c>
      <c r="L1434" s="14">
        <f t="shared" ca="1" si="286"/>
        <v>0</v>
      </c>
      <c r="M1434" s="15">
        <f t="shared" ca="1" si="287"/>
        <v>220.60000000000002</v>
      </c>
      <c r="N1434" s="16">
        <f ca="1">SUM($M$9:M1434)/A1434</f>
        <v>337.12230014025232</v>
      </c>
    </row>
    <row r="1435" spans="1:14" x14ac:dyDescent="0.25">
      <c r="A1435" s="8">
        <v>1427</v>
      </c>
      <c r="B1435" s="9">
        <f t="shared" ca="1" si="279"/>
        <v>1103</v>
      </c>
      <c r="C1435" s="10">
        <f t="shared" ca="1" si="280"/>
        <v>0</v>
      </c>
      <c r="D1435" s="11">
        <f t="shared" ca="1" si="288"/>
        <v>6.9788786872212571E-2</v>
      </c>
      <c r="E1435" s="9">
        <f t="shared" ca="1" si="289"/>
        <v>326</v>
      </c>
      <c r="F1435" s="9">
        <f t="shared" ca="1" si="281"/>
        <v>777</v>
      </c>
      <c r="G1435" s="12" t="str">
        <f t="shared" ca="1" si="282"/>
        <v>Yes</v>
      </c>
      <c r="H1435" s="12">
        <f t="shared" ca="1" si="290"/>
        <v>0.85353910116078857</v>
      </c>
      <c r="I1435" s="10">
        <f t="shared" ca="1" si="283"/>
        <v>2</v>
      </c>
      <c r="J1435" s="13">
        <f t="shared" ca="1" si="284"/>
        <v>300</v>
      </c>
      <c r="K1435" s="14">
        <f t="shared" ca="1" si="285"/>
        <v>155.4</v>
      </c>
      <c r="L1435" s="14">
        <f t="shared" ca="1" si="286"/>
        <v>0</v>
      </c>
      <c r="M1435" s="15">
        <f t="shared" ca="1" si="287"/>
        <v>455.4</v>
      </c>
      <c r="N1435" s="16">
        <f ca="1">SUM($M$9:M1435)/A1435</f>
        <v>337.20518570427464</v>
      </c>
    </row>
    <row r="1436" spans="1:14" x14ac:dyDescent="0.25">
      <c r="A1436" s="8">
        <v>1428</v>
      </c>
      <c r="B1436" s="9">
        <f t="shared" ca="1" si="279"/>
        <v>777</v>
      </c>
      <c r="C1436" s="10">
        <f t="shared" ca="1" si="280"/>
        <v>0</v>
      </c>
      <c r="D1436" s="11">
        <f t="shared" ca="1" si="288"/>
        <v>0.9856771921595856</v>
      </c>
      <c r="E1436" s="9">
        <f t="shared" ca="1" si="289"/>
        <v>509</v>
      </c>
      <c r="F1436" s="9">
        <f t="shared" ca="1" si="281"/>
        <v>268</v>
      </c>
      <c r="G1436" s="12" t="str">
        <f t="shared" ca="1" si="282"/>
        <v>No</v>
      </c>
      <c r="H1436" s="12">
        <f t="shared" ca="1" si="290"/>
        <v>0</v>
      </c>
      <c r="I1436" s="10">
        <f t="shared" ca="1" si="283"/>
        <v>1</v>
      </c>
      <c r="J1436" s="13">
        <f t="shared" ca="1" si="284"/>
        <v>0</v>
      </c>
      <c r="K1436" s="14">
        <f t="shared" ca="1" si="285"/>
        <v>53.6</v>
      </c>
      <c r="L1436" s="14">
        <f t="shared" ca="1" si="286"/>
        <v>0</v>
      </c>
      <c r="M1436" s="15">
        <f t="shared" ca="1" si="287"/>
        <v>53.6</v>
      </c>
      <c r="N1436" s="16">
        <f ca="1">SUM($M$9:M1436)/A1436</f>
        <v>337.00658263305314</v>
      </c>
    </row>
    <row r="1437" spans="1:14" x14ac:dyDescent="0.25">
      <c r="A1437" s="8">
        <v>1429</v>
      </c>
      <c r="B1437" s="9">
        <f t="shared" ca="1" si="279"/>
        <v>2068</v>
      </c>
      <c r="C1437" s="10">
        <f t="shared" ca="1" si="280"/>
        <v>1800</v>
      </c>
      <c r="D1437" s="11">
        <f t="shared" ca="1" si="288"/>
        <v>0.34724139725049519</v>
      </c>
      <c r="E1437" s="9">
        <f t="shared" ca="1" si="289"/>
        <v>380</v>
      </c>
      <c r="F1437" s="9">
        <f t="shared" ca="1" si="281"/>
        <v>1688</v>
      </c>
      <c r="G1437" s="12" t="str">
        <f t="shared" ca="1" si="282"/>
        <v>No</v>
      </c>
      <c r="H1437" s="12">
        <f t="shared" ca="1" si="290"/>
        <v>0</v>
      </c>
      <c r="I1437" s="10">
        <f t="shared" ca="1" si="283"/>
        <v>0</v>
      </c>
      <c r="J1437" s="13">
        <f t="shared" ca="1" si="284"/>
        <v>0</v>
      </c>
      <c r="K1437" s="14">
        <f t="shared" ca="1" si="285"/>
        <v>337.6</v>
      </c>
      <c r="L1437" s="14">
        <f t="shared" ca="1" si="286"/>
        <v>0</v>
      </c>
      <c r="M1437" s="15">
        <f t="shared" ca="1" si="287"/>
        <v>337.6</v>
      </c>
      <c r="N1437" s="16">
        <f ca="1">SUM($M$9:M1437)/A1437</f>
        <v>337.0069979006297</v>
      </c>
    </row>
    <row r="1438" spans="1:14" x14ac:dyDescent="0.25">
      <c r="A1438" s="8">
        <v>1430</v>
      </c>
      <c r="B1438" s="9">
        <f t="shared" ca="1" si="279"/>
        <v>1688</v>
      </c>
      <c r="C1438" s="10">
        <f t="shared" ca="1" si="280"/>
        <v>0</v>
      </c>
      <c r="D1438" s="11">
        <f t="shared" ca="1" si="288"/>
        <v>0.54083248852113996</v>
      </c>
      <c r="E1438" s="9">
        <f t="shared" ca="1" si="289"/>
        <v>405</v>
      </c>
      <c r="F1438" s="9">
        <f t="shared" ca="1" si="281"/>
        <v>1283</v>
      </c>
      <c r="G1438" s="12" t="str">
        <f t="shared" ca="1" si="282"/>
        <v>No</v>
      </c>
      <c r="H1438" s="12">
        <f t="shared" ca="1" si="290"/>
        <v>0</v>
      </c>
      <c r="I1438" s="10">
        <f t="shared" ca="1" si="283"/>
        <v>0</v>
      </c>
      <c r="J1438" s="13">
        <f t="shared" ca="1" si="284"/>
        <v>0</v>
      </c>
      <c r="K1438" s="14">
        <f t="shared" ca="1" si="285"/>
        <v>256.60000000000002</v>
      </c>
      <c r="L1438" s="14">
        <f t="shared" ca="1" si="286"/>
        <v>0</v>
      </c>
      <c r="M1438" s="15">
        <f t="shared" ca="1" si="287"/>
        <v>256.60000000000002</v>
      </c>
      <c r="N1438" s="16">
        <f ca="1">SUM($M$9:M1438)/A1438</f>
        <v>336.95076923076908</v>
      </c>
    </row>
    <row r="1439" spans="1:14" x14ac:dyDescent="0.25">
      <c r="A1439" s="8">
        <v>1431</v>
      </c>
      <c r="B1439" s="9">
        <f t="shared" ca="1" si="279"/>
        <v>1283</v>
      </c>
      <c r="C1439" s="10">
        <f t="shared" ca="1" si="280"/>
        <v>0</v>
      </c>
      <c r="D1439" s="11">
        <f t="shared" ca="1" si="288"/>
        <v>0.89439306718993228</v>
      </c>
      <c r="E1439" s="9">
        <f t="shared" ca="1" si="289"/>
        <v>462</v>
      </c>
      <c r="F1439" s="9">
        <f t="shared" ca="1" si="281"/>
        <v>821</v>
      </c>
      <c r="G1439" s="12" t="str">
        <f t="shared" ca="1" si="282"/>
        <v>Yes</v>
      </c>
      <c r="H1439" s="12">
        <f t="shared" ca="1" si="290"/>
        <v>0.79230247087479921</v>
      </c>
      <c r="I1439" s="10">
        <f t="shared" ca="1" si="283"/>
        <v>2</v>
      </c>
      <c r="J1439" s="13">
        <f t="shared" ca="1" si="284"/>
        <v>300</v>
      </c>
      <c r="K1439" s="14">
        <f t="shared" ca="1" si="285"/>
        <v>164.20000000000002</v>
      </c>
      <c r="L1439" s="14">
        <f t="shared" ca="1" si="286"/>
        <v>0</v>
      </c>
      <c r="M1439" s="15">
        <f t="shared" ca="1" si="287"/>
        <v>464.20000000000005</v>
      </c>
      <c r="N1439" s="16">
        <f ca="1">SUM($M$9:M1439)/A1439</f>
        <v>337.03969252271128</v>
      </c>
    </row>
    <row r="1440" spans="1:14" x14ac:dyDescent="0.25">
      <c r="A1440" s="8">
        <v>1432</v>
      </c>
      <c r="B1440" s="9">
        <f t="shared" ca="1" si="279"/>
        <v>821</v>
      </c>
      <c r="C1440" s="10">
        <f t="shared" ca="1" si="280"/>
        <v>0</v>
      </c>
      <c r="D1440" s="11">
        <f t="shared" ca="1" si="288"/>
        <v>0.76637139691607037</v>
      </c>
      <c r="E1440" s="9">
        <f t="shared" ca="1" si="289"/>
        <v>436</v>
      </c>
      <c r="F1440" s="9">
        <f t="shared" ca="1" si="281"/>
        <v>385</v>
      </c>
      <c r="G1440" s="12" t="str">
        <f t="shared" ca="1" si="282"/>
        <v>No</v>
      </c>
      <c r="H1440" s="12">
        <f t="shared" ca="1" si="290"/>
        <v>0</v>
      </c>
      <c r="I1440" s="10">
        <f t="shared" ca="1" si="283"/>
        <v>1</v>
      </c>
      <c r="J1440" s="13">
        <f t="shared" ca="1" si="284"/>
        <v>0</v>
      </c>
      <c r="K1440" s="14">
        <f t="shared" ca="1" si="285"/>
        <v>77</v>
      </c>
      <c r="L1440" s="14">
        <f t="shared" ca="1" si="286"/>
        <v>0</v>
      </c>
      <c r="M1440" s="15">
        <f t="shared" ca="1" si="287"/>
        <v>77</v>
      </c>
      <c r="N1440" s="16">
        <f ca="1">SUM($M$9:M1440)/A1440</f>
        <v>336.85810055865909</v>
      </c>
    </row>
    <row r="1441" spans="1:14" x14ac:dyDescent="0.25">
      <c r="A1441" s="8">
        <v>1433</v>
      </c>
      <c r="B1441" s="9">
        <f t="shared" ca="1" si="279"/>
        <v>2185</v>
      </c>
      <c r="C1441" s="10">
        <f t="shared" ca="1" si="280"/>
        <v>1800</v>
      </c>
      <c r="D1441" s="11">
        <f t="shared" ca="1" si="288"/>
        <v>0.45005562850093606</v>
      </c>
      <c r="E1441" s="9">
        <f t="shared" ca="1" si="289"/>
        <v>393</v>
      </c>
      <c r="F1441" s="9">
        <f t="shared" ca="1" si="281"/>
        <v>1792</v>
      </c>
      <c r="G1441" s="12" t="str">
        <f t="shared" ca="1" si="282"/>
        <v>No</v>
      </c>
      <c r="H1441" s="12">
        <f t="shared" ca="1" si="290"/>
        <v>0</v>
      </c>
      <c r="I1441" s="10">
        <f t="shared" ca="1" si="283"/>
        <v>0</v>
      </c>
      <c r="J1441" s="13">
        <f t="shared" ca="1" si="284"/>
        <v>0</v>
      </c>
      <c r="K1441" s="14">
        <f t="shared" ca="1" si="285"/>
        <v>358.40000000000003</v>
      </c>
      <c r="L1441" s="14">
        <f t="shared" ca="1" si="286"/>
        <v>0</v>
      </c>
      <c r="M1441" s="15">
        <f t="shared" ca="1" si="287"/>
        <v>358.40000000000003</v>
      </c>
      <c r="N1441" s="16">
        <f ca="1">SUM($M$9:M1441)/A1441</f>
        <v>336.8731332868108</v>
      </c>
    </row>
    <row r="1442" spans="1:14" x14ac:dyDescent="0.25">
      <c r="A1442" s="8">
        <v>1434</v>
      </c>
      <c r="B1442" s="9">
        <f t="shared" ca="1" si="279"/>
        <v>1792</v>
      </c>
      <c r="C1442" s="10">
        <f t="shared" ca="1" si="280"/>
        <v>0</v>
      </c>
      <c r="D1442" s="11">
        <f t="shared" ca="1" si="288"/>
        <v>0.72529732136720448</v>
      </c>
      <c r="E1442" s="9">
        <f t="shared" ca="1" si="289"/>
        <v>429</v>
      </c>
      <c r="F1442" s="9">
        <f t="shared" ca="1" si="281"/>
        <v>1363</v>
      </c>
      <c r="G1442" s="12" t="str">
        <f t="shared" ca="1" si="282"/>
        <v>No</v>
      </c>
      <c r="H1442" s="12">
        <f t="shared" ca="1" si="290"/>
        <v>0</v>
      </c>
      <c r="I1442" s="10">
        <f t="shared" ca="1" si="283"/>
        <v>0</v>
      </c>
      <c r="J1442" s="13">
        <f t="shared" ca="1" si="284"/>
        <v>0</v>
      </c>
      <c r="K1442" s="14">
        <f t="shared" ca="1" si="285"/>
        <v>272.60000000000002</v>
      </c>
      <c r="L1442" s="14">
        <f t="shared" ca="1" si="286"/>
        <v>0</v>
      </c>
      <c r="M1442" s="15">
        <f t="shared" ca="1" si="287"/>
        <v>272.60000000000002</v>
      </c>
      <c r="N1442" s="16">
        <f ca="1">SUM($M$9:M1442)/A1442</f>
        <v>336.82831241283111</v>
      </c>
    </row>
    <row r="1443" spans="1:14" x14ac:dyDescent="0.25">
      <c r="A1443" s="8">
        <v>1435</v>
      </c>
      <c r="B1443" s="9">
        <f t="shared" ca="1" si="279"/>
        <v>1363</v>
      </c>
      <c r="C1443" s="10">
        <f t="shared" ca="1" si="280"/>
        <v>0</v>
      </c>
      <c r="D1443" s="11">
        <f t="shared" ca="1" si="288"/>
        <v>0.60436313163114452</v>
      </c>
      <c r="E1443" s="9">
        <f t="shared" ca="1" si="289"/>
        <v>413</v>
      </c>
      <c r="F1443" s="9">
        <f t="shared" ca="1" si="281"/>
        <v>950</v>
      </c>
      <c r="G1443" s="12" t="str">
        <f t="shared" ca="1" si="282"/>
        <v>Yes</v>
      </c>
      <c r="H1443" s="12">
        <f t="shared" ca="1" si="290"/>
        <v>0.17421087953941183</v>
      </c>
      <c r="I1443" s="10">
        <f t="shared" ca="1" si="283"/>
        <v>1</v>
      </c>
      <c r="J1443" s="13">
        <f t="shared" ca="1" si="284"/>
        <v>300</v>
      </c>
      <c r="K1443" s="14">
        <f t="shared" ca="1" si="285"/>
        <v>190</v>
      </c>
      <c r="L1443" s="14">
        <f t="shared" ca="1" si="286"/>
        <v>0</v>
      </c>
      <c r="M1443" s="15">
        <f t="shared" ca="1" si="287"/>
        <v>490</v>
      </c>
      <c r="N1443" s="16">
        <f ca="1">SUM($M$9:M1443)/A1443</f>
        <v>336.93505226480823</v>
      </c>
    </row>
    <row r="1444" spans="1:14" x14ac:dyDescent="0.25">
      <c r="A1444" s="8">
        <v>1436</v>
      </c>
      <c r="B1444" s="9">
        <f t="shared" ca="1" si="279"/>
        <v>2750</v>
      </c>
      <c r="C1444" s="10">
        <f t="shared" ca="1" si="280"/>
        <v>1800</v>
      </c>
      <c r="D1444" s="11">
        <f t="shared" ca="1" si="288"/>
        <v>0.92042844052423778</v>
      </c>
      <c r="E1444" s="9">
        <f t="shared" ca="1" si="289"/>
        <v>470</v>
      </c>
      <c r="F1444" s="9">
        <f t="shared" ca="1" si="281"/>
        <v>2280</v>
      </c>
      <c r="G1444" s="12" t="str">
        <f t="shared" ca="1" si="282"/>
        <v>No</v>
      </c>
      <c r="H1444" s="12">
        <f t="shared" ca="1" si="290"/>
        <v>0</v>
      </c>
      <c r="I1444" s="10">
        <f t="shared" ca="1" si="283"/>
        <v>0</v>
      </c>
      <c r="J1444" s="13">
        <f t="shared" ca="1" si="284"/>
        <v>0</v>
      </c>
      <c r="K1444" s="14">
        <f t="shared" ca="1" si="285"/>
        <v>456</v>
      </c>
      <c r="L1444" s="14">
        <f t="shared" ca="1" si="286"/>
        <v>0</v>
      </c>
      <c r="M1444" s="15">
        <f t="shared" ca="1" si="287"/>
        <v>456</v>
      </c>
      <c r="N1444" s="16">
        <f ca="1">SUM($M$9:M1444)/A1444</f>
        <v>337.01796657381601</v>
      </c>
    </row>
    <row r="1445" spans="1:14" x14ac:dyDescent="0.25">
      <c r="A1445" s="8">
        <v>1437</v>
      </c>
      <c r="B1445" s="9">
        <f t="shared" ca="1" si="279"/>
        <v>2280</v>
      </c>
      <c r="C1445" s="10">
        <f t="shared" ca="1" si="280"/>
        <v>0</v>
      </c>
      <c r="D1445" s="11">
        <f t="shared" ca="1" si="288"/>
        <v>0.42256342331511076</v>
      </c>
      <c r="E1445" s="9">
        <f t="shared" ca="1" si="289"/>
        <v>390</v>
      </c>
      <c r="F1445" s="9">
        <f t="shared" ca="1" si="281"/>
        <v>1890</v>
      </c>
      <c r="G1445" s="12" t="str">
        <f t="shared" ca="1" si="282"/>
        <v>No</v>
      </c>
      <c r="H1445" s="12">
        <f t="shared" ca="1" si="290"/>
        <v>0</v>
      </c>
      <c r="I1445" s="10">
        <f t="shared" ca="1" si="283"/>
        <v>0</v>
      </c>
      <c r="J1445" s="13">
        <f t="shared" ca="1" si="284"/>
        <v>0</v>
      </c>
      <c r="K1445" s="14">
        <f t="shared" ca="1" si="285"/>
        <v>378</v>
      </c>
      <c r="L1445" s="14">
        <f t="shared" ca="1" si="286"/>
        <v>0</v>
      </c>
      <c r="M1445" s="15">
        <f t="shared" ca="1" si="287"/>
        <v>378</v>
      </c>
      <c r="N1445" s="16">
        <f ca="1">SUM($M$9:M1445)/A1445</f>
        <v>337.0464857341683</v>
      </c>
    </row>
    <row r="1446" spans="1:14" x14ac:dyDescent="0.25">
      <c r="A1446" s="8">
        <v>1438</v>
      </c>
      <c r="B1446" s="9">
        <f t="shared" ca="1" si="279"/>
        <v>1890</v>
      </c>
      <c r="C1446" s="10">
        <f t="shared" ca="1" si="280"/>
        <v>0</v>
      </c>
      <c r="D1446" s="11">
        <f t="shared" ca="1" si="288"/>
        <v>0.21510713220127531</v>
      </c>
      <c r="E1446" s="9">
        <f t="shared" ca="1" si="289"/>
        <v>360</v>
      </c>
      <c r="F1446" s="9">
        <f t="shared" ca="1" si="281"/>
        <v>1530</v>
      </c>
      <c r="G1446" s="12" t="str">
        <f t="shared" ca="1" si="282"/>
        <v>No</v>
      </c>
      <c r="H1446" s="12">
        <f t="shared" ca="1" si="290"/>
        <v>0</v>
      </c>
      <c r="I1446" s="10">
        <f t="shared" ca="1" si="283"/>
        <v>0</v>
      </c>
      <c r="J1446" s="13">
        <f t="shared" ca="1" si="284"/>
        <v>0</v>
      </c>
      <c r="K1446" s="14">
        <f t="shared" ca="1" si="285"/>
        <v>306</v>
      </c>
      <c r="L1446" s="14">
        <f t="shared" ca="1" si="286"/>
        <v>0</v>
      </c>
      <c r="M1446" s="15">
        <f t="shared" ca="1" si="287"/>
        <v>306</v>
      </c>
      <c r="N1446" s="16">
        <f ca="1">SUM($M$9:M1446)/A1446</f>
        <v>337.02489568845607</v>
      </c>
    </row>
    <row r="1447" spans="1:14" x14ac:dyDescent="0.25">
      <c r="A1447" s="8">
        <v>1439</v>
      </c>
      <c r="B1447" s="9">
        <f t="shared" ca="1" si="279"/>
        <v>1530</v>
      </c>
      <c r="C1447" s="10">
        <f t="shared" ca="1" si="280"/>
        <v>0</v>
      </c>
      <c r="D1447" s="11">
        <f t="shared" ca="1" si="288"/>
        <v>1.2053509281005015E-2</v>
      </c>
      <c r="E1447" s="9">
        <f t="shared" ca="1" si="289"/>
        <v>287</v>
      </c>
      <c r="F1447" s="9">
        <f t="shared" ca="1" si="281"/>
        <v>1243</v>
      </c>
      <c r="G1447" s="12" t="str">
        <f t="shared" ca="1" si="282"/>
        <v>No</v>
      </c>
      <c r="H1447" s="12">
        <f t="shared" ca="1" si="290"/>
        <v>0</v>
      </c>
      <c r="I1447" s="10">
        <f t="shared" ca="1" si="283"/>
        <v>0</v>
      </c>
      <c r="J1447" s="13">
        <f t="shared" ca="1" si="284"/>
        <v>0</v>
      </c>
      <c r="K1447" s="14">
        <f t="shared" ca="1" si="285"/>
        <v>248.60000000000002</v>
      </c>
      <c r="L1447" s="14">
        <f t="shared" ca="1" si="286"/>
        <v>0</v>
      </c>
      <c r="M1447" s="15">
        <f t="shared" ca="1" si="287"/>
        <v>248.60000000000002</v>
      </c>
      <c r="N1447" s="16">
        <f ca="1">SUM($M$9:M1447)/A1447</f>
        <v>336.96344683808184</v>
      </c>
    </row>
    <row r="1448" spans="1:14" x14ac:dyDescent="0.25">
      <c r="A1448" s="8">
        <v>1440</v>
      </c>
      <c r="B1448" s="9">
        <f t="shared" ca="1" si="279"/>
        <v>1243</v>
      </c>
      <c r="C1448" s="10">
        <f t="shared" ca="1" si="280"/>
        <v>0</v>
      </c>
      <c r="D1448" s="11">
        <f t="shared" ca="1" si="288"/>
        <v>2.394872470167364E-2</v>
      </c>
      <c r="E1448" s="9">
        <f t="shared" ca="1" si="289"/>
        <v>301</v>
      </c>
      <c r="F1448" s="9">
        <f t="shared" ca="1" si="281"/>
        <v>942</v>
      </c>
      <c r="G1448" s="12" t="str">
        <f t="shared" ca="1" si="282"/>
        <v>Yes</v>
      </c>
      <c r="H1448" s="12">
        <f t="shared" ca="1" si="290"/>
        <v>8.2409310532380875E-2</v>
      </c>
      <c r="I1448" s="10">
        <f t="shared" ca="1" si="283"/>
        <v>1</v>
      </c>
      <c r="J1448" s="13">
        <f t="shared" ca="1" si="284"/>
        <v>300</v>
      </c>
      <c r="K1448" s="14">
        <f t="shared" ca="1" si="285"/>
        <v>188.4</v>
      </c>
      <c r="L1448" s="14">
        <f t="shared" ca="1" si="286"/>
        <v>0</v>
      </c>
      <c r="M1448" s="15">
        <f t="shared" ca="1" si="287"/>
        <v>488.4</v>
      </c>
      <c r="N1448" s="16">
        <f ca="1">SUM($M$9:M1448)/A1448</f>
        <v>337.06861111111095</v>
      </c>
    </row>
    <row r="1449" spans="1:14" x14ac:dyDescent="0.25">
      <c r="A1449" s="8">
        <v>1441</v>
      </c>
      <c r="B1449" s="9">
        <f t="shared" ca="1" si="279"/>
        <v>2742</v>
      </c>
      <c r="C1449" s="10">
        <f t="shared" ca="1" si="280"/>
        <v>1800</v>
      </c>
      <c r="D1449" s="11">
        <f t="shared" ca="1" si="288"/>
        <v>0.17691145702110345</v>
      </c>
      <c r="E1449" s="9">
        <f t="shared" ca="1" si="289"/>
        <v>353</v>
      </c>
      <c r="F1449" s="9">
        <f t="shared" ca="1" si="281"/>
        <v>2389</v>
      </c>
      <c r="G1449" s="12" t="str">
        <f t="shared" ca="1" si="282"/>
        <v>No</v>
      </c>
      <c r="H1449" s="12">
        <f t="shared" ca="1" si="290"/>
        <v>0</v>
      </c>
      <c r="I1449" s="10">
        <f t="shared" ca="1" si="283"/>
        <v>0</v>
      </c>
      <c r="J1449" s="13">
        <f t="shared" ca="1" si="284"/>
        <v>0</v>
      </c>
      <c r="K1449" s="14">
        <f t="shared" ca="1" si="285"/>
        <v>477.8</v>
      </c>
      <c r="L1449" s="14">
        <f t="shared" ca="1" si="286"/>
        <v>0</v>
      </c>
      <c r="M1449" s="15">
        <f t="shared" ca="1" si="287"/>
        <v>477.8</v>
      </c>
      <c r="N1449" s="16">
        <f ca="1">SUM($M$9:M1449)/A1449</f>
        <v>337.16627342123513</v>
      </c>
    </row>
    <row r="1450" spans="1:14" x14ac:dyDescent="0.25">
      <c r="A1450" s="8">
        <v>1442</v>
      </c>
      <c r="B1450" s="9">
        <f t="shared" ca="1" si="279"/>
        <v>2389</v>
      </c>
      <c r="C1450" s="10">
        <f t="shared" ca="1" si="280"/>
        <v>0</v>
      </c>
      <c r="D1450" s="11">
        <f t="shared" ca="1" si="288"/>
        <v>0.69840015375433384</v>
      </c>
      <c r="E1450" s="9">
        <f t="shared" ca="1" si="289"/>
        <v>425</v>
      </c>
      <c r="F1450" s="9">
        <f t="shared" ca="1" si="281"/>
        <v>1964</v>
      </c>
      <c r="G1450" s="12" t="str">
        <f t="shared" ca="1" si="282"/>
        <v>No</v>
      </c>
      <c r="H1450" s="12">
        <f t="shared" ca="1" si="290"/>
        <v>0</v>
      </c>
      <c r="I1450" s="10">
        <f t="shared" ca="1" si="283"/>
        <v>0</v>
      </c>
      <c r="J1450" s="13">
        <f t="shared" ca="1" si="284"/>
        <v>0</v>
      </c>
      <c r="K1450" s="14">
        <f t="shared" ca="1" si="285"/>
        <v>392.8</v>
      </c>
      <c r="L1450" s="14">
        <f t="shared" ca="1" si="286"/>
        <v>0</v>
      </c>
      <c r="M1450" s="15">
        <f t="shared" ca="1" si="287"/>
        <v>392.8</v>
      </c>
      <c r="N1450" s="16">
        <f ca="1">SUM($M$9:M1450)/A1450</f>
        <v>337.20485436893188</v>
      </c>
    </row>
    <row r="1451" spans="1:14" x14ac:dyDescent="0.25">
      <c r="A1451" s="8">
        <v>1443</v>
      </c>
      <c r="B1451" s="9">
        <f t="shared" ca="1" si="279"/>
        <v>1964</v>
      </c>
      <c r="C1451" s="10">
        <f t="shared" ca="1" si="280"/>
        <v>0</v>
      </c>
      <c r="D1451" s="11">
        <f t="shared" ca="1" si="288"/>
        <v>0.62675029948308103</v>
      </c>
      <c r="E1451" s="9">
        <f t="shared" ca="1" si="289"/>
        <v>416</v>
      </c>
      <c r="F1451" s="9">
        <f t="shared" ca="1" si="281"/>
        <v>1548</v>
      </c>
      <c r="G1451" s="12" t="str">
        <f t="shared" ca="1" si="282"/>
        <v>No</v>
      </c>
      <c r="H1451" s="12">
        <f t="shared" ca="1" si="290"/>
        <v>0</v>
      </c>
      <c r="I1451" s="10">
        <f t="shared" ca="1" si="283"/>
        <v>0</v>
      </c>
      <c r="J1451" s="13">
        <f t="shared" ca="1" si="284"/>
        <v>0</v>
      </c>
      <c r="K1451" s="14">
        <f t="shared" ca="1" si="285"/>
        <v>309.60000000000002</v>
      </c>
      <c r="L1451" s="14">
        <f t="shared" ca="1" si="286"/>
        <v>0</v>
      </c>
      <c r="M1451" s="15">
        <f t="shared" ca="1" si="287"/>
        <v>309.60000000000002</v>
      </c>
      <c r="N1451" s="16">
        <f ca="1">SUM($M$9:M1451)/A1451</f>
        <v>337.18572418572404</v>
      </c>
    </row>
    <row r="1452" spans="1:14" x14ac:dyDescent="0.25">
      <c r="A1452" s="8">
        <v>1444</v>
      </c>
      <c r="B1452" s="9">
        <f t="shared" ca="1" si="279"/>
        <v>1548</v>
      </c>
      <c r="C1452" s="10">
        <f t="shared" ca="1" si="280"/>
        <v>0</v>
      </c>
      <c r="D1452" s="11">
        <f t="shared" ca="1" si="288"/>
        <v>0.53152163496286342</v>
      </c>
      <c r="E1452" s="9">
        <f t="shared" ca="1" si="289"/>
        <v>403</v>
      </c>
      <c r="F1452" s="9">
        <f t="shared" ca="1" si="281"/>
        <v>1145</v>
      </c>
      <c r="G1452" s="12" t="str">
        <f t="shared" ca="1" si="282"/>
        <v>No</v>
      </c>
      <c r="H1452" s="12">
        <f t="shared" ca="1" si="290"/>
        <v>0</v>
      </c>
      <c r="I1452" s="10">
        <f t="shared" ca="1" si="283"/>
        <v>0</v>
      </c>
      <c r="J1452" s="13">
        <f t="shared" ca="1" si="284"/>
        <v>0</v>
      </c>
      <c r="K1452" s="14">
        <f t="shared" ca="1" si="285"/>
        <v>229</v>
      </c>
      <c r="L1452" s="14">
        <f t="shared" ca="1" si="286"/>
        <v>0</v>
      </c>
      <c r="M1452" s="15">
        <f t="shared" ca="1" si="287"/>
        <v>229</v>
      </c>
      <c r="N1452" s="16">
        <f ca="1">SUM($M$9:M1452)/A1452</f>
        <v>337.11080332409955</v>
      </c>
    </row>
    <row r="1453" spans="1:14" x14ac:dyDescent="0.25">
      <c r="A1453" s="8">
        <v>1445</v>
      </c>
      <c r="B1453" s="9">
        <f t="shared" ca="1" si="279"/>
        <v>1145</v>
      </c>
      <c r="C1453" s="10">
        <f t="shared" ca="1" si="280"/>
        <v>0</v>
      </c>
      <c r="D1453" s="11">
        <f t="shared" ca="1" si="288"/>
        <v>0.15154245151453427</v>
      </c>
      <c r="E1453" s="9">
        <f t="shared" ca="1" si="289"/>
        <v>348</v>
      </c>
      <c r="F1453" s="9">
        <f t="shared" ca="1" si="281"/>
        <v>797</v>
      </c>
      <c r="G1453" s="12" t="str">
        <f t="shared" ca="1" si="282"/>
        <v>Yes</v>
      </c>
      <c r="H1453" s="12">
        <f t="shared" ca="1" si="290"/>
        <v>4.7427416479174589E-2</v>
      </c>
      <c r="I1453" s="10">
        <f t="shared" ca="1" si="283"/>
        <v>1</v>
      </c>
      <c r="J1453" s="13">
        <f t="shared" ca="1" si="284"/>
        <v>300</v>
      </c>
      <c r="K1453" s="14">
        <f t="shared" ca="1" si="285"/>
        <v>159.4</v>
      </c>
      <c r="L1453" s="14">
        <f t="shared" ca="1" si="286"/>
        <v>0</v>
      </c>
      <c r="M1453" s="15">
        <f t="shared" ca="1" si="287"/>
        <v>459.4</v>
      </c>
      <c r="N1453" s="16">
        <f ca="1">SUM($M$9:M1453)/A1453</f>
        <v>337.19543252595139</v>
      </c>
    </row>
    <row r="1454" spans="1:14" x14ac:dyDescent="0.25">
      <c r="A1454" s="8">
        <v>1446</v>
      </c>
      <c r="B1454" s="9">
        <f t="shared" ca="1" si="279"/>
        <v>2597</v>
      </c>
      <c r="C1454" s="10">
        <f t="shared" ca="1" si="280"/>
        <v>1800</v>
      </c>
      <c r="D1454" s="11">
        <f t="shared" ca="1" si="288"/>
        <v>0.59160532597749682</v>
      </c>
      <c r="E1454" s="9">
        <f t="shared" ca="1" si="289"/>
        <v>411</v>
      </c>
      <c r="F1454" s="9">
        <f t="shared" ca="1" si="281"/>
        <v>2186</v>
      </c>
      <c r="G1454" s="12" t="str">
        <f t="shared" ca="1" si="282"/>
        <v>No</v>
      </c>
      <c r="H1454" s="12">
        <f t="shared" ca="1" si="290"/>
        <v>0</v>
      </c>
      <c r="I1454" s="10">
        <f t="shared" ca="1" si="283"/>
        <v>0</v>
      </c>
      <c r="J1454" s="13">
        <f t="shared" ca="1" si="284"/>
        <v>0</v>
      </c>
      <c r="K1454" s="14">
        <f t="shared" ca="1" si="285"/>
        <v>437.20000000000005</v>
      </c>
      <c r="L1454" s="14">
        <f t="shared" ca="1" si="286"/>
        <v>0</v>
      </c>
      <c r="M1454" s="15">
        <f t="shared" ca="1" si="287"/>
        <v>437.20000000000005</v>
      </c>
      <c r="N1454" s="16">
        <f ca="1">SUM($M$9:M1454)/A1454</f>
        <v>337.26459197786983</v>
      </c>
    </row>
    <row r="1455" spans="1:14" x14ac:dyDescent="0.25">
      <c r="A1455" s="8">
        <v>1447</v>
      </c>
      <c r="B1455" s="9">
        <f t="shared" ca="1" si="279"/>
        <v>2186</v>
      </c>
      <c r="C1455" s="10">
        <f t="shared" ca="1" si="280"/>
        <v>0</v>
      </c>
      <c r="D1455" s="11">
        <f t="shared" ca="1" si="288"/>
        <v>0.72384586979687437</v>
      </c>
      <c r="E1455" s="9">
        <f t="shared" ca="1" si="289"/>
        <v>429</v>
      </c>
      <c r="F1455" s="9">
        <f t="shared" ca="1" si="281"/>
        <v>1757</v>
      </c>
      <c r="G1455" s="12" t="str">
        <f t="shared" ca="1" si="282"/>
        <v>No</v>
      </c>
      <c r="H1455" s="12">
        <f t="shared" ca="1" si="290"/>
        <v>0</v>
      </c>
      <c r="I1455" s="10">
        <f t="shared" ca="1" si="283"/>
        <v>0</v>
      </c>
      <c r="J1455" s="13">
        <f t="shared" ca="1" si="284"/>
        <v>0</v>
      </c>
      <c r="K1455" s="14">
        <f t="shared" ca="1" si="285"/>
        <v>351.40000000000003</v>
      </c>
      <c r="L1455" s="14">
        <f t="shared" ca="1" si="286"/>
        <v>0</v>
      </c>
      <c r="M1455" s="15">
        <f t="shared" ca="1" si="287"/>
        <v>351.40000000000003</v>
      </c>
      <c r="N1455" s="16">
        <f ca="1">SUM($M$9:M1455)/A1455</f>
        <v>337.27436074637166</v>
      </c>
    </row>
    <row r="1456" spans="1:14" x14ac:dyDescent="0.25">
      <c r="A1456" s="8">
        <v>1448</v>
      </c>
      <c r="B1456" s="9">
        <f t="shared" ca="1" si="279"/>
        <v>1757</v>
      </c>
      <c r="C1456" s="10">
        <f t="shared" ca="1" si="280"/>
        <v>0</v>
      </c>
      <c r="D1456" s="11">
        <f t="shared" ca="1" si="288"/>
        <v>0.42158565579296814</v>
      </c>
      <c r="E1456" s="9">
        <f t="shared" ca="1" si="289"/>
        <v>390</v>
      </c>
      <c r="F1456" s="9">
        <f t="shared" ca="1" si="281"/>
        <v>1367</v>
      </c>
      <c r="G1456" s="12" t="str">
        <f t="shared" ca="1" si="282"/>
        <v>No</v>
      </c>
      <c r="H1456" s="12">
        <f t="shared" ca="1" si="290"/>
        <v>0</v>
      </c>
      <c r="I1456" s="10">
        <f t="shared" ca="1" si="283"/>
        <v>0</v>
      </c>
      <c r="J1456" s="13">
        <f t="shared" ca="1" si="284"/>
        <v>0</v>
      </c>
      <c r="K1456" s="14">
        <f t="shared" ca="1" si="285"/>
        <v>273.40000000000003</v>
      </c>
      <c r="L1456" s="14">
        <f t="shared" ca="1" si="286"/>
        <v>0</v>
      </c>
      <c r="M1456" s="15">
        <f t="shared" ca="1" si="287"/>
        <v>273.40000000000003</v>
      </c>
      <c r="N1456" s="16">
        <f ca="1">SUM($M$9:M1456)/A1456</f>
        <v>337.2302486187844</v>
      </c>
    </row>
    <row r="1457" spans="1:14" x14ac:dyDescent="0.25">
      <c r="A1457" s="8">
        <v>1449</v>
      </c>
      <c r="B1457" s="9">
        <f t="shared" ca="1" si="279"/>
        <v>1367</v>
      </c>
      <c r="C1457" s="10">
        <f t="shared" ca="1" si="280"/>
        <v>0</v>
      </c>
      <c r="D1457" s="11">
        <f t="shared" ca="1" si="288"/>
        <v>0.91526782847472754</v>
      </c>
      <c r="E1457" s="9">
        <f t="shared" ca="1" si="289"/>
        <v>468</v>
      </c>
      <c r="F1457" s="9">
        <f t="shared" ca="1" si="281"/>
        <v>899</v>
      </c>
      <c r="G1457" s="12" t="str">
        <f t="shared" ca="1" si="282"/>
        <v>Yes</v>
      </c>
      <c r="H1457" s="12">
        <f t="shared" ca="1" si="290"/>
        <v>0.74099525112082254</v>
      </c>
      <c r="I1457" s="10">
        <f t="shared" ca="1" si="283"/>
        <v>2</v>
      </c>
      <c r="J1457" s="13">
        <f t="shared" ca="1" si="284"/>
        <v>300</v>
      </c>
      <c r="K1457" s="14">
        <f t="shared" ca="1" si="285"/>
        <v>179.8</v>
      </c>
      <c r="L1457" s="14">
        <f t="shared" ca="1" si="286"/>
        <v>0</v>
      </c>
      <c r="M1457" s="15">
        <f t="shared" ca="1" si="287"/>
        <v>479.8</v>
      </c>
      <c r="N1457" s="16">
        <f ca="1">SUM($M$9:M1457)/A1457</f>
        <v>337.32864044168383</v>
      </c>
    </row>
    <row r="1458" spans="1:14" x14ac:dyDescent="0.25">
      <c r="A1458" s="8">
        <v>1450</v>
      </c>
      <c r="B1458" s="9">
        <f t="shared" ca="1" si="279"/>
        <v>899</v>
      </c>
      <c r="C1458" s="10">
        <f t="shared" ca="1" si="280"/>
        <v>0</v>
      </c>
      <c r="D1458" s="11">
        <f t="shared" ca="1" si="288"/>
        <v>0.57691320873186491</v>
      </c>
      <c r="E1458" s="9">
        <f t="shared" ca="1" si="289"/>
        <v>409</v>
      </c>
      <c r="F1458" s="9">
        <f t="shared" ca="1" si="281"/>
        <v>490</v>
      </c>
      <c r="G1458" s="12" t="str">
        <f t="shared" ca="1" si="282"/>
        <v>No</v>
      </c>
      <c r="H1458" s="12">
        <f t="shared" ca="1" si="290"/>
        <v>0</v>
      </c>
      <c r="I1458" s="10">
        <f t="shared" ca="1" si="283"/>
        <v>1</v>
      </c>
      <c r="J1458" s="13">
        <f t="shared" ca="1" si="284"/>
        <v>0</v>
      </c>
      <c r="K1458" s="14">
        <f t="shared" ca="1" si="285"/>
        <v>98</v>
      </c>
      <c r="L1458" s="14">
        <f t="shared" ca="1" si="286"/>
        <v>0</v>
      </c>
      <c r="M1458" s="15">
        <f t="shared" ca="1" si="287"/>
        <v>98</v>
      </c>
      <c r="N1458" s="16">
        <f ca="1">SUM($M$9:M1458)/A1458</f>
        <v>337.16358620689641</v>
      </c>
    </row>
    <row r="1459" spans="1:14" x14ac:dyDescent="0.25">
      <c r="A1459" s="8">
        <v>1451</v>
      </c>
      <c r="B1459" s="9">
        <f t="shared" ca="1" si="279"/>
        <v>2290</v>
      </c>
      <c r="C1459" s="10">
        <f t="shared" ca="1" si="280"/>
        <v>1800</v>
      </c>
      <c r="D1459" s="11">
        <f t="shared" ca="1" si="288"/>
        <v>0.14819571102785589</v>
      </c>
      <c r="E1459" s="9">
        <f t="shared" ca="1" si="289"/>
        <v>347</v>
      </c>
      <c r="F1459" s="9">
        <f t="shared" ca="1" si="281"/>
        <v>1943</v>
      </c>
      <c r="G1459" s="12" t="str">
        <f t="shared" ca="1" si="282"/>
        <v>No</v>
      </c>
      <c r="H1459" s="12">
        <f t="shared" ca="1" si="290"/>
        <v>0</v>
      </c>
      <c r="I1459" s="10">
        <f t="shared" ca="1" si="283"/>
        <v>0</v>
      </c>
      <c r="J1459" s="13">
        <f t="shared" ca="1" si="284"/>
        <v>0</v>
      </c>
      <c r="K1459" s="14">
        <f t="shared" ca="1" si="285"/>
        <v>388.6</v>
      </c>
      <c r="L1459" s="14">
        <f t="shared" ca="1" si="286"/>
        <v>0</v>
      </c>
      <c r="M1459" s="15">
        <f t="shared" ca="1" si="287"/>
        <v>388.6</v>
      </c>
      <c r="N1459" s="16">
        <f ca="1">SUM($M$9:M1459)/A1459</f>
        <v>337.19903514817355</v>
      </c>
    </row>
    <row r="1460" spans="1:14" x14ac:dyDescent="0.25">
      <c r="A1460" s="8">
        <v>1452</v>
      </c>
      <c r="B1460" s="9">
        <f t="shared" ca="1" si="279"/>
        <v>1943</v>
      </c>
      <c r="C1460" s="10">
        <f t="shared" ca="1" si="280"/>
        <v>0</v>
      </c>
      <c r="D1460" s="11">
        <f t="shared" ca="1" si="288"/>
        <v>0.6896375287002029</v>
      </c>
      <c r="E1460" s="9">
        <f t="shared" ca="1" si="289"/>
        <v>424</v>
      </c>
      <c r="F1460" s="9">
        <f t="shared" ca="1" si="281"/>
        <v>1519</v>
      </c>
      <c r="G1460" s="12" t="str">
        <f t="shared" ca="1" si="282"/>
        <v>No</v>
      </c>
      <c r="H1460" s="12">
        <f t="shared" ca="1" si="290"/>
        <v>0</v>
      </c>
      <c r="I1460" s="10">
        <f t="shared" ca="1" si="283"/>
        <v>0</v>
      </c>
      <c r="J1460" s="13">
        <f t="shared" ca="1" si="284"/>
        <v>0</v>
      </c>
      <c r="K1460" s="14">
        <f t="shared" ca="1" si="285"/>
        <v>303.8</v>
      </c>
      <c r="L1460" s="14">
        <f t="shared" ca="1" si="286"/>
        <v>0</v>
      </c>
      <c r="M1460" s="15">
        <f t="shared" ca="1" si="287"/>
        <v>303.8</v>
      </c>
      <c r="N1460" s="16">
        <f ca="1">SUM($M$9:M1460)/A1460</f>
        <v>337.1760330578511</v>
      </c>
    </row>
    <row r="1461" spans="1:14" x14ac:dyDescent="0.25">
      <c r="A1461" s="8">
        <v>1453</v>
      </c>
      <c r="B1461" s="9">
        <f t="shared" ca="1" si="279"/>
        <v>1519</v>
      </c>
      <c r="C1461" s="10">
        <f t="shared" ca="1" si="280"/>
        <v>0</v>
      </c>
      <c r="D1461" s="11">
        <f t="shared" ca="1" si="288"/>
        <v>0.78937085138225893</v>
      </c>
      <c r="E1461" s="9">
        <f t="shared" ca="1" si="289"/>
        <v>440</v>
      </c>
      <c r="F1461" s="9">
        <f t="shared" ca="1" si="281"/>
        <v>1079</v>
      </c>
      <c r="G1461" s="12" t="str">
        <f t="shared" ca="1" si="282"/>
        <v>No</v>
      </c>
      <c r="H1461" s="12">
        <f t="shared" ca="1" si="290"/>
        <v>0</v>
      </c>
      <c r="I1461" s="10">
        <f t="shared" ca="1" si="283"/>
        <v>0</v>
      </c>
      <c r="J1461" s="13">
        <f t="shared" ca="1" si="284"/>
        <v>0</v>
      </c>
      <c r="K1461" s="14">
        <f t="shared" ca="1" si="285"/>
        <v>215.8</v>
      </c>
      <c r="L1461" s="14">
        <f t="shared" ca="1" si="286"/>
        <v>0</v>
      </c>
      <c r="M1461" s="15">
        <f t="shared" ca="1" si="287"/>
        <v>215.8</v>
      </c>
      <c r="N1461" s="16">
        <f ca="1">SUM($M$9:M1461)/A1461</f>
        <v>337.09249827942176</v>
      </c>
    </row>
    <row r="1462" spans="1:14" x14ac:dyDescent="0.25">
      <c r="A1462" s="8">
        <v>1454</v>
      </c>
      <c r="B1462" s="9">
        <f t="shared" ca="1" si="279"/>
        <v>1079</v>
      </c>
      <c r="C1462" s="10">
        <f t="shared" ca="1" si="280"/>
        <v>0</v>
      </c>
      <c r="D1462" s="11">
        <f t="shared" ca="1" si="288"/>
        <v>0.87609820229060764</v>
      </c>
      <c r="E1462" s="9">
        <f t="shared" ca="1" si="289"/>
        <v>457</v>
      </c>
      <c r="F1462" s="9">
        <f t="shared" ca="1" si="281"/>
        <v>622</v>
      </c>
      <c r="G1462" s="12" t="str">
        <f t="shared" ca="1" si="282"/>
        <v>Yes</v>
      </c>
      <c r="H1462" s="12">
        <f t="shared" ca="1" si="290"/>
        <v>0.43223461856930345</v>
      </c>
      <c r="I1462" s="10">
        <f t="shared" ca="1" si="283"/>
        <v>1</v>
      </c>
      <c r="J1462" s="13">
        <f t="shared" ca="1" si="284"/>
        <v>300</v>
      </c>
      <c r="K1462" s="14">
        <f t="shared" ca="1" si="285"/>
        <v>124.4</v>
      </c>
      <c r="L1462" s="14">
        <f t="shared" ca="1" si="286"/>
        <v>0</v>
      </c>
      <c r="M1462" s="15">
        <f t="shared" ca="1" si="287"/>
        <v>424.4</v>
      </c>
      <c r="N1462" s="16">
        <f ca="1">SUM($M$9:M1462)/A1462</f>
        <v>337.15254470426396</v>
      </c>
    </row>
    <row r="1463" spans="1:14" x14ac:dyDescent="0.25">
      <c r="A1463" s="8">
        <v>1455</v>
      </c>
      <c r="B1463" s="9">
        <f t="shared" ca="1" si="279"/>
        <v>2422</v>
      </c>
      <c r="C1463" s="10">
        <f t="shared" ca="1" si="280"/>
        <v>1800</v>
      </c>
      <c r="D1463" s="11">
        <f t="shared" ca="1" si="288"/>
        <v>0.17323258736564595</v>
      </c>
      <c r="E1463" s="9">
        <f t="shared" ca="1" si="289"/>
        <v>352</v>
      </c>
      <c r="F1463" s="9">
        <f t="shared" ca="1" si="281"/>
        <v>2070</v>
      </c>
      <c r="G1463" s="12" t="str">
        <f t="shared" ca="1" si="282"/>
        <v>No</v>
      </c>
      <c r="H1463" s="12">
        <f t="shared" ca="1" si="290"/>
        <v>0</v>
      </c>
      <c r="I1463" s="10">
        <f t="shared" ca="1" si="283"/>
        <v>0</v>
      </c>
      <c r="J1463" s="13">
        <f t="shared" ca="1" si="284"/>
        <v>0</v>
      </c>
      <c r="K1463" s="14">
        <f t="shared" ca="1" si="285"/>
        <v>414</v>
      </c>
      <c r="L1463" s="14">
        <f t="shared" ca="1" si="286"/>
        <v>0</v>
      </c>
      <c r="M1463" s="15">
        <f t="shared" ca="1" si="287"/>
        <v>414</v>
      </c>
      <c r="N1463" s="16">
        <f ca="1">SUM($M$9:M1463)/A1463</f>
        <v>337.20536082474212</v>
      </c>
    </row>
    <row r="1464" spans="1:14" x14ac:dyDescent="0.25">
      <c r="A1464" s="8">
        <v>1456</v>
      </c>
      <c r="B1464" s="9">
        <f t="shared" ca="1" si="279"/>
        <v>2070</v>
      </c>
      <c r="C1464" s="10">
        <f t="shared" ca="1" si="280"/>
        <v>0</v>
      </c>
      <c r="D1464" s="11">
        <f t="shared" ca="1" si="288"/>
        <v>0.87587730439328237</v>
      </c>
      <c r="E1464" s="9">
        <f t="shared" ca="1" si="289"/>
        <v>457</v>
      </c>
      <c r="F1464" s="9">
        <f t="shared" ca="1" si="281"/>
        <v>1613</v>
      </c>
      <c r="G1464" s="12" t="str">
        <f t="shared" ca="1" si="282"/>
        <v>No</v>
      </c>
      <c r="H1464" s="12">
        <f t="shared" ca="1" si="290"/>
        <v>0</v>
      </c>
      <c r="I1464" s="10">
        <f t="shared" ca="1" si="283"/>
        <v>0</v>
      </c>
      <c r="J1464" s="13">
        <f t="shared" ca="1" si="284"/>
        <v>0</v>
      </c>
      <c r="K1464" s="14">
        <f t="shared" ca="1" si="285"/>
        <v>322.60000000000002</v>
      </c>
      <c r="L1464" s="14">
        <f t="shared" ca="1" si="286"/>
        <v>0</v>
      </c>
      <c r="M1464" s="15">
        <f t="shared" ca="1" si="287"/>
        <v>322.60000000000002</v>
      </c>
      <c r="N1464" s="16">
        <f ca="1">SUM($M$9:M1464)/A1464</f>
        <v>337.1953296703295</v>
      </c>
    </row>
    <row r="1465" spans="1:14" x14ac:dyDescent="0.25">
      <c r="A1465" s="8">
        <v>1457</v>
      </c>
      <c r="B1465" s="9">
        <f t="shared" ca="1" si="279"/>
        <v>1613</v>
      </c>
      <c r="C1465" s="10">
        <f t="shared" ca="1" si="280"/>
        <v>0</v>
      </c>
      <c r="D1465" s="11">
        <f t="shared" ca="1" si="288"/>
        <v>0.83273682743696309</v>
      </c>
      <c r="E1465" s="9">
        <f t="shared" ca="1" si="289"/>
        <v>448</v>
      </c>
      <c r="F1465" s="9">
        <f t="shared" ca="1" si="281"/>
        <v>1165</v>
      </c>
      <c r="G1465" s="12" t="str">
        <f t="shared" ca="1" si="282"/>
        <v>No</v>
      </c>
      <c r="H1465" s="12">
        <f t="shared" ca="1" si="290"/>
        <v>0</v>
      </c>
      <c r="I1465" s="10">
        <f t="shared" ca="1" si="283"/>
        <v>0</v>
      </c>
      <c r="J1465" s="13">
        <f t="shared" ca="1" si="284"/>
        <v>0</v>
      </c>
      <c r="K1465" s="14">
        <f t="shared" ca="1" si="285"/>
        <v>233</v>
      </c>
      <c r="L1465" s="14">
        <f t="shared" ca="1" si="286"/>
        <v>0</v>
      </c>
      <c r="M1465" s="15">
        <f t="shared" ca="1" si="287"/>
        <v>233</v>
      </c>
      <c r="N1465" s="16">
        <f ca="1">SUM($M$9:M1465)/A1465</f>
        <v>337.12381606039793</v>
      </c>
    </row>
    <row r="1466" spans="1:14" x14ac:dyDescent="0.25">
      <c r="A1466" s="8">
        <v>1458</v>
      </c>
      <c r="B1466" s="9">
        <f t="shared" ca="1" si="279"/>
        <v>1165</v>
      </c>
      <c r="C1466" s="10">
        <f t="shared" ca="1" si="280"/>
        <v>0</v>
      </c>
      <c r="D1466" s="11">
        <f t="shared" ca="1" si="288"/>
        <v>8.1126525836813235E-2</v>
      </c>
      <c r="E1466" s="9">
        <f t="shared" ca="1" si="289"/>
        <v>330</v>
      </c>
      <c r="F1466" s="9">
        <f t="shared" ca="1" si="281"/>
        <v>835</v>
      </c>
      <c r="G1466" s="12" t="str">
        <f t="shared" ca="1" si="282"/>
        <v>Yes</v>
      </c>
      <c r="H1466" s="12">
        <f t="shared" ca="1" si="290"/>
        <v>0.32929643580984069</v>
      </c>
      <c r="I1466" s="10">
        <f t="shared" ca="1" si="283"/>
        <v>1</v>
      </c>
      <c r="J1466" s="13">
        <f t="shared" ca="1" si="284"/>
        <v>300</v>
      </c>
      <c r="K1466" s="14">
        <f t="shared" ca="1" si="285"/>
        <v>167</v>
      </c>
      <c r="L1466" s="14">
        <f t="shared" ca="1" si="286"/>
        <v>0</v>
      </c>
      <c r="M1466" s="15">
        <f t="shared" ca="1" si="287"/>
        <v>467</v>
      </c>
      <c r="N1466" s="16">
        <f ca="1">SUM($M$9:M1466)/A1466</f>
        <v>337.21289437585722</v>
      </c>
    </row>
    <row r="1467" spans="1:14" x14ac:dyDescent="0.25">
      <c r="A1467" s="8">
        <v>1459</v>
      </c>
      <c r="B1467" s="9">
        <f t="shared" ca="1" si="279"/>
        <v>2635</v>
      </c>
      <c r="C1467" s="10">
        <f t="shared" ca="1" si="280"/>
        <v>1800</v>
      </c>
      <c r="D1467" s="11">
        <f t="shared" ca="1" si="288"/>
        <v>2.4620624638610034E-2</v>
      </c>
      <c r="E1467" s="9">
        <f t="shared" ca="1" si="289"/>
        <v>301</v>
      </c>
      <c r="F1467" s="9">
        <f t="shared" ca="1" si="281"/>
        <v>2334</v>
      </c>
      <c r="G1467" s="12" t="str">
        <f t="shared" ca="1" si="282"/>
        <v>No</v>
      </c>
      <c r="H1467" s="12">
        <f t="shared" ca="1" si="290"/>
        <v>0</v>
      </c>
      <c r="I1467" s="10">
        <f t="shared" ca="1" si="283"/>
        <v>0</v>
      </c>
      <c r="J1467" s="13">
        <f t="shared" ca="1" si="284"/>
        <v>0</v>
      </c>
      <c r="K1467" s="14">
        <f t="shared" ca="1" si="285"/>
        <v>466.8</v>
      </c>
      <c r="L1467" s="14">
        <f t="shared" ca="1" si="286"/>
        <v>0</v>
      </c>
      <c r="M1467" s="15">
        <f t="shared" ca="1" si="287"/>
        <v>466.8</v>
      </c>
      <c r="N1467" s="16">
        <f ca="1">SUM($M$9:M1467)/A1467</f>
        <v>337.30171350239874</v>
      </c>
    </row>
    <row r="1468" spans="1:14" x14ac:dyDescent="0.25">
      <c r="A1468" s="8">
        <v>1460</v>
      </c>
      <c r="B1468" s="9">
        <f t="shared" ca="1" si="279"/>
        <v>2334</v>
      </c>
      <c r="C1468" s="10">
        <f t="shared" ca="1" si="280"/>
        <v>0</v>
      </c>
      <c r="D1468" s="11">
        <f t="shared" ca="1" si="288"/>
        <v>0.20913351328310903</v>
      </c>
      <c r="E1468" s="9">
        <f t="shared" ca="1" si="289"/>
        <v>359</v>
      </c>
      <c r="F1468" s="9">
        <f t="shared" ca="1" si="281"/>
        <v>1975</v>
      </c>
      <c r="G1468" s="12" t="str">
        <f t="shared" ca="1" si="282"/>
        <v>No</v>
      </c>
      <c r="H1468" s="12">
        <f t="shared" ca="1" si="290"/>
        <v>0</v>
      </c>
      <c r="I1468" s="10">
        <f t="shared" ca="1" si="283"/>
        <v>0</v>
      </c>
      <c r="J1468" s="13">
        <f t="shared" ca="1" si="284"/>
        <v>0</v>
      </c>
      <c r="K1468" s="14">
        <f t="shared" ca="1" si="285"/>
        <v>395</v>
      </c>
      <c r="L1468" s="14">
        <f t="shared" ca="1" si="286"/>
        <v>0</v>
      </c>
      <c r="M1468" s="15">
        <f t="shared" ca="1" si="287"/>
        <v>395</v>
      </c>
      <c r="N1468" s="16">
        <f ca="1">SUM($M$9:M1468)/A1468</f>
        <v>337.34123287671218</v>
      </c>
    </row>
    <row r="1469" spans="1:14" x14ac:dyDescent="0.25">
      <c r="A1469" s="8">
        <v>1461</v>
      </c>
      <c r="B1469" s="9">
        <f t="shared" ref="B1469:B1532" ca="1" si="291">IF(I1468=1,F1468+Quantity,F1468)</f>
        <v>1975</v>
      </c>
      <c r="C1469" s="10">
        <f t="shared" ref="C1469:C1532" ca="1" si="292">IF(I1468=1,Quantity,0)</f>
        <v>0</v>
      </c>
      <c r="D1469" s="11">
        <f t="shared" ca="1" si="288"/>
        <v>0.76065318046774633</v>
      </c>
      <c r="E1469" s="9">
        <f t="shared" ca="1" si="289"/>
        <v>435</v>
      </c>
      <c r="F1469" s="9">
        <f t="shared" ref="F1469:F1532" ca="1" si="293">IF(B1469+C1469-E1469&lt;0,0,B1469-E1469)</f>
        <v>1540</v>
      </c>
      <c r="G1469" s="12" t="str">
        <f t="shared" ref="G1469:G1532" ca="1" si="294">IF(B1469&lt;Point,IF(I1468=0,"Yes","No"),"No")</f>
        <v>No</v>
      </c>
      <c r="H1469" s="12">
        <f t="shared" ca="1" si="290"/>
        <v>0</v>
      </c>
      <c r="I1469" s="10">
        <f t="shared" ref="I1469:I1532" ca="1" si="295">IF(I1468&gt;0,I1468-1,(IF(G1469="Yes",(VLOOKUP(H1469,LTD,3)),0)))</f>
        <v>0</v>
      </c>
      <c r="J1469" s="13">
        <f t="shared" ref="J1469:J1532" ca="1" si="296">IF(G1469="Yes",Order_Cost,0)</f>
        <v>0</v>
      </c>
      <c r="K1469" s="14">
        <f t="shared" ref="K1469:K1532" ca="1" si="297">F1469*Holding_Cost</f>
        <v>308</v>
      </c>
      <c r="L1469" s="14">
        <f t="shared" ref="L1469:L1532" ca="1" si="298">IF(B1469+C1469&lt;E1469,Shortage_Cost*(E1469-B1469-C1469),0)</f>
        <v>0</v>
      </c>
      <c r="M1469" s="15">
        <f t="shared" ref="M1469:M1532" ca="1" si="299">SUM(J1469:L1469)</f>
        <v>308</v>
      </c>
      <c r="N1469" s="16">
        <f ca="1">SUM($M$9:M1469)/A1469</f>
        <v>337.32114989733043</v>
      </c>
    </row>
    <row r="1470" spans="1:14" x14ac:dyDescent="0.25">
      <c r="A1470" s="8">
        <v>1462</v>
      </c>
      <c r="B1470" s="9">
        <f t="shared" ca="1" si="291"/>
        <v>1540</v>
      </c>
      <c r="C1470" s="10">
        <f t="shared" ca="1" si="292"/>
        <v>0</v>
      </c>
      <c r="D1470" s="11">
        <f t="shared" ca="1" si="288"/>
        <v>0.3306791840561113</v>
      </c>
      <c r="E1470" s="9">
        <f t="shared" ca="1" si="289"/>
        <v>378</v>
      </c>
      <c r="F1470" s="9">
        <f t="shared" ca="1" si="293"/>
        <v>1162</v>
      </c>
      <c r="G1470" s="12" t="str">
        <f t="shared" ca="1" si="294"/>
        <v>No</v>
      </c>
      <c r="H1470" s="12">
        <f t="shared" ca="1" si="290"/>
        <v>0</v>
      </c>
      <c r="I1470" s="10">
        <f t="shared" ca="1" si="295"/>
        <v>0</v>
      </c>
      <c r="J1470" s="13">
        <f t="shared" ca="1" si="296"/>
        <v>0</v>
      </c>
      <c r="K1470" s="14">
        <f t="shared" ca="1" si="297"/>
        <v>232.4</v>
      </c>
      <c r="L1470" s="14">
        <f t="shared" ca="1" si="298"/>
        <v>0</v>
      </c>
      <c r="M1470" s="15">
        <f t="shared" ca="1" si="299"/>
        <v>232.4</v>
      </c>
      <c r="N1470" s="16">
        <f ca="1">SUM($M$9:M1470)/A1470</f>
        <v>337.24938440492463</v>
      </c>
    </row>
    <row r="1471" spans="1:14" x14ac:dyDescent="0.25">
      <c r="A1471" s="8">
        <v>1463</v>
      </c>
      <c r="B1471" s="9">
        <f t="shared" ca="1" si="291"/>
        <v>1162</v>
      </c>
      <c r="C1471" s="10">
        <f t="shared" ca="1" si="292"/>
        <v>0</v>
      </c>
      <c r="D1471" s="11">
        <f t="shared" ca="1" si="288"/>
        <v>0.79519321416415145</v>
      </c>
      <c r="E1471" s="9">
        <f t="shared" ca="1" si="289"/>
        <v>441</v>
      </c>
      <c r="F1471" s="9">
        <f t="shared" ca="1" si="293"/>
        <v>721</v>
      </c>
      <c r="G1471" s="12" t="str">
        <f t="shared" ca="1" si="294"/>
        <v>Yes</v>
      </c>
      <c r="H1471" s="12">
        <f t="shared" ca="1" si="290"/>
        <v>0.78916771862383395</v>
      </c>
      <c r="I1471" s="10">
        <f t="shared" ca="1" si="295"/>
        <v>2</v>
      </c>
      <c r="J1471" s="13">
        <f t="shared" ca="1" si="296"/>
        <v>300</v>
      </c>
      <c r="K1471" s="14">
        <f t="shared" ca="1" si="297"/>
        <v>144.20000000000002</v>
      </c>
      <c r="L1471" s="14">
        <f t="shared" ca="1" si="298"/>
        <v>0</v>
      </c>
      <c r="M1471" s="15">
        <f t="shared" ca="1" si="299"/>
        <v>444.20000000000005</v>
      </c>
      <c r="N1471" s="16">
        <f ca="1">SUM($M$9:M1471)/A1471</f>
        <v>337.32248803827736</v>
      </c>
    </row>
    <row r="1472" spans="1:14" x14ac:dyDescent="0.25">
      <c r="A1472" s="8">
        <v>1464</v>
      </c>
      <c r="B1472" s="9">
        <f t="shared" ca="1" si="291"/>
        <v>721</v>
      </c>
      <c r="C1472" s="10">
        <f t="shared" ca="1" si="292"/>
        <v>0</v>
      </c>
      <c r="D1472" s="11">
        <f t="shared" ca="1" si="288"/>
        <v>0.86162655158690415</v>
      </c>
      <c r="E1472" s="9">
        <f t="shared" ca="1" si="289"/>
        <v>454</v>
      </c>
      <c r="F1472" s="9">
        <f t="shared" ca="1" si="293"/>
        <v>267</v>
      </c>
      <c r="G1472" s="12" t="str">
        <f t="shared" ca="1" si="294"/>
        <v>No</v>
      </c>
      <c r="H1472" s="12">
        <f t="shared" ca="1" si="290"/>
        <v>0</v>
      </c>
      <c r="I1472" s="10">
        <f t="shared" ca="1" si="295"/>
        <v>1</v>
      </c>
      <c r="J1472" s="13">
        <f t="shared" ca="1" si="296"/>
        <v>0</v>
      </c>
      <c r="K1472" s="14">
        <f t="shared" ca="1" si="297"/>
        <v>53.400000000000006</v>
      </c>
      <c r="L1472" s="14">
        <f t="shared" ca="1" si="298"/>
        <v>0</v>
      </c>
      <c r="M1472" s="15">
        <f t="shared" ca="1" si="299"/>
        <v>53.400000000000006</v>
      </c>
      <c r="N1472" s="16">
        <f ca="1">SUM($M$9:M1472)/A1472</f>
        <v>337.12855191256818</v>
      </c>
    </row>
    <row r="1473" spans="1:14" x14ac:dyDescent="0.25">
      <c r="A1473" s="8">
        <v>1465</v>
      </c>
      <c r="B1473" s="9">
        <f t="shared" ca="1" si="291"/>
        <v>2067</v>
      </c>
      <c r="C1473" s="10">
        <f t="shared" ca="1" si="292"/>
        <v>1800</v>
      </c>
      <c r="D1473" s="11">
        <f t="shared" ca="1" si="288"/>
        <v>0.7983396079856796</v>
      </c>
      <c r="E1473" s="9">
        <f t="shared" ca="1" si="289"/>
        <v>441</v>
      </c>
      <c r="F1473" s="9">
        <f t="shared" ca="1" si="293"/>
        <v>1626</v>
      </c>
      <c r="G1473" s="12" t="str">
        <f t="shared" ca="1" si="294"/>
        <v>No</v>
      </c>
      <c r="H1473" s="12">
        <f t="shared" ca="1" si="290"/>
        <v>0</v>
      </c>
      <c r="I1473" s="10">
        <f t="shared" ca="1" si="295"/>
        <v>0</v>
      </c>
      <c r="J1473" s="13">
        <f t="shared" ca="1" si="296"/>
        <v>0</v>
      </c>
      <c r="K1473" s="14">
        <f t="shared" ca="1" si="297"/>
        <v>325.20000000000005</v>
      </c>
      <c r="L1473" s="14">
        <f t="shared" ca="1" si="298"/>
        <v>0</v>
      </c>
      <c r="M1473" s="15">
        <f t="shared" ca="1" si="299"/>
        <v>325.20000000000005</v>
      </c>
      <c r="N1473" s="16">
        <f ca="1">SUM($M$9:M1473)/A1473</f>
        <v>337.12040955631392</v>
      </c>
    </row>
    <row r="1474" spans="1:14" x14ac:dyDescent="0.25">
      <c r="A1474" s="8">
        <v>1466</v>
      </c>
      <c r="B1474" s="9">
        <f t="shared" ca="1" si="291"/>
        <v>1626</v>
      </c>
      <c r="C1474" s="10">
        <f t="shared" ca="1" si="292"/>
        <v>0</v>
      </c>
      <c r="D1474" s="11">
        <f t="shared" ca="1" si="288"/>
        <v>0.57177696399216993</v>
      </c>
      <c r="E1474" s="9">
        <f t="shared" ca="1" si="289"/>
        <v>409</v>
      </c>
      <c r="F1474" s="9">
        <f t="shared" ca="1" si="293"/>
        <v>1217</v>
      </c>
      <c r="G1474" s="12" t="str">
        <f t="shared" ca="1" si="294"/>
        <v>No</v>
      </c>
      <c r="H1474" s="12">
        <f t="shared" ca="1" si="290"/>
        <v>0</v>
      </c>
      <c r="I1474" s="10">
        <f t="shared" ca="1" si="295"/>
        <v>0</v>
      </c>
      <c r="J1474" s="13">
        <f t="shared" ca="1" si="296"/>
        <v>0</v>
      </c>
      <c r="K1474" s="14">
        <f t="shared" ca="1" si="297"/>
        <v>243.4</v>
      </c>
      <c r="L1474" s="14">
        <f t="shared" ca="1" si="298"/>
        <v>0</v>
      </c>
      <c r="M1474" s="15">
        <f t="shared" ca="1" si="299"/>
        <v>243.4</v>
      </c>
      <c r="N1474" s="16">
        <f ca="1">SUM($M$9:M1474)/A1474</f>
        <v>337.05648021828097</v>
      </c>
    </row>
    <row r="1475" spans="1:14" x14ac:dyDescent="0.25">
      <c r="A1475" s="8">
        <v>1467</v>
      </c>
      <c r="B1475" s="9">
        <f t="shared" ca="1" si="291"/>
        <v>1217</v>
      </c>
      <c r="C1475" s="10">
        <f t="shared" ca="1" si="292"/>
        <v>0</v>
      </c>
      <c r="D1475" s="11">
        <f t="shared" ca="1" si="288"/>
        <v>0.73901627800333602</v>
      </c>
      <c r="E1475" s="9">
        <f t="shared" ca="1" si="289"/>
        <v>432</v>
      </c>
      <c r="F1475" s="9">
        <f t="shared" ca="1" si="293"/>
        <v>785</v>
      </c>
      <c r="G1475" s="12" t="str">
        <f t="shared" ca="1" si="294"/>
        <v>Yes</v>
      </c>
      <c r="H1475" s="12">
        <f t="shared" ca="1" si="290"/>
        <v>0.96722150817885377</v>
      </c>
      <c r="I1475" s="10">
        <f t="shared" ca="1" si="295"/>
        <v>3</v>
      </c>
      <c r="J1475" s="13">
        <f t="shared" ca="1" si="296"/>
        <v>300</v>
      </c>
      <c r="K1475" s="14">
        <f t="shared" ca="1" si="297"/>
        <v>157</v>
      </c>
      <c r="L1475" s="14">
        <f t="shared" ca="1" si="298"/>
        <v>0</v>
      </c>
      <c r="M1475" s="15">
        <f t="shared" ca="1" si="299"/>
        <v>457</v>
      </c>
      <c r="N1475" s="16">
        <f ca="1">SUM($M$9:M1475)/A1475</f>
        <v>337.1382413087934</v>
      </c>
    </row>
    <row r="1476" spans="1:14" x14ac:dyDescent="0.25">
      <c r="A1476" s="8">
        <v>1468</v>
      </c>
      <c r="B1476" s="9">
        <f t="shared" ca="1" si="291"/>
        <v>785</v>
      </c>
      <c r="C1476" s="10">
        <f t="shared" ca="1" si="292"/>
        <v>0</v>
      </c>
      <c r="D1476" s="11">
        <f t="shared" ca="1" si="288"/>
        <v>0.27039273520380425</v>
      </c>
      <c r="E1476" s="9">
        <f t="shared" ca="1" si="289"/>
        <v>369</v>
      </c>
      <c r="F1476" s="9">
        <f t="shared" ca="1" si="293"/>
        <v>416</v>
      </c>
      <c r="G1476" s="12" t="str">
        <f t="shared" ca="1" si="294"/>
        <v>No</v>
      </c>
      <c r="H1476" s="12">
        <f t="shared" ca="1" si="290"/>
        <v>0</v>
      </c>
      <c r="I1476" s="10">
        <f t="shared" ca="1" si="295"/>
        <v>2</v>
      </c>
      <c r="J1476" s="13">
        <f t="shared" ca="1" si="296"/>
        <v>0</v>
      </c>
      <c r="K1476" s="14">
        <f t="shared" ca="1" si="297"/>
        <v>83.2</v>
      </c>
      <c r="L1476" s="14">
        <f t="shared" ca="1" si="298"/>
        <v>0</v>
      </c>
      <c r="M1476" s="15">
        <f t="shared" ca="1" si="299"/>
        <v>83.2</v>
      </c>
      <c r="N1476" s="16">
        <f ca="1">SUM($M$9:M1476)/A1476</f>
        <v>336.96525885558577</v>
      </c>
    </row>
    <row r="1477" spans="1:14" x14ac:dyDescent="0.25">
      <c r="A1477" s="8">
        <v>1469</v>
      </c>
      <c r="B1477" s="9">
        <f t="shared" ca="1" si="291"/>
        <v>416</v>
      </c>
      <c r="C1477" s="10">
        <f t="shared" ca="1" si="292"/>
        <v>0</v>
      </c>
      <c r="D1477" s="11">
        <f t="shared" ca="1" si="288"/>
        <v>0.57838062634240206</v>
      </c>
      <c r="E1477" s="9">
        <f t="shared" ca="1" si="289"/>
        <v>409</v>
      </c>
      <c r="F1477" s="9">
        <f t="shared" ca="1" si="293"/>
        <v>7</v>
      </c>
      <c r="G1477" s="12" t="str">
        <f t="shared" ca="1" si="294"/>
        <v>No</v>
      </c>
      <c r="H1477" s="12">
        <f t="shared" ca="1" si="290"/>
        <v>0</v>
      </c>
      <c r="I1477" s="10">
        <f t="shared" ca="1" si="295"/>
        <v>1</v>
      </c>
      <c r="J1477" s="13">
        <f t="shared" ca="1" si="296"/>
        <v>0</v>
      </c>
      <c r="K1477" s="14">
        <f t="shared" ca="1" si="297"/>
        <v>1.4000000000000001</v>
      </c>
      <c r="L1477" s="14">
        <f t="shared" ca="1" si="298"/>
        <v>0</v>
      </c>
      <c r="M1477" s="15">
        <f t="shared" ca="1" si="299"/>
        <v>1.4000000000000001</v>
      </c>
      <c r="N1477" s="16">
        <f ca="1">SUM($M$9:M1477)/A1477</f>
        <v>336.73682777399586</v>
      </c>
    </row>
    <row r="1478" spans="1:14" x14ac:dyDescent="0.25">
      <c r="A1478" s="8">
        <v>1470</v>
      </c>
      <c r="B1478" s="9">
        <f t="shared" ca="1" si="291"/>
        <v>1807</v>
      </c>
      <c r="C1478" s="10">
        <f t="shared" ca="1" si="292"/>
        <v>1800</v>
      </c>
      <c r="D1478" s="11">
        <f t="shared" ca="1" si="288"/>
        <v>0.75730497345006142</v>
      </c>
      <c r="E1478" s="9">
        <f t="shared" ca="1" si="289"/>
        <v>434</v>
      </c>
      <c r="F1478" s="9">
        <f t="shared" ca="1" si="293"/>
        <v>1373</v>
      </c>
      <c r="G1478" s="12" t="str">
        <f t="shared" ca="1" si="294"/>
        <v>No</v>
      </c>
      <c r="H1478" s="12">
        <f t="shared" ca="1" si="290"/>
        <v>0</v>
      </c>
      <c r="I1478" s="10">
        <f t="shared" ca="1" si="295"/>
        <v>0</v>
      </c>
      <c r="J1478" s="13">
        <f t="shared" ca="1" si="296"/>
        <v>0</v>
      </c>
      <c r="K1478" s="14">
        <f t="shared" ca="1" si="297"/>
        <v>274.60000000000002</v>
      </c>
      <c r="L1478" s="14">
        <f t="shared" ca="1" si="298"/>
        <v>0</v>
      </c>
      <c r="M1478" s="15">
        <f t="shared" ca="1" si="299"/>
        <v>274.60000000000002</v>
      </c>
      <c r="N1478" s="16">
        <f ca="1">SUM($M$9:M1478)/A1478</f>
        <v>336.69455782312917</v>
      </c>
    </row>
    <row r="1479" spans="1:14" x14ac:dyDescent="0.25">
      <c r="A1479" s="8">
        <v>1471</v>
      </c>
      <c r="B1479" s="9">
        <f t="shared" ca="1" si="291"/>
        <v>1373</v>
      </c>
      <c r="C1479" s="10">
        <f t="shared" ca="1" si="292"/>
        <v>0</v>
      </c>
      <c r="D1479" s="11">
        <f t="shared" ca="1" si="288"/>
        <v>7.7390722884504437E-2</v>
      </c>
      <c r="E1479" s="9">
        <f t="shared" ca="1" si="289"/>
        <v>328</v>
      </c>
      <c r="F1479" s="9">
        <f t="shared" ca="1" si="293"/>
        <v>1045</v>
      </c>
      <c r="G1479" s="12" t="str">
        <f t="shared" ca="1" si="294"/>
        <v>Yes</v>
      </c>
      <c r="H1479" s="12">
        <f t="shared" ca="1" si="290"/>
        <v>0.11889217460434642</v>
      </c>
      <c r="I1479" s="10">
        <f t="shared" ca="1" si="295"/>
        <v>1</v>
      </c>
      <c r="J1479" s="13">
        <f t="shared" ca="1" si="296"/>
        <v>300</v>
      </c>
      <c r="K1479" s="14">
        <f t="shared" ca="1" si="297"/>
        <v>209</v>
      </c>
      <c r="L1479" s="14">
        <f t="shared" ca="1" si="298"/>
        <v>0</v>
      </c>
      <c r="M1479" s="15">
        <f t="shared" ca="1" si="299"/>
        <v>509</v>
      </c>
      <c r="N1479" s="16">
        <f ca="1">SUM($M$9:M1479)/A1479</f>
        <v>336.81169272603665</v>
      </c>
    </row>
    <row r="1480" spans="1:14" x14ac:dyDescent="0.25">
      <c r="A1480" s="8">
        <v>1472</v>
      </c>
      <c r="B1480" s="9">
        <f t="shared" ca="1" si="291"/>
        <v>2845</v>
      </c>
      <c r="C1480" s="10">
        <f t="shared" ca="1" si="292"/>
        <v>1800</v>
      </c>
      <c r="D1480" s="11">
        <f t="shared" ca="1" si="288"/>
        <v>0.20353151887641729</v>
      </c>
      <c r="E1480" s="9">
        <f t="shared" ca="1" si="289"/>
        <v>358</v>
      </c>
      <c r="F1480" s="9">
        <f t="shared" ca="1" si="293"/>
        <v>2487</v>
      </c>
      <c r="G1480" s="12" t="str">
        <f t="shared" ca="1" si="294"/>
        <v>No</v>
      </c>
      <c r="H1480" s="12">
        <f t="shared" ca="1" si="290"/>
        <v>0</v>
      </c>
      <c r="I1480" s="10">
        <f t="shared" ca="1" si="295"/>
        <v>0</v>
      </c>
      <c r="J1480" s="13">
        <f t="shared" ca="1" si="296"/>
        <v>0</v>
      </c>
      <c r="K1480" s="14">
        <f t="shared" ca="1" si="297"/>
        <v>497.40000000000003</v>
      </c>
      <c r="L1480" s="14">
        <f t="shared" ca="1" si="298"/>
        <v>0</v>
      </c>
      <c r="M1480" s="15">
        <f t="shared" ca="1" si="299"/>
        <v>497.40000000000003</v>
      </c>
      <c r="N1480" s="16">
        <f ca="1">SUM($M$9:M1480)/A1480</f>
        <v>336.92078804347818</v>
      </c>
    </row>
    <row r="1481" spans="1:14" x14ac:dyDescent="0.25">
      <c r="A1481" s="8">
        <v>1473</v>
      </c>
      <c r="B1481" s="9">
        <f t="shared" ca="1" si="291"/>
        <v>2487</v>
      </c>
      <c r="C1481" s="10">
        <f t="shared" ca="1" si="292"/>
        <v>0</v>
      </c>
      <c r="D1481" s="11">
        <f t="shared" ca="1" si="288"/>
        <v>0.3653115669925826</v>
      </c>
      <c r="E1481" s="9">
        <f t="shared" ca="1" si="289"/>
        <v>382</v>
      </c>
      <c r="F1481" s="9">
        <f t="shared" ca="1" si="293"/>
        <v>2105</v>
      </c>
      <c r="G1481" s="12" t="str">
        <f t="shared" ca="1" si="294"/>
        <v>No</v>
      </c>
      <c r="H1481" s="12">
        <f t="shared" ca="1" si="290"/>
        <v>0</v>
      </c>
      <c r="I1481" s="10">
        <f t="shared" ca="1" si="295"/>
        <v>0</v>
      </c>
      <c r="J1481" s="13">
        <f t="shared" ca="1" si="296"/>
        <v>0</v>
      </c>
      <c r="K1481" s="14">
        <f t="shared" ca="1" si="297"/>
        <v>421</v>
      </c>
      <c r="L1481" s="14">
        <f t="shared" ca="1" si="298"/>
        <v>0</v>
      </c>
      <c r="M1481" s="15">
        <f t="shared" ca="1" si="299"/>
        <v>421</v>
      </c>
      <c r="N1481" s="16">
        <f ca="1">SUM($M$9:M1481)/A1481</f>
        <v>336.97786829599448</v>
      </c>
    </row>
    <row r="1482" spans="1:14" x14ac:dyDescent="0.25">
      <c r="A1482" s="8">
        <v>1474</v>
      </c>
      <c r="B1482" s="9">
        <f t="shared" ca="1" si="291"/>
        <v>2105</v>
      </c>
      <c r="C1482" s="10">
        <f t="shared" ca="1" si="292"/>
        <v>0</v>
      </c>
      <c r="D1482" s="11">
        <f t="shared" ref="D1482:D1545" ca="1" si="300">RAND()</f>
        <v>0.41130658474161819</v>
      </c>
      <c r="E1482" s="9">
        <f t="shared" ref="E1482:E1545" ca="1" si="301">INT(NORMINV(D1482,D_Mean,D_StdDev))</f>
        <v>388</v>
      </c>
      <c r="F1482" s="9">
        <f t="shared" ca="1" si="293"/>
        <v>1717</v>
      </c>
      <c r="G1482" s="12" t="str">
        <f t="shared" ca="1" si="294"/>
        <v>No</v>
      </c>
      <c r="H1482" s="12">
        <f t="shared" ref="H1482:H1545" ca="1" si="302">IF(G1482="Yes",RAND(),0)</f>
        <v>0</v>
      </c>
      <c r="I1482" s="10">
        <f t="shared" ca="1" si="295"/>
        <v>0</v>
      </c>
      <c r="J1482" s="13">
        <f t="shared" ca="1" si="296"/>
        <v>0</v>
      </c>
      <c r="K1482" s="14">
        <f t="shared" ca="1" si="297"/>
        <v>343.40000000000003</v>
      </c>
      <c r="L1482" s="14">
        <f t="shared" ca="1" si="298"/>
        <v>0</v>
      </c>
      <c r="M1482" s="15">
        <f t="shared" ca="1" si="299"/>
        <v>343.40000000000003</v>
      </c>
      <c r="N1482" s="16">
        <f ca="1">SUM($M$9:M1482)/A1482</f>
        <v>336.98222523744909</v>
      </c>
    </row>
    <row r="1483" spans="1:14" x14ac:dyDescent="0.25">
      <c r="A1483" s="8">
        <v>1475</v>
      </c>
      <c r="B1483" s="9">
        <f t="shared" ca="1" si="291"/>
        <v>1717</v>
      </c>
      <c r="C1483" s="10">
        <f t="shared" ca="1" si="292"/>
        <v>0</v>
      </c>
      <c r="D1483" s="11">
        <f t="shared" ca="1" si="300"/>
        <v>0.19199719134495064</v>
      </c>
      <c r="E1483" s="9">
        <f t="shared" ca="1" si="301"/>
        <v>356</v>
      </c>
      <c r="F1483" s="9">
        <f t="shared" ca="1" si="293"/>
        <v>1361</v>
      </c>
      <c r="G1483" s="12" t="str">
        <f t="shared" ca="1" si="294"/>
        <v>No</v>
      </c>
      <c r="H1483" s="12">
        <f t="shared" ca="1" si="302"/>
        <v>0</v>
      </c>
      <c r="I1483" s="10">
        <f t="shared" ca="1" si="295"/>
        <v>0</v>
      </c>
      <c r="J1483" s="13">
        <f t="shared" ca="1" si="296"/>
        <v>0</v>
      </c>
      <c r="K1483" s="14">
        <f t="shared" ca="1" si="297"/>
        <v>272.2</v>
      </c>
      <c r="L1483" s="14">
        <f t="shared" ca="1" si="298"/>
        <v>0</v>
      </c>
      <c r="M1483" s="15">
        <f t="shared" ca="1" si="299"/>
        <v>272.2</v>
      </c>
      <c r="N1483" s="16">
        <f ca="1">SUM($M$9:M1483)/A1483</f>
        <v>336.93830508474571</v>
      </c>
    </row>
    <row r="1484" spans="1:14" x14ac:dyDescent="0.25">
      <c r="A1484" s="8">
        <v>1476</v>
      </c>
      <c r="B1484" s="9">
        <f t="shared" ca="1" si="291"/>
        <v>1361</v>
      </c>
      <c r="C1484" s="10">
        <f t="shared" ca="1" si="292"/>
        <v>0</v>
      </c>
      <c r="D1484" s="11">
        <f t="shared" ca="1" si="300"/>
        <v>0.18546070181397434</v>
      </c>
      <c r="E1484" s="9">
        <f t="shared" ca="1" si="301"/>
        <v>355</v>
      </c>
      <c r="F1484" s="9">
        <f t="shared" ca="1" si="293"/>
        <v>1006</v>
      </c>
      <c r="G1484" s="12" t="str">
        <f t="shared" ca="1" si="294"/>
        <v>Yes</v>
      </c>
      <c r="H1484" s="12">
        <f t="shared" ca="1" si="302"/>
        <v>0.70678856248997812</v>
      </c>
      <c r="I1484" s="10">
        <f t="shared" ca="1" si="295"/>
        <v>2</v>
      </c>
      <c r="J1484" s="13">
        <f t="shared" ca="1" si="296"/>
        <v>300</v>
      </c>
      <c r="K1484" s="14">
        <f t="shared" ca="1" si="297"/>
        <v>201.20000000000002</v>
      </c>
      <c r="L1484" s="14">
        <f t="shared" ca="1" si="298"/>
        <v>0</v>
      </c>
      <c r="M1484" s="15">
        <f t="shared" ca="1" si="299"/>
        <v>501.20000000000005</v>
      </c>
      <c r="N1484" s="16">
        <f ca="1">SUM($M$9:M1484)/A1484</f>
        <v>337.04959349593491</v>
      </c>
    </row>
    <row r="1485" spans="1:14" x14ac:dyDescent="0.25">
      <c r="A1485" s="8">
        <v>1477</v>
      </c>
      <c r="B1485" s="9">
        <f t="shared" ca="1" si="291"/>
        <v>1006</v>
      </c>
      <c r="C1485" s="10">
        <f t="shared" ca="1" si="292"/>
        <v>0</v>
      </c>
      <c r="D1485" s="11">
        <f t="shared" ca="1" si="300"/>
        <v>0.89364772418879901</v>
      </c>
      <c r="E1485" s="9">
        <f t="shared" ca="1" si="301"/>
        <v>462</v>
      </c>
      <c r="F1485" s="9">
        <f t="shared" ca="1" si="293"/>
        <v>544</v>
      </c>
      <c r="G1485" s="12" t="str">
        <f t="shared" ca="1" si="294"/>
        <v>No</v>
      </c>
      <c r="H1485" s="12">
        <f t="shared" ca="1" si="302"/>
        <v>0</v>
      </c>
      <c r="I1485" s="10">
        <f t="shared" ca="1" si="295"/>
        <v>1</v>
      </c>
      <c r="J1485" s="13">
        <f t="shared" ca="1" si="296"/>
        <v>0</v>
      </c>
      <c r="K1485" s="14">
        <f t="shared" ca="1" si="297"/>
        <v>108.80000000000001</v>
      </c>
      <c r="L1485" s="14">
        <f t="shared" ca="1" si="298"/>
        <v>0</v>
      </c>
      <c r="M1485" s="15">
        <f t="shared" ca="1" si="299"/>
        <v>108.80000000000001</v>
      </c>
      <c r="N1485" s="16">
        <f ca="1">SUM($M$9:M1485)/A1485</f>
        <v>336.89505754908595</v>
      </c>
    </row>
    <row r="1486" spans="1:14" x14ac:dyDescent="0.25">
      <c r="A1486" s="8">
        <v>1478</v>
      </c>
      <c r="B1486" s="9">
        <f t="shared" ca="1" si="291"/>
        <v>2344</v>
      </c>
      <c r="C1486" s="10">
        <f t="shared" ca="1" si="292"/>
        <v>1800</v>
      </c>
      <c r="D1486" s="11">
        <f t="shared" ca="1" si="300"/>
        <v>0.62614742507857934</v>
      </c>
      <c r="E1486" s="9">
        <f t="shared" ca="1" si="301"/>
        <v>416</v>
      </c>
      <c r="F1486" s="9">
        <f t="shared" ca="1" si="293"/>
        <v>1928</v>
      </c>
      <c r="G1486" s="12" t="str">
        <f t="shared" ca="1" si="294"/>
        <v>No</v>
      </c>
      <c r="H1486" s="12">
        <f t="shared" ca="1" si="302"/>
        <v>0</v>
      </c>
      <c r="I1486" s="10">
        <f t="shared" ca="1" si="295"/>
        <v>0</v>
      </c>
      <c r="J1486" s="13">
        <f t="shared" ca="1" si="296"/>
        <v>0</v>
      </c>
      <c r="K1486" s="14">
        <f t="shared" ca="1" si="297"/>
        <v>385.6</v>
      </c>
      <c r="L1486" s="14">
        <f t="shared" ca="1" si="298"/>
        <v>0</v>
      </c>
      <c r="M1486" s="15">
        <f t="shared" ca="1" si="299"/>
        <v>385.6</v>
      </c>
      <c r="N1486" s="16">
        <f ca="1">SUM($M$9:M1486)/A1486</f>
        <v>336.92801082543974</v>
      </c>
    </row>
    <row r="1487" spans="1:14" x14ac:dyDescent="0.25">
      <c r="A1487" s="8">
        <v>1479</v>
      </c>
      <c r="B1487" s="9">
        <f t="shared" ca="1" si="291"/>
        <v>1928</v>
      </c>
      <c r="C1487" s="10">
        <f t="shared" ca="1" si="292"/>
        <v>0</v>
      </c>
      <c r="D1487" s="11">
        <f t="shared" ca="1" si="300"/>
        <v>0.6908640631308649</v>
      </c>
      <c r="E1487" s="9">
        <f t="shared" ca="1" si="301"/>
        <v>424</v>
      </c>
      <c r="F1487" s="9">
        <f t="shared" ca="1" si="293"/>
        <v>1504</v>
      </c>
      <c r="G1487" s="12" t="str">
        <f t="shared" ca="1" si="294"/>
        <v>No</v>
      </c>
      <c r="H1487" s="12">
        <f t="shared" ca="1" si="302"/>
        <v>0</v>
      </c>
      <c r="I1487" s="10">
        <f t="shared" ca="1" si="295"/>
        <v>0</v>
      </c>
      <c r="J1487" s="13">
        <f t="shared" ca="1" si="296"/>
        <v>0</v>
      </c>
      <c r="K1487" s="14">
        <f t="shared" ca="1" si="297"/>
        <v>300.8</v>
      </c>
      <c r="L1487" s="14">
        <f t="shared" ca="1" si="298"/>
        <v>0</v>
      </c>
      <c r="M1487" s="15">
        <f t="shared" ca="1" si="299"/>
        <v>300.8</v>
      </c>
      <c r="N1487" s="16">
        <f ca="1">SUM($M$9:M1487)/A1487</f>
        <v>336.90358350236642</v>
      </c>
    </row>
    <row r="1488" spans="1:14" x14ac:dyDescent="0.25">
      <c r="A1488" s="8">
        <v>1480</v>
      </c>
      <c r="B1488" s="9">
        <f t="shared" ca="1" si="291"/>
        <v>1504</v>
      </c>
      <c r="C1488" s="10">
        <f t="shared" ca="1" si="292"/>
        <v>0</v>
      </c>
      <c r="D1488" s="11">
        <f t="shared" ca="1" si="300"/>
        <v>0.94898384815725545</v>
      </c>
      <c r="E1488" s="9">
        <f t="shared" ca="1" si="301"/>
        <v>481</v>
      </c>
      <c r="F1488" s="9">
        <f t="shared" ca="1" si="293"/>
        <v>1023</v>
      </c>
      <c r="G1488" s="12" t="str">
        <f t="shared" ca="1" si="294"/>
        <v>No</v>
      </c>
      <c r="H1488" s="12">
        <f t="shared" ca="1" si="302"/>
        <v>0</v>
      </c>
      <c r="I1488" s="10">
        <f t="shared" ca="1" si="295"/>
        <v>0</v>
      </c>
      <c r="J1488" s="13">
        <f t="shared" ca="1" si="296"/>
        <v>0</v>
      </c>
      <c r="K1488" s="14">
        <f t="shared" ca="1" si="297"/>
        <v>204.60000000000002</v>
      </c>
      <c r="L1488" s="14">
        <f t="shared" ca="1" si="298"/>
        <v>0</v>
      </c>
      <c r="M1488" s="15">
        <f t="shared" ca="1" si="299"/>
        <v>204.60000000000002</v>
      </c>
      <c r="N1488" s="16">
        <f ca="1">SUM($M$9:M1488)/A1488</f>
        <v>336.81418918918911</v>
      </c>
    </row>
    <row r="1489" spans="1:14" x14ac:dyDescent="0.25">
      <c r="A1489" s="8">
        <v>1481</v>
      </c>
      <c r="B1489" s="9">
        <f t="shared" ca="1" si="291"/>
        <v>1023</v>
      </c>
      <c r="C1489" s="10">
        <f t="shared" ca="1" si="292"/>
        <v>0</v>
      </c>
      <c r="D1489" s="11">
        <f t="shared" ca="1" si="300"/>
        <v>0.63025844839149259</v>
      </c>
      <c r="E1489" s="9">
        <f t="shared" ca="1" si="301"/>
        <v>416</v>
      </c>
      <c r="F1489" s="9">
        <f t="shared" ca="1" si="293"/>
        <v>607</v>
      </c>
      <c r="G1489" s="12" t="str">
        <f t="shared" ca="1" si="294"/>
        <v>Yes</v>
      </c>
      <c r="H1489" s="12">
        <f t="shared" ca="1" si="302"/>
        <v>8.0846695136040037E-2</v>
      </c>
      <c r="I1489" s="10">
        <f t="shared" ca="1" si="295"/>
        <v>1</v>
      </c>
      <c r="J1489" s="13">
        <f t="shared" ca="1" si="296"/>
        <v>300</v>
      </c>
      <c r="K1489" s="14">
        <f t="shared" ca="1" si="297"/>
        <v>121.4</v>
      </c>
      <c r="L1489" s="14">
        <f t="shared" ca="1" si="298"/>
        <v>0</v>
      </c>
      <c r="M1489" s="15">
        <f t="shared" ca="1" si="299"/>
        <v>421.4</v>
      </c>
      <c r="N1489" s="16">
        <f ca="1">SUM($M$9:M1489)/A1489</f>
        <v>336.87130317353132</v>
      </c>
    </row>
    <row r="1490" spans="1:14" x14ac:dyDescent="0.25">
      <c r="A1490" s="8">
        <v>1482</v>
      </c>
      <c r="B1490" s="9">
        <f t="shared" ca="1" si="291"/>
        <v>2407</v>
      </c>
      <c r="C1490" s="10">
        <f t="shared" ca="1" si="292"/>
        <v>1800</v>
      </c>
      <c r="D1490" s="11">
        <f t="shared" ca="1" si="300"/>
        <v>0.6086429162472442</v>
      </c>
      <c r="E1490" s="9">
        <f t="shared" ca="1" si="301"/>
        <v>413</v>
      </c>
      <c r="F1490" s="9">
        <f t="shared" ca="1" si="293"/>
        <v>1994</v>
      </c>
      <c r="G1490" s="12" t="str">
        <f t="shared" ca="1" si="294"/>
        <v>No</v>
      </c>
      <c r="H1490" s="12">
        <f t="shared" ca="1" si="302"/>
        <v>0</v>
      </c>
      <c r="I1490" s="10">
        <f t="shared" ca="1" si="295"/>
        <v>0</v>
      </c>
      <c r="J1490" s="13">
        <f t="shared" ca="1" si="296"/>
        <v>0</v>
      </c>
      <c r="K1490" s="14">
        <f t="shared" ca="1" si="297"/>
        <v>398.8</v>
      </c>
      <c r="L1490" s="14">
        <f t="shared" ca="1" si="298"/>
        <v>0</v>
      </c>
      <c r="M1490" s="15">
        <f t="shared" ca="1" si="299"/>
        <v>398.8</v>
      </c>
      <c r="N1490" s="16">
        <f ca="1">SUM($M$9:M1490)/A1490</f>
        <v>336.91309041835353</v>
      </c>
    </row>
    <row r="1491" spans="1:14" x14ac:dyDescent="0.25">
      <c r="A1491" s="8">
        <v>1483</v>
      </c>
      <c r="B1491" s="9">
        <f t="shared" ca="1" si="291"/>
        <v>1994</v>
      </c>
      <c r="C1491" s="10">
        <f t="shared" ca="1" si="292"/>
        <v>0</v>
      </c>
      <c r="D1491" s="11">
        <f t="shared" ca="1" si="300"/>
        <v>0.18953764123214079</v>
      </c>
      <c r="E1491" s="9">
        <f t="shared" ca="1" si="301"/>
        <v>356</v>
      </c>
      <c r="F1491" s="9">
        <f t="shared" ca="1" si="293"/>
        <v>1638</v>
      </c>
      <c r="G1491" s="12" t="str">
        <f t="shared" ca="1" si="294"/>
        <v>No</v>
      </c>
      <c r="H1491" s="12">
        <f t="shared" ca="1" si="302"/>
        <v>0</v>
      </c>
      <c r="I1491" s="10">
        <f t="shared" ca="1" si="295"/>
        <v>0</v>
      </c>
      <c r="J1491" s="13">
        <f t="shared" ca="1" si="296"/>
        <v>0</v>
      </c>
      <c r="K1491" s="14">
        <f t="shared" ca="1" si="297"/>
        <v>327.60000000000002</v>
      </c>
      <c r="L1491" s="14">
        <f t="shared" ca="1" si="298"/>
        <v>0</v>
      </c>
      <c r="M1491" s="15">
        <f t="shared" ca="1" si="299"/>
        <v>327.60000000000002</v>
      </c>
      <c r="N1491" s="16">
        <f ca="1">SUM($M$9:M1491)/A1491</f>
        <v>336.90681051921774</v>
      </c>
    </row>
    <row r="1492" spans="1:14" x14ac:dyDescent="0.25">
      <c r="A1492" s="8">
        <v>1484</v>
      </c>
      <c r="B1492" s="9">
        <f t="shared" ca="1" si="291"/>
        <v>1638</v>
      </c>
      <c r="C1492" s="10">
        <f t="shared" ca="1" si="292"/>
        <v>0</v>
      </c>
      <c r="D1492" s="11">
        <f t="shared" ca="1" si="300"/>
        <v>0.41217963566643101</v>
      </c>
      <c r="E1492" s="9">
        <f t="shared" ca="1" si="301"/>
        <v>388</v>
      </c>
      <c r="F1492" s="9">
        <f t="shared" ca="1" si="293"/>
        <v>1250</v>
      </c>
      <c r="G1492" s="12" t="str">
        <f t="shared" ca="1" si="294"/>
        <v>No</v>
      </c>
      <c r="H1492" s="12">
        <f t="shared" ca="1" si="302"/>
        <v>0</v>
      </c>
      <c r="I1492" s="10">
        <f t="shared" ca="1" si="295"/>
        <v>0</v>
      </c>
      <c r="J1492" s="13">
        <f t="shared" ca="1" si="296"/>
        <v>0</v>
      </c>
      <c r="K1492" s="14">
        <f t="shared" ca="1" si="297"/>
        <v>250</v>
      </c>
      <c r="L1492" s="14">
        <f t="shared" ca="1" si="298"/>
        <v>0</v>
      </c>
      <c r="M1492" s="15">
        <f t="shared" ca="1" si="299"/>
        <v>250</v>
      </c>
      <c r="N1492" s="16">
        <f ca="1">SUM($M$9:M1492)/A1492</f>
        <v>336.84824797843658</v>
      </c>
    </row>
    <row r="1493" spans="1:14" x14ac:dyDescent="0.25">
      <c r="A1493" s="8">
        <v>1485</v>
      </c>
      <c r="B1493" s="9">
        <f t="shared" ca="1" si="291"/>
        <v>1250</v>
      </c>
      <c r="C1493" s="10">
        <f t="shared" ca="1" si="292"/>
        <v>0</v>
      </c>
      <c r="D1493" s="11">
        <f t="shared" ca="1" si="300"/>
        <v>0.62701323887366223</v>
      </c>
      <c r="E1493" s="9">
        <f t="shared" ca="1" si="301"/>
        <v>416</v>
      </c>
      <c r="F1493" s="9">
        <f t="shared" ca="1" si="293"/>
        <v>834</v>
      </c>
      <c r="G1493" s="12" t="str">
        <f t="shared" ca="1" si="294"/>
        <v>Yes</v>
      </c>
      <c r="H1493" s="12">
        <f t="shared" ca="1" si="302"/>
        <v>0.20951735760353773</v>
      </c>
      <c r="I1493" s="10">
        <f t="shared" ca="1" si="295"/>
        <v>1</v>
      </c>
      <c r="J1493" s="13">
        <f t="shared" ca="1" si="296"/>
        <v>300</v>
      </c>
      <c r="K1493" s="14">
        <f t="shared" ca="1" si="297"/>
        <v>166.8</v>
      </c>
      <c r="L1493" s="14">
        <f t="shared" ca="1" si="298"/>
        <v>0</v>
      </c>
      <c r="M1493" s="15">
        <f t="shared" ca="1" si="299"/>
        <v>466.8</v>
      </c>
      <c r="N1493" s="16">
        <f ca="1">SUM($M$9:M1493)/A1493</f>
        <v>336.93575757575746</v>
      </c>
    </row>
    <row r="1494" spans="1:14" x14ac:dyDescent="0.25">
      <c r="A1494" s="8">
        <v>1486</v>
      </c>
      <c r="B1494" s="9">
        <f t="shared" ca="1" si="291"/>
        <v>2634</v>
      </c>
      <c r="C1494" s="10">
        <f t="shared" ca="1" si="292"/>
        <v>1800</v>
      </c>
      <c r="D1494" s="11">
        <f t="shared" ca="1" si="300"/>
        <v>0.32808509271174435</v>
      </c>
      <c r="E1494" s="9">
        <f t="shared" ca="1" si="301"/>
        <v>377</v>
      </c>
      <c r="F1494" s="9">
        <f t="shared" ca="1" si="293"/>
        <v>2257</v>
      </c>
      <c r="G1494" s="12" t="str">
        <f t="shared" ca="1" si="294"/>
        <v>No</v>
      </c>
      <c r="H1494" s="12">
        <f t="shared" ca="1" si="302"/>
        <v>0</v>
      </c>
      <c r="I1494" s="10">
        <f t="shared" ca="1" si="295"/>
        <v>0</v>
      </c>
      <c r="J1494" s="13">
        <f t="shared" ca="1" si="296"/>
        <v>0</v>
      </c>
      <c r="K1494" s="14">
        <f t="shared" ca="1" si="297"/>
        <v>451.40000000000003</v>
      </c>
      <c r="L1494" s="14">
        <f t="shared" ca="1" si="298"/>
        <v>0</v>
      </c>
      <c r="M1494" s="15">
        <f t="shared" ca="1" si="299"/>
        <v>451.40000000000003</v>
      </c>
      <c r="N1494" s="16">
        <f ca="1">SUM($M$9:M1494)/A1494</f>
        <v>337.01278600269171</v>
      </c>
    </row>
    <row r="1495" spans="1:14" x14ac:dyDescent="0.25">
      <c r="A1495" s="8">
        <v>1487</v>
      </c>
      <c r="B1495" s="9">
        <f t="shared" ca="1" si="291"/>
        <v>2257</v>
      </c>
      <c r="C1495" s="10">
        <f t="shared" ca="1" si="292"/>
        <v>0</v>
      </c>
      <c r="D1495" s="11">
        <f t="shared" ca="1" si="300"/>
        <v>0.22660768234713791</v>
      </c>
      <c r="E1495" s="9">
        <f t="shared" ca="1" si="301"/>
        <v>362</v>
      </c>
      <c r="F1495" s="9">
        <f t="shared" ca="1" si="293"/>
        <v>1895</v>
      </c>
      <c r="G1495" s="12" t="str">
        <f t="shared" ca="1" si="294"/>
        <v>No</v>
      </c>
      <c r="H1495" s="12">
        <f t="shared" ca="1" si="302"/>
        <v>0</v>
      </c>
      <c r="I1495" s="10">
        <f t="shared" ca="1" si="295"/>
        <v>0</v>
      </c>
      <c r="J1495" s="13">
        <f t="shared" ca="1" si="296"/>
        <v>0</v>
      </c>
      <c r="K1495" s="14">
        <f t="shared" ca="1" si="297"/>
        <v>379</v>
      </c>
      <c r="L1495" s="14">
        <f t="shared" ca="1" si="298"/>
        <v>0</v>
      </c>
      <c r="M1495" s="15">
        <f t="shared" ca="1" si="299"/>
        <v>379</v>
      </c>
      <c r="N1495" s="16">
        <f ca="1">SUM($M$9:M1495)/A1495</f>
        <v>337.04102219233346</v>
      </c>
    </row>
    <row r="1496" spans="1:14" x14ac:dyDescent="0.25">
      <c r="A1496" s="8">
        <v>1488</v>
      </c>
      <c r="B1496" s="9">
        <f t="shared" ca="1" si="291"/>
        <v>1895</v>
      </c>
      <c r="C1496" s="10">
        <f t="shared" ca="1" si="292"/>
        <v>0</v>
      </c>
      <c r="D1496" s="11">
        <f t="shared" ca="1" si="300"/>
        <v>0.89968344559270752</v>
      </c>
      <c r="E1496" s="9">
        <f t="shared" ca="1" si="301"/>
        <v>463</v>
      </c>
      <c r="F1496" s="9">
        <f t="shared" ca="1" si="293"/>
        <v>1432</v>
      </c>
      <c r="G1496" s="12" t="str">
        <f t="shared" ca="1" si="294"/>
        <v>No</v>
      </c>
      <c r="H1496" s="12">
        <f t="shared" ca="1" si="302"/>
        <v>0</v>
      </c>
      <c r="I1496" s="10">
        <f t="shared" ca="1" si="295"/>
        <v>0</v>
      </c>
      <c r="J1496" s="13">
        <f t="shared" ca="1" si="296"/>
        <v>0</v>
      </c>
      <c r="K1496" s="14">
        <f t="shared" ca="1" si="297"/>
        <v>286.40000000000003</v>
      </c>
      <c r="L1496" s="14">
        <f t="shared" ca="1" si="298"/>
        <v>0</v>
      </c>
      <c r="M1496" s="15">
        <f t="shared" ca="1" si="299"/>
        <v>286.40000000000003</v>
      </c>
      <c r="N1496" s="16">
        <f ca="1">SUM($M$9:M1496)/A1496</f>
        <v>337.00698924731176</v>
      </c>
    </row>
    <row r="1497" spans="1:14" x14ac:dyDescent="0.25">
      <c r="A1497" s="8">
        <v>1489</v>
      </c>
      <c r="B1497" s="9">
        <f t="shared" ca="1" si="291"/>
        <v>1432</v>
      </c>
      <c r="C1497" s="10">
        <f t="shared" ca="1" si="292"/>
        <v>0</v>
      </c>
      <c r="D1497" s="11">
        <f t="shared" ca="1" si="300"/>
        <v>0.54770289637311576</v>
      </c>
      <c r="E1497" s="9">
        <f t="shared" ca="1" si="301"/>
        <v>405</v>
      </c>
      <c r="F1497" s="9">
        <f t="shared" ca="1" si="293"/>
        <v>1027</v>
      </c>
      <c r="G1497" s="12" t="str">
        <f t="shared" ca="1" si="294"/>
        <v>No</v>
      </c>
      <c r="H1497" s="12">
        <f t="shared" ca="1" si="302"/>
        <v>0</v>
      </c>
      <c r="I1497" s="10">
        <f t="shared" ca="1" si="295"/>
        <v>0</v>
      </c>
      <c r="J1497" s="13">
        <f t="shared" ca="1" si="296"/>
        <v>0</v>
      </c>
      <c r="K1497" s="14">
        <f t="shared" ca="1" si="297"/>
        <v>205.4</v>
      </c>
      <c r="L1497" s="14">
        <f t="shared" ca="1" si="298"/>
        <v>0</v>
      </c>
      <c r="M1497" s="15">
        <f t="shared" ca="1" si="299"/>
        <v>205.4</v>
      </c>
      <c r="N1497" s="16">
        <f ca="1">SUM($M$9:M1497)/A1497</f>
        <v>336.91860308932166</v>
      </c>
    </row>
    <row r="1498" spans="1:14" x14ac:dyDescent="0.25">
      <c r="A1498" s="8">
        <v>1490</v>
      </c>
      <c r="B1498" s="9">
        <f t="shared" ca="1" si="291"/>
        <v>1027</v>
      </c>
      <c r="C1498" s="10">
        <f t="shared" ca="1" si="292"/>
        <v>0</v>
      </c>
      <c r="D1498" s="11">
        <f t="shared" ca="1" si="300"/>
        <v>4.9037695288501992E-2</v>
      </c>
      <c r="E1498" s="9">
        <f t="shared" ca="1" si="301"/>
        <v>317</v>
      </c>
      <c r="F1498" s="9">
        <f t="shared" ca="1" si="293"/>
        <v>710</v>
      </c>
      <c r="G1498" s="12" t="str">
        <f t="shared" ca="1" si="294"/>
        <v>Yes</v>
      </c>
      <c r="H1498" s="12">
        <f t="shared" ca="1" si="302"/>
        <v>0.87700442937679723</v>
      </c>
      <c r="I1498" s="10">
        <f t="shared" ca="1" si="295"/>
        <v>2</v>
      </c>
      <c r="J1498" s="13">
        <f t="shared" ca="1" si="296"/>
        <v>300</v>
      </c>
      <c r="K1498" s="14">
        <f t="shared" ca="1" si="297"/>
        <v>142</v>
      </c>
      <c r="L1498" s="14">
        <f t="shared" ca="1" si="298"/>
        <v>0</v>
      </c>
      <c r="M1498" s="15">
        <f t="shared" ca="1" si="299"/>
        <v>442</v>
      </c>
      <c r="N1498" s="16">
        <f ca="1">SUM($M$9:M1498)/A1498</f>
        <v>336.98912751677847</v>
      </c>
    </row>
    <row r="1499" spans="1:14" x14ac:dyDescent="0.25">
      <c r="A1499" s="8">
        <v>1491</v>
      </c>
      <c r="B1499" s="9">
        <f t="shared" ca="1" si="291"/>
        <v>710</v>
      </c>
      <c r="C1499" s="10">
        <f t="shared" ca="1" si="292"/>
        <v>0</v>
      </c>
      <c r="D1499" s="11">
        <f t="shared" ca="1" si="300"/>
        <v>0.36457989195644036</v>
      </c>
      <c r="E1499" s="9">
        <f t="shared" ca="1" si="301"/>
        <v>382</v>
      </c>
      <c r="F1499" s="9">
        <f t="shared" ca="1" si="293"/>
        <v>328</v>
      </c>
      <c r="G1499" s="12" t="str">
        <f t="shared" ca="1" si="294"/>
        <v>No</v>
      </c>
      <c r="H1499" s="12">
        <f t="shared" ca="1" si="302"/>
        <v>0</v>
      </c>
      <c r="I1499" s="10">
        <f t="shared" ca="1" si="295"/>
        <v>1</v>
      </c>
      <c r="J1499" s="13">
        <f t="shared" ca="1" si="296"/>
        <v>0</v>
      </c>
      <c r="K1499" s="14">
        <f t="shared" ca="1" si="297"/>
        <v>65.600000000000009</v>
      </c>
      <c r="L1499" s="14">
        <f t="shared" ca="1" si="298"/>
        <v>0</v>
      </c>
      <c r="M1499" s="15">
        <f t="shared" ca="1" si="299"/>
        <v>65.600000000000009</v>
      </c>
      <c r="N1499" s="16">
        <f ca="1">SUM($M$9:M1499)/A1499</f>
        <v>336.80710932260223</v>
      </c>
    </row>
    <row r="1500" spans="1:14" x14ac:dyDescent="0.25">
      <c r="A1500" s="8">
        <v>1492</v>
      </c>
      <c r="B1500" s="9">
        <f t="shared" ca="1" si="291"/>
        <v>2128</v>
      </c>
      <c r="C1500" s="10">
        <f t="shared" ca="1" si="292"/>
        <v>1800</v>
      </c>
      <c r="D1500" s="11">
        <f t="shared" ca="1" si="300"/>
        <v>0.41876324148384259</v>
      </c>
      <c r="E1500" s="9">
        <f t="shared" ca="1" si="301"/>
        <v>389</v>
      </c>
      <c r="F1500" s="9">
        <f t="shared" ca="1" si="293"/>
        <v>1739</v>
      </c>
      <c r="G1500" s="12" t="str">
        <f t="shared" ca="1" si="294"/>
        <v>No</v>
      </c>
      <c r="H1500" s="12">
        <f t="shared" ca="1" si="302"/>
        <v>0</v>
      </c>
      <c r="I1500" s="10">
        <f t="shared" ca="1" si="295"/>
        <v>0</v>
      </c>
      <c r="J1500" s="13">
        <f t="shared" ca="1" si="296"/>
        <v>0</v>
      </c>
      <c r="K1500" s="14">
        <f t="shared" ca="1" si="297"/>
        <v>347.8</v>
      </c>
      <c r="L1500" s="14">
        <f t="shared" ca="1" si="298"/>
        <v>0</v>
      </c>
      <c r="M1500" s="15">
        <f t="shared" ca="1" si="299"/>
        <v>347.8</v>
      </c>
      <c r="N1500" s="16">
        <f ca="1">SUM($M$9:M1500)/A1500</f>
        <v>336.8144772117962</v>
      </c>
    </row>
    <row r="1501" spans="1:14" x14ac:dyDescent="0.25">
      <c r="A1501" s="8">
        <v>1493</v>
      </c>
      <c r="B1501" s="9">
        <f t="shared" ca="1" si="291"/>
        <v>1739</v>
      </c>
      <c r="C1501" s="10">
        <f t="shared" ca="1" si="292"/>
        <v>0</v>
      </c>
      <c r="D1501" s="11">
        <f t="shared" ca="1" si="300"/>
        <v>0.20611030586340728</v>
      </c>
      <c r="E1501" s="9">
        <f t="shared" ca="1" si="301"/>
        <v>359</v>
      </c>
      <c r="F1501" s="9">
        <f t="shared" ca="1" si="293"/>
        <v>1380</v>
      </c>
      <c r="G1501" s="12" t="str">
        <f t="shared" ca="1" si="294"/>
        <v>No</v>
      </c>
      <c r="H1501" s="12">
        <f t="shared" ca="1" si="302"/>
        <v>0</v>
      </c>
      <c r="I1501" s="10">
        <f t="shared" ca="1" si="295"/>
        <v>0</v>
      </c>
      <c r="J1501" s="13">
        <f t="shared" ca="1" si="296"/>
        <v>0</v>
      </c>
      <c r="K1501" s="14">
        <f t="shared" ca="1" si="297"/>
        <v>276</v>
      </c>
      <c r="L1501" s="14">
        <f t="shared" ca="1" si="298"/>
        <v>0</v>
      </c>
      <c r="M1501" s="15">
        <f t="shared" ca="1" si="299"/>
        <v>276</v>
      </c>
      <c r="N1501" s="16">
        <f ca="1">SUM($M$9:M1501)/A1501</f>
        <v>336.77374413931676</v>
      </c>
    </row>
    <row r="1502" spans="1:14" x14ac:dyDescent="0.25">
      <c r="A1502" s="8">
        <v>1494</v>
      </c>
      <c r="B1502" s="9">
        <f t="shared" ca="1" si="291"/>
        <v>1380</v>
      </c>
      <c r="C1502" s="10">
        <f t="shared" ca="1" si="292"/>
        <v>0</v>
      </c>
      <c r="D1502" s="11">
        <f t="shared" ca="1" si="300"/>
        <v>0.34257595912917038</v>
      </c>
      <c r="E1502" s="9">
        <f t="shared" ca="1" si="301"/>
        <v>379</v>
      </c>
      <c r="F1502" s="9">
        <f t="shared" ca="1" si="293"/>
        <v>1001</v>
      </c>
      <c r="G1502" s="12" t="str">
        <f t="shared" ca="1" si="294"/>
        <v>Yes</v>
      </c>
      <c r="H1502" s="12">
        <f t="shared" ca="1" si="302"/>
        <v>0.97223214726112328</v>
      </c>
      <c r="I1502" s="10">
        <f t="shared" ca="1" si="295"/>
        <v>3</v>
      </c>
      <c r="J1502" s="13">
        <f t="shared" ca="1" si="296"/>
        <v>300</v>
      </c>
      <c r="K1502" s="14">
        <f t="shared" ca="1" si="297"/>
        <v>200.20000000000002</v>
      </c>
      <c r="L1502" s="14">
        <f t="shared" ca="1" si="298"/>
        <v>0</v>
      </c>
      <c r="M1502" s="15">
        <f t="shared" ca="1" si="299"/>
        <v>500.20000000000005</v>
      </c>
      <c r="N1502" s="16">
        <f ca="1">SUM($M$9:M1502)/A1502</f>
        <v>336.88313253012041</v>
      </c>
    </row>
    <row r="1503" spans="1:14" x14ac:dyDescent="0.25">
      <c r="A1503" s="8">
        <v>1495</v>
      </c>
      <c r="B1503" s="9">
        <f t="shared" ca="1" si="291"/>
        <v>1001</v>
      </c>
      <c r="C1503" s="10">
        <f t="shared" ca="1" si="292"/>
        <v>0</v>
      </c>
      <c r="D1503" s="11">
        <f t="shared" ca="1" si="300"/>
        <v>0.60568215744862008</v>
      </c>
      <c r="E1503" s="9">
        <f t="shared" ca="1" si="301"/>
        <v>413</v>
      </c>
      <c r="F1503" s="9">
        <f t="shared" ca="1" si="293"/>
        <v>588</v>
      </c>
      <c r="G1503" s="12" t="str">
        <f t="shared" ca="1" si="294"/>
        <v>No</v>
      </c>
      <c r="H1503" s="12">
        <f t="shared" ca="1" si="302"/>
        <v>0</v>
      </c>
      <c r="I1503" s="10">
        <f t="shared" ca="1" si="295"/>
        <v>2</v>
      </c>
      <c r="J1503" s="13">
        <f t="shared" ca="1" si="296"/>
        <v>0</v>
      </c>
      <c r="K1503" s="14">
        <f t="shared" ca="1" si="297"/>
        <v>117.60000000000001</v>
      </c>
      <c r="L1503" s="14">
        <f t="shared" ca="1" si="298"/>
        <v>0</v>
      </c>
      <c r="M1503" s="15">
        <f t="shared" ca="1" si="299"/>
        <v>117.60000000000001</v>
      </c>
      <c r="N1503" s="16">
        <f ca="1">SUM($M$9:M1503)/A1503</f>
        <v>336.73645484949827</v>
      </c>
    </row>
    <row r="1504" spans="1:14" x14ac:dyDescent="0.25">
      <c r="A1504" s="8">
        <v>1496</v>
      </c>
      <c r="B1504" s="9">
        <f t="shared" ca="1" si="291"/>
        <v>588</v>
      </c>
      <c r="C1504" s="10">
        <f t="shared" ca="1" si="292"/>
        <v>0</v>
      </c>
      <c r="D1504" s="11">
        <f t="shared" ca="1" si="300"/>
        <v>0.76206029338192005</v>
      </c>
      <c r="E1504" s="9">
        <f t="shared" ca="1" si="301"/>
        <v>435</v>
      </c>
      <c r="F1504" s="9">
        <f t="shared" ca="1" si="293"/>
        <v>153</v>
      </c>
      <c r="G1504" s="12" t="str">
        <f t="shared" ca="1" si="294"/>
        <v>No</v>
      </c>
      <c r="H1504" s="12">
        <f t="shared" ca="1" si="302"/>
        <v>0</v>
      </c>
      <c r="I1504" s="10">
        <f t="shared" ca="1" si="295"/>
        <v>1</v>
      </c>
      <c r="J1504" s="13">
        <f t="shared" ca="1" si="296"/>
        <v>0</v>
      </c>
      <c r="K1504" s="14">
        <f t="shared" ca="1" si="297"/>
        <v>30.6</v>
      </c>
      <c r="L1504" s="14">
        <f t="shared" ca="1" si="298"/>
        <v>0</v>
      </c>
      <c r="M1504" s="15">
        <f t="shared" ca="1" si="299"/>
        <v>30.6</v>
      </c>
      <c r="N1504" s="16">
        <f ca="1">SUM($M$9:M1504)/A1504</f>
        <v>336.5318181818181</v>
      </c>
    </row>
    <row r="1505" spans="1:14" x14ac:dyDescent="0.25">
      <c r="A1505" s="8">
        <v>1497</v>
      </c>
      <c r="B1505" s="9">
        <f t="shared" ca="1" si="291"/>
        <v>1953</v>
      </c>
      <c r="C1505" s="10">
        <f t="shared" ca="1" si="292"/>
        <v>1800</v>
      </c>
      <c r="D1505" s="11">
        <f t="shared" ca="1" si="300"/>
        <v>0.56996648157807572</v>
      </c>
      <c r="E1505" s="9">
        <f t="shared" ca="1" si="301"/>
        <v>408</v>
      </c>
      <c r="F1505" s="9">
        <f t="shared" ca="1" si="293"/>
        <v>1545</v>
      </c>
      <c r="G1505" s="12" t="str">
        <f t="shared" ca="1" si="294"/>
        <v>No</v>
      </c>
      <c r="H1505" s="12">
        <f t="shared" ca="1" si="302"/>
        <v>0</v>
      </c>
      <c r="I1505" s="10">
        <f t="shared" ca="1" si="295"/>
        <v>0</v>
      </c>
      <c r="J1505" s="13">
        <f t="shared" ca="1" si="296"/>
        <v>0</v>
      </c>
      <c r="K1505" s="14">
        <f t="shared" ca="1" si="297"/>
        <v>309</v>
      </c>
      <c r="L1505" s="14">
        <f t="shared" ca="1" si="298"/>
        <v>0</v>
      </c>
      <c r="M1505" s="15">
        <f t="shared" ca="1" si="299"/>
        <v>309</v>
      </c>
      <c r="N1505" s="16">
        <f ca="1">SUM($M$9:M1505)/A1505</f>
        <v>336.5134268537073</v>
      </c>
    </row>
    <row r="1506" spans="1:14" x14ac:dyDescent="0.25">
      <c r="A1506" s="8">
        <v>1498</v>
      </c>
      <c r="B1506" s="9">
        <f t="shared" ca="1" si="291"/>
        <v>1545</v>
      </c>
      <c r="C1506" s="10">
        <f t="shared" ca="1" si="292"/>
        <v>0</v>
      </c>
      <c r="D1506" s="11">
        <f t="shared" ca="1" si="300"/>
        <v>8.1605352075597493E-2</v>
      </c>
      <c r="E1506" s="9">
        <f t="shared" ca="1" si="301"/>
        <v>330</v>
      </c>
      <c r="F1506" s="9">
        <f t="shared" ca="1" si="293"/>
        <v>1215</v>
      </c>
      <c r="G1506" s="12" t="str">
        <f t="shared" ca="1" si="294"/>
        <v>No</v>
      </c>
      <c r="H1506" s="12">
        <f t="shared" ca="1" si="302"/>
        <v>0</v>
      </c>
      <c r="I1506" s="10">
        <f t="shared" ca="1" si="295"/>
        <v>0</v>
      </c>
      <c r="J1506" s="13">
        <f t="shared" ca="1" si="296"/>
        <v>0</v>
      </c>
      <c r="K1506" s="14">
        <f t="shared" ca="1" si="297"/>
        <v>243</v>
      </c>
      <c r="L1506" s="14">
        <f t="shared" ca="1" si="298"/>
        <v>0</v>
      </c>
      <c r="M1506" s="15">
        <f t="shared" ca="1" si="299"/>
        <v>243</v>
      </c>
      <c r="N1506" s="16">
        <f ca="1">SUM($M$9:M1506)/A1506</f>
        <v>336.4510013351134</v>
      </c>
    </row>
    <row r="1507" spans="1:14" x14ac:dyDescent="0.25">
      <c r="A1507" s="8">
        <v>1499</v>
      </c>
      <c r="B1507" s="9">
        <f t="shared" ca="1" si="291"/>
        <v>1215</v>
      </c>
      <c r="C1507" s="10">
        <f t="shared" ca="1" si="292"/>
        <v>0</v>
      </c>
      <c r="D1507" s="11">
        <f t="shared" ca="1" si="300"/>
        <v>0.89196350837352867</v>
      </c>
      <c r="E1507" s="9">
        <f t="shared" ca="1" si="301"/>
        <v>461</v>
      </c>
      <c r="F1507" s="9">
        <f t="shared" ca="1" si="293"/>
        <v>754</v>
      </c>
      <c r="G1507" s="12" t="str">
        <f t="shared" ca="1" si="294"/>
        <v>Yes</v>
      </c>
      <c r="H1507" s="12">
        <f t="shared" ca="1" si="302"/>
        <v>0.29580939388465322</v>
      </c>
      <c r="I1507" s="10">
        <f t="shared" ca="1" si="295"/>
        <v>1</v>
      </c>
      <c r="J1507" s="13">
        <f t="shared" ca="1" si="296"/>
        <v>300</v>
      </c>
      <c r="K1507" s="14">
        <f t="shared" ca="1" si="297"/>
        <v>150.80000000000001</v>
      </c>
      <c r="L1507" s="14">
        <f t="shared" ca="1" si="298"/>
        <v>0</v>
      </c>
      <c r="M1507" s="15">
        <f t="shared" ca="1" si="299"/>
        <v>450.8</v>
      </c>
      <c r="N1507" s="16">
        <f ca="1">SUM($M$9:M1507)/A1507</f>
        <v>336.52728485657093</v>
      </c>
    </row>
    <row r="1508" spans="1:14" x14ac:dyDescent="0.25">
      <c r="A1508" s="8">
        <v>1500</v>
      </c>
      <c r="B1508" s="9">
        <f t="shared" ca="1" si="291"/>
        <v>2554</v>
      </c>
      <c r="C1508" s="10">
        <f t="shared" ca="1" si="292"/>
        <v>1800</v>
      </c>
      <c r="D1508" s="11">
        <f t="shared" ca="1" si="300"/>
        <v>0.62546274567535809</v>
      </c>
      <c r="E1508" s="9">
        <f t="shared" ca="1" si="301"/>
        <v>415</v>
      </c>
      <c r="F1508" s="9">
        <f t="shared" ca="1" si="293"/>
        <v>2139</v>
      </c>
      <c r="G1508" s="12" t="str">
        <f t="shared" ca="1" si="294"/>
        <v>No</v>
      </c>
      <c r="H1508" s="12">
        <f t="shared" ca="1" si="302"/>
        <v>0</v>
      </c>
      <c r="I1508" s="10">
        <f t="shared" ca="1" si="295"/>
        <v>0</v>
      </c>
      <c r="J1508" s="13">
        <f t="shared" ca="1" si="296"/>
        <v>0</v>
      </c>
      <c r="K1508" s="14">
        <f t="shared" ca="1" si="297"/>
        <v>427.8</v>
      </c>
      <c r="L1508" s="14">
        <f t="shared" ca="1" si="298"/>
        <v>0</v>
      </c>
      <c r="M1508" s="15">
        <f t="shared" ca="1" si="299"/>
        <v>427.8</v>
      </c>
      <c r="N1508" s="16">
        <f ca="1">SUM($M$9:M1508)/A1508</f>
        <v>336.58813333333325</v>
      </c>
    </row>
    <row r="1509" spans="1:14" x14ac:dyDescent="0.25">
      <c r="A1509" s="8">
        <v>1501</v>
      </c>
      <c r="B1509" s="9">
        <f t="shared" ca="1" si="291"/>
        <v>2139</v>
      </c>
      <c r="C1509" s="10">
        <f t="shared" ca="1" si="292"/>
        <v>0</v>
      </c>
      <c r="D1509" s="11">
        <f t="shared" ca="1" si="300"/>
        <v>0.84314457299287449</v>
      </c>
      <c r="E1509" s="9">
        <f t="shared" ca="1" si="301"/>
        <v>450</v>
      </c>
      <c r="F1509" s="9">
        <f t="shared" ca="1" si="293"/>
        <v>1689</v>
      </c>
      <c r="G1509" s="12" t="str">
        <f t="shared" ca="1" si="294"/>
        <v>No</v>
      </c>
      <c r="H1509" s="12">
        <f t="shared" ca="1" si="302"/>
        <v>0</v>
      </c>
      <c r="I1509" s="10">
        <f t="shared" ca="1" si="295"/>
        <v>0</v>
      </c>
      <c r="J1509" s="13">
        <f t="shared" ca="1" si="296"/>
        <v>0</v>
      </c>
      <c r="K1509" s="14">
        <f t="shared" ca="1" si="297"/>
        <v>337.8</v>
      </c>
      <c r="L1509" s="14">
        <f t="shared" ca="1" si="298"/>
        <v>0</v>
      </c>
      <c r="M1509" s="15">
        <f t="shared" ca="1" si="299"/>
        <v>337.8</v>
      </c>
      <c r="N1509" s="16">
        <f ca="1">SUM($M$9:M1509)/A1509</f>
        <v>336.58894070619573</v>
      </c>
    </row>
    <row r="1510" spans="1:14" x14ac:dyDescent="0.25">
      <c r="A1510" s="8">
        <v>1502</v>
      </c>
      <c r="B1510" s="9">
        <f t="shared" ca="1" si="291"/>
        <v>1689</v>
      </c>
      <c r="C1510" s="10">
        <f t="shared" ca="1" si="292"/>
        <v>0</v>
      </c>
      <c r="D1510" s="11">
        <f t="shared" ca="1" si="300"/>
        <v>0.40546750824252131</v>
      </c>
      <c r="E1510" s="9">
        <f t="shared" ca="1" si="301"/>
        <v>388</v>
      </c>
      <c r="F1510" s="9">
        <f t="shared" ca="1" si="293"/>
        <v>1301</v>
      </c>
      <c r="G1510" s="12" t="str">
        <f t="shared" ca="1" si="294"/>
        <v>No</v>
      </c>
      <c r="H1510" s="12">
        <f t="shared" ca="1" si="302"/>
        <v>0</v>
      </c>
      <c r="I1510" s="10">
        <f t="shared" ca="1" si="295"/>
        <v>0</v>
      </c>
      <c r="J1510" s="13">
        <f t="shared" ca="1" si="296"/>
        <v>0</v>
      </c>
      <c r="K1510" s="14">
        <f t="shared" ca="1" si="297"/>
        <v>260.2</v>
      </c>
      <c r="L1510" s="14">
        <f t="shared" ca="1" si="298"/>
        <v>0</v>
      </c>
      <c r="M1510" s="15">
        <f t="shared" ca="1" si="299"/>
        <v>260.2</v>
      </c>
      <c r="N1510" s="16">
        <f ca="1">SUM($M$9:M1510)/A1510</f>
        <v>336.53808255659112</v>
      </c>
    </row>
    <row r="1511" spans="1:14" x14ac:dyDescent="0.25">
      <c r="A1511" s="8">
        <v>1503</v>
      </c>
      <c r="B1511" s="9">
        <f t="shared" ca="1" si="291"/>
        <v>1301</v>
      </c>
      <c r="C1511" s="10">
        <f t="shared" ca="1" si="292"/>
        <v>0</v>
      </c>
      <c r="D1511" s="11">
        <f t="shared" ca="1" si="300"/>
        <v>0.36874315245720835</v>
      </c>
      <c r="E1511" s="9">
        <f t="shared" ca="1" si="301"/>
        <v>383</v>
      </c>
      <c r="F1511" s="9">
        <f t="shared" ca="1" si="293"/>
        <v>918</v>
      </c>
      <c r="G1511" s="12" t="str">
        <f t="shared" ca="1" si="294"/>
        <v>Yes</v>
      </c>
      <c r="H1511" s="12">
        <f t="shared" ca="1" si="302"/>
        <v>0.76638757340832198</v>
      </c>
      <c r="I1511" s="10">
        <f t="shared" ca="1" si="295"/>
        <v>2</v>
      </c>
      <c r="J1511" s="13">
        <f t="shared" ca="1" si="296"/>
        <v>300</v>
      </c>
      <c r="K1511" s="14">
        <f t="shared" ca="1" si="297"/>
        <v>183.60000000000002</v>
      </c>
      <c r="L1511" s="14">
        <f t="shared" ca="1" si="298"/>
        <v>0</v>
      </c>
      <c r="M1511" s="15">
        <f t="shared" ca="1" si="299"/>
        <v>483.6</v>
      </c>
      <c r="N1511" s="16">
        <f ca="1">SUM($M$9:M1511)/A1511</f>
        <v>336.63592814371248</v>
      </c>
    </row>
    <row r="1512" spans="1:14" x14ac:dyDescent="0.25">
      <c r="A1512" s="8">
        <v>1504</v>
      </c>
      <c r="B1512" s="9">
        <f t="shared" ca="1" si="291"/>
        <v>918</v>
      </c>
      <c r="C1512" s="10">
        <f t="shared" ca="1" si="292"/>
        <v>0</v>
      </c>
      <c r="D1512" s="11">
        <f t="shared" ca="1" si="300"/>
        <v>0.15421140788655607</v>
      </c>
      <c r="E1512" s="9">
        <f t="shared" ca="1" si="301"/>
        <v>349</v>
      </c>
      <c r="F1512" s="9">
        <f t="shared" ca="1" si="293"/>
        <v>569</v>
      </c>
      <c r="G1512" s="12" t="str">
        <f t="shared" ca="1" si="294"/>
        <v>No</v>
      </c>
      <c r="H1512" s="12">
        <f t="shared" ca="1" si="302"/>
        <v>0</v>
      </c>
      <c r="I1512" s="10">
        <f t="shared" ca="1" si="295"/>
        <v>1</v>
      </c>
      <c r="J1512" s="13">
        <f t="shared" ca="1" si="296"/>
        <v>0</v>
      </c>
      <c r="K1512" s="14">
        <f t="shared" ca="1" si="297"/>
        <v>113.80000000000001</v>
      </c>
      <c r="L1512" s="14">
        <f t="shared" ca="1" si="298"/>
        <v>0</v>
      </c>
      <c r="M1512" s="15">
        <f t="shared" ca="1" si="299"/>
        <v>113.80000000000001</v>
      </c>
      <c r="N1512" s="16">
        <f ca="1">SUM($M$9:M1512)/A1512</f>
        <v>336.4877659574467</v>
      </c>
    </row>
    <row r="1513" spans="1:14" x14ac:dyDescent="0.25">
      <c r="A1513" s="8">
        <v>1505</v>
      </c>
      <c r="B1513" s="9">
        <f t="shared" ca="1" si="291"/>
        <v>2369</v>
      </c>
      <c r="C1513" s="10">
        <f t="shared" ca="1" si="292"/>
        <v>1800</v>
      </c>
      <c r="D1513" s="11">
        <f t="shared" ca="1" si="300"/>
        <v>0.14890225358069631</v>
      </c>
      <c r="E1513" s="9">
        <f t="shared" ca="1" si="301"/>
        <v>347</v>
      </c>
      <c r="F1513" s="9">
        <f t="shared" ca="1" si="293"/>
        <v>2022</v>
      </c>
      <c r="G1513" s="12" t="str">
        <f t="shared" ca="1" si="294"/>
        <v>No</v>
      </c>
      <c r="H1513" s="12">
        <f t="shared" ca="1" si="302"/>
        <v>0</v>
      </c>
      <c r="I1513" s="10">
        <f t="shared" ca="1" si="295"/>
        <v>0</v>
      </c>
      <c r="J1513" s="13">
        <f t="shared" ca="1" si="296"/>
        <v>0</v>
      </c>
      <c r="K1513" s="14">
        <f t="shared" ca="1" si="297"/>
        <v>404.40000000000003</v>
      </c>
      <c r="L1513" s="14">
        <f t="shared" ca="1" si="298"/>
        <v>0</v>
      </c>
      <c r="M1513" s="15">
        <f t="shared" ca="1" si="299"/>
        <v>404.40000000000003</v>
      </c>
      <c r="N1513" s="16">
        <f ca="1">SUM($M$9:M1513)/A1513</f>
        <v>336.5328903654484</v>
      </c>
    </row>
    <row r="1514" spans="1:14" x14ac:dyDescent="0.25">
      <c r="A1514" s="8">
        <v>1506</v>
      </c>
      <c r="B1514" s="9">
        <f t="shared" ca="1" si="291"/>
        <v>2022</v>
      </c>
      <c r="C1514" s="10">
        <f t="shared" ca="1" si="292"/>
        <v>0</v>
      </c>
      <c r="D1514" s="11">
        <f t="shared" ca="1" si="300"/>
        <v>0.4590233056610693</v>
      </c>
      <c r="E1514" s="9">
        <f t="shared" ca="1" si="301"/>
        <v>394</v>
      </c>
      <c r="F1514" s="9">
        <f t="shared" ca="1" si="293"/>
        <v>1628</v>
      </c>
      <c r="G1514" s="12" t="str">
        <f t="shared" ca="1" si="294"/>
        <v>No</v>
      </c>
      <c r="H1514" s="12">
        <f t="shared" ca="1" si="302"/>
        <v>0</v>
      </c>
      <c r="I1514" s="10">
        <f t="shared" ca="1" si="295"/>
        <v>0</v>
      </c>
      <c r="J1514" s="13">
        <f t="shared" ca="1" si="296"/>
        <v>0</v>
      </c>
      <c r="K1514" s="14">
        <f t="shared" ca="1" si="297"/>
        <v>325.60000000000002</v>
      </c>
      <c r="L1514" s="14">
        <f t="shared" ca="1" si="298"/>
        <v>0</v>
      </c>
      <c r="M1514" s="15">
        <f t="shared" ca="1" si="299"/>
        <v>325.60000000000002</v>
      </c>
      <c r="N1514" s="16">
        <f ca="1">SUM($M$9:M1514)/A1514</f>
        <v>336.52563081009282</v>
      </c>
    </row>
    <row r="1515" spans="1:14" x14ac:dyDescent="0.25">
      <c r="A1515" s="8">
        <v>1507</v>
      </c>
      <c r="B1515" s="9">
        <f t="shared" ca="1" si="291"/>
        <v>1628</v>
      </c>
      <c r="C1515" s="10">
        <f t="shared" ca="1" si="292"/>
        <v>0</v>
      </c>
      <c r="D1515" s="11">
        <f t="shared" ca="1" si="300"/>
        <v>0.30670741851655225</v>
      </c>
      <c r="E1515" s="9">
        <f t="shared" ca="1" si="301"/>
        <v>374</v>
      </c>
      <c r="F1515" s="9">
        <f t="shared" ca="1" si="293"/>
        <v>1254</v>
      </c>
      <c r="G1515" s="12" t="str">
        <f t="shared" ca="1" si="294"/>
        <v>No</v>
      </c>
      <c r="H1515" s="12">
        <f t="shared" ca="1" si="302"/>
        <v>0</v>
      </c>
      <c r="I1515" s="10">
        <f t="shared" ca="1" si="295"/>
        <v>0</v>
      </c>
      <c r="J1515" s="13">
        <f t="shared" ca="1" si="296"/>
        <v>0</v>
      </c>
      <c r="K1515" s="14">
        <f t="shared" ca="1" si="297"/>
        <v>250.8</v>
      </c>
      <c r="L1515" s="14">
        <f t="shared" ca="1" si="298"/>
        <v>0</v>
      </c>
      <c r="M1515" s="15">
        <f t="shared" ca="1" si="299"/>
        <v>250.8</v>
      </c>
      <c r="N1515" s="16">
        <f ca="1">SUM($M$9:M1515)/A1515</f>
        <v>336.46874585268733</v>
      </c>
    </row>
    <row r="1516" spans="1:14" x14ac:dyDescent="0.25">
      <c r="A1516" s="8">
        <v>1508</v>
      </c>
      <c r="B1516" s="9">
        <f t="shared" ca="1" si="291"/>
        <v>1254</v>
      </c>
      <c r="C1516" s="10">
        <f t="shared" ca="1" si="292"/>
        <v>0</v>
      </c>
      <c r="D1516" s="11">
        <f t="shared" ca="1" si="300"/>
        <v>0.43113013001456979</v>
      </c>
      <c r="E1516" s="9">
        <f t="shared" ca="1" si="301"/>
        <v>391</v>
      </c>
      <c r="F1516" s="9">
        <f t="shared" ca="1" si="293"/>
        <v>863</v>
      </c>
      <c r="G1516" s="12" t="str">
        <f t="shared" ca="1" si="294"/>
        <v>Yes</v>
      </c>
      <c r="H1516" s="12">
        <f t="shared" ca="1" si="302"/>
        <v>0.25282966896624881</v>
      </c>
      <c r="I1516" s="10">
        <f t="shared" ca="1" si="295"/>
        <v>1</v>
      </c>
      <c r="J1516" s="13">
        <f t="shared" ca="1" si="296"/>
        <v>300</v>
      </c>
      <c r="K1516" s="14">
        <f t="shared" ca="1" si="297"/>
        <v>172.60000000000002</v>
      </c>
      <c r="L1516" s="14">
        <f t="shared" ca="1" si="298"/>
        <v>0</v>
      </c>
      <c r="M1516" s="15">
        <f t="shared" ca="1" si="299"/>
        <v>472.6</v>
      </c>
      <c r="N1516" s="16">
        <f ca="1">SUM($M$9:M1516)/A1516</f>
        <v>336.5590185676391</v>
      </c>
    </row>
    <row r="1517" spans="1:14" x14ac:dyDescent="0.25">
      <c r="A1517" s="8">
        <v>1509</v>
      </c>
      <c r="B1517" s="9">
        <f t="shared" ca="1" si="291"/>
        <v>2663</v>
      </c>
      <c r="C1517" s="10">
        <f t="shared" ca="1" si="292"/>
        <v>1800</v>
      </c>
      <c r="D1517" s="11">
        <f t="shared" ca="1" si="300"/>
        <v>0.49831951536888186</v>
      </c>
      <c r="E1517" s="9">
        <f t="shared" ca="1" si="301"/>
        <v>399</v>
      </c>
      <c r="F1517" s="9">
        <f t="shared" ca="1" si="293"/>
        <v>2264</v>
      </c>
      <c r="G1517" s="12" t="str">
        <f t="shared" ca="1" si="294"/>
        <v>No</v>
      </c>
      <c r="H1517" s="12">
        <f t="shared" ca="1" si="302"/>
        <v>0</v>
      </c>
      <c r="I1517" s="10">
        <f t="shared" ca="1" si="295"/>
        <v>0</v>
      </c>
      <c r="J1517" s="13">
        <f t="shared" ca="1" si="296"/>
        <v>0</v>
      </c>
      <c r="K1517" s="14">
        <f t="shared" ca="1" si="297"/>
        <v>452.8</v>
      </c>
      <c r="L1517" s="14">
        <f t="shared" ca="1" si="298"/>
        <v>0</v>
      </c>
      <c r="M1517" s="15">
        <f t="shared" ca="1" si="299"/>
        <v>452.8</v>
      </c>
      <c r="N1517" s="16">
        <f ca="1">SUM($M$9:M1517)/A1517</f>
        <v>336.63605036447962</v>
      </c>
    </row>
    <row r="1518" spans="1:14" x14ac:dyDescent="0.25">
      <c r="A1518" s="8">
        <v>1510</v>
      </c>
      <c r="B1518" s="9">
        <f t="shared" ca="1" si="291"/>
        <v>2264</v>
      </c>
      <c r="C1518" s="10">
        <f t="shared" ca="1" si="292"/>
        <v>0</v>
      </c>
      <c r="D1518" s="11">
        <f t="shared" ca="1" si="300"/>
        <v>0.16167234472299974</v>
      </c>
      <c r="E1518" s="9">
        <f t="shared" ca="1" si="301"/>
        <v>350</v>
      </c>
      <c r="F1518" s="9">
        <f t="shared" ca="1" si="293"/>
        <v>1914</v>
      </c>
      <c r="G1518" s="12" t="str">
        <f t="shared" ca="1" si="294"/>
        <v>No</v>
      </c>
      <c r="H1518" s="12">
        <f t="shared" ca="1" si="302"/>
        <v>0</v>
      </c>
      <c r="I1518" s="10">
        <f t="shared" ca="1" si="295"/>
        <v>0</v>
      </c>
      <c r="J1518" s="13">
        <f t="shared" ca="1" si="296"/>
        <v>0</v>
      </c>
      <c r="K1518" s="14">
        <f t="shared" ca="1" si="297"/>
        <v>382.8</v>
      </c>
      <c r="L1518" s="14">
        <f t="shared" ca="1" si="298"/>
        <v>0</v>
      </c>
      <c r="M1518" s="15">
        <f t="shared" ca="1" si="299"/>
        <v>382.8</v>
      </c>
      <c r="N1518" s="16">
        <f ca="1">SUM($M$9:M1518)/A1518</f>
        <v>336.66662251655612</v>
      </c>
    </row>
    <row r="1519" spans="1:14" x14ac:dyDescent="0.25">
      <c r="A1519" s="8">
        <v>1511</v>
      </c>
      <c r="B1519" s="9">
        <f t="shared" ca="1" si="291"/>
        <v>1914</v>
      </c>
      <c r="C1519" s="10">
        <f t="shared" ca="1" si="292"/>
        <v>0</v>
      </c>
      <c r="D1519" s="11">
        <f t="shared" ca="1" si="300"/>
        <v>0.21191728321614456</v>
      </c>
      <c r="E1519" s="9">
        <f t="shared" ca="1" si="301"/>
        <v>360</v>
      </c>
      <c r="F1519" s="9">
        <f t="shared" ca="1" si="293"/>
        <v>1554</v>
      </c>
      <c r="G1519" s="12" t="str">
        <f t="shared" ca="1" si="294"/>
        <v>No</v>
      </c>
      <c r="H1519" s="12">
        <f t="shared" ca="1" si="302"/>
        <v>0</v>
      </c>
      <c r="I1519" s="10">
        <f t="shared" ca="1" si="295"/>
        <v>0</v>
      </c>
      <c r="J1519" s="13">
        <f t="shared" ca="1" si="296"/>
        <v>0</v>
      </c>
      <c r="K1519" s="14">
        <f t="shared" ca="1" si="297"/>
        <v>310.8</v>
      </c>
      <c r="L1519" s="14">
        <f t="shared" ca="1" si="298"/>
        <v>0</v>
      </c>
      <c r="M1519" s="15">
        <f t="shared" ca="1" si="299"/>
        <v>310.8</v>
      </c>
      <c r="N1519" s="16">
        <f ca="1">SUM($M$9:M1519)/A1519</f>
        <v>336.64950363997337</v>
      </c>
    </row>
    <row r="1520" spans="1:14" x14ac:dyDescent="0.25">
      <c r="A1520" s="8">
        <v>1512</v>
      </c>
      <c r="B1520" s="9">
        <f t="shared" ca="1" si="291"/>
        <v>1554</v>
      </c>
      <c r="C1520" s="10">
        <f t="shared" ca="1" si="292"/>
        <v>0</v>
      </c>
      <c r="D1520" s="11">
        <f t="shared" ca="1" si="300"/>
        <v>0.79778647111726653</v>
      </c>
      <c r="E1520" s="9">
        <f t="shared" ca="1" si="301"/>
        <v>441</v>
      </c>
      <c r="F1520" s="9">
        <f t="shared" ca="1" si="293"/>
        <v>1113</v>
      </c>
      <c r="G1520" s="12" t="str">
        <f t="shared" ca="1" si="294"/>
        <v>No</v>
      </c>
      <c r="H1520" s="12">
        <f t="shared" ca="1" si="302"/>
        <v>0</v>
      </c>
      <c r="I1520" s="10">
        <f t="shared" ca="1" si="295"/>
        <v>0</v>
      </c>
      <c r="J1520" s="13">
        <f t="shared" ca="1" si="296"/>
        <v>0</v>
      </c>
      <c r="K1520" s="14">
        <f t="shared" ca="1" si="297"/>
        <v>222.60000000000002</v>
      </c>
      <c r="L1520" s="14">
        <f t="shared" ca="1" si="298"/>
        <v>0</v>
      </c>
      <c r="M1520" s="15">
        <f t="shared" ca="1" si="299"/>
        <v>222.60000000000002</v>
      </c>
      <c r="N1520" s="16">
        <f ca="1">SUM($M$9:M1520)/A1520</f>
        <v>336.57407407407391</v>
      </c>
    </row>
    <row r="1521" spans="1:14" x14ac:dyDescent="0.25">
      <c r="A1521" s="8">
        <v>1513</v>
      </c>
      <c r="B1521" s="9">
        <f t="shared" ca="1" si="291"/>
        <v>1113</v>
      </c>
      <c r="C1521" s="10">
        <f t="shared" ca="1" si="292"/>
        <v>0</v>
      </c>
      <c r="D1521" s="11">
        <f t="shared" ca="1" si="300"/>
        <v>0.23007319905139045</v>
      </c>
      <c r="E1521" s="9">
        <f t="shared" ca="1" si="301"/>
        <v>363</v>
      </c>
      <c r="F1521" s="9">
        <f t="shared" ca="1" si="293"/>
        <v>750</v>
      </c>
      <c r="G1521" s="12" t="str">
        <f t="shared" ca="1" si="294"/>
        <v>Yes</v>
      </c>
      <c r="H1521" s="12">
        <f t="shared" ca="1" si="302"/>
        <v>6.0548881264265941E-2</v>
      </c>
      <c r="I1521" s="10">
        <f t="shared" ca="1" si="295"/>
        <v>1</v>
      </c>
      <c r="J1521" s="13">
        <f t="shared" ca="1" si="296"/>
        <v>300</v>
      </c>
      <c r="K1521" s="14">
        <f t="shared" ca="1" si="297"/>
        <v>150</v>
      </c>
      <c r="L1521" s="14">
        <f t="shared" ca="1" si="298"/>
        <v>0</v>
      </c>
      <c r="M1521" s="15">
        <f t="shared" ca="1" si="299"/>
        <v>450</v>
      </c>
      <c r="N1521" s="16">
        <f ca="1">SUM($M$9:M1521)/A1521</f>
        <v>336.64904163912735</v>
      </c>
    </row>
    <row r="1522" spans="1:14" x14ac:dyDescent="0.25">
      <c r="A1522" s="8">
        <v>1514</v>
      </c>
      <c r="B1522" s="9">
        <f t="shared" ca="1" si="291"/>
        <v>2550</v>
      </c>
      <c r="C1522" s="10">
        <f t="shared" ca="1" si="292"/>
        <v>1800</v>
      </c>
      <c r="D1522" s="11">
        <f t="shared" ca="1" si="300"/>
        <v>0.65101778362189744</v>
      </c>
      <c r="E1522" s="9">
        <f t="shared" ca="1" si="301"/>
        <v>419</v>
      </c>
      <c r="F1522" s="9">
        <f t="shared" ca="1" si="293"/>
        <v>2131</v>
      </c>
      <c r="G1522" s="12" t="str">
        <f t="shared" ca="1" si="294"/>
        <v>No</v>
      </c>
      <c r="H1522" s="12">
        <f t="shared" ca="1" si="302"/>
        <v>0</v>
      </c>
      <c r="I1522" s="10">
        <f t="shared" ca="1" si="295"/>
        <v>0</v>
      </c>
      <c r="J1522" s="13">
        <f t="shared" ca="1" si="296"/>
        <v>0</v>
      </c>
      <c r="K1522" s="14">
        <f t="shared" ca="1" si="297"/>
        <v>426.20000000000005</v>
      </c>
      <c r="L1522" s="14">
        <f t="shared" ca="1" si="298"/>
        <v>0</v>
      </c>
      <c r="M1522" s="15">
        <f t="shared" ca="1" si="299"/>
        <v>426.20000000000005</v>
      </c>
      <c r="N1522" s="16">
        <f ca="1">SUM($M$9:M1522)/A1522</f>
        <v>336.7081902245705</v>
      </c>
    </row>
    <row r="1523" spans="1:14" x14ac:dyDescent="0.25">
      <c r="A1523" s="8">
        <v>1515</v>
      </c>
      <c r="B1523" s="9">
        <f t="shared" ca="1" si="291"/>
        <v>2131</v>
      </c>
      <c r="C1523" s="10">
        <f t="shared" ca="1" si="292"/>
        <v>0</v>
      </c>
      <c r="D1523" s="11">
        <f t="shared" ca="1" si="300"/>
        <v>0.97155943177271831</v>
      </c>
      <c r="E1523" s="9">
        <f t="shared" ca="1" si="301"/>
        <v>495</v>
      </c>
      <c r="F1523" s="9">
        <f t="shared" ca="1" si="293"/>
        <v>1636</v>
      </c>
      <c r="G1523" s="12" t="str">
        <f t="shared" ca="1" si="294"/>
        <v>No</v>
      </c>
      <c r="H1523" s="12">
        <f t="shared" ca="1" si="302"/>
        <v>0</v>
      </c>
      <c r="I1523" s="10">
        <f t="shared" ca="1" si="295"/>
        <v>0</v>
      </c>
      <c r="J1523" s="13">
        <f t="shared" ca="1" si="296"/>
        <v>0</v>
      </c>
      <c r="K1523" s="14">
        <f t="shared" ca="1" si="297"/>
        <v>327.20000000000005</v>
      </c>
      <c r="L1523" s="14">
        <f t="shared" ca="1" si="298"/>
        <v>0</v>
      </c>
      <c r="M1523" s="15">
        <f t="shared" ca="1" si="299"/>
        <v>327.20000000000005</v>
      </c>
      <c r="N1523" s="16">
        <f ca="1">SUM($M$9:M1523)/A1523</f>
        <v>336.70191419141895</v>
      </c>
    </row>
    <row r="1524" spans="1:14" x14ac:dyDescent="0.25">
      <c r="A1524" s="8">
        <v>1516</v>
      </c>
      <c r="B1524" s="9">
        <f t="shared" ca="1" si="291"/>
        <v>1636</v>
      </c>
      <c r="C1524" s="10">
        <f t="shared" ca="1" si="292"/>
        <v>0</v>
      </c>
      <c r="D1524" s="11">
        <f t="shared" ca="1" si="300"/>
        <v>0.7211661943677562</v>
      </c>
      <c r="E1524" s="9">
        <f t="shared" ca="1" si="301"/>
        <v>429</v>
      </c>
      <c r="F1524" s="9">
        <f t="shared" ca="1" si="293"/>
        <v>1207</v>
      </c>
      <c r="G1524" s="12" t="str">
        <f t="shared" ca="1" si="294"/>
        <v>No</v>
      </c>
      <c r="H1524" s="12">
        <f t="shared" ca="1" si="302"/>
        <v>0</v>
      </c>
      <c r="I1524" s="10">
        <f t="shared" ca="1" si="295"/>
        <v>0</v>
      </c>
      <c r="J1524" s="13">
        <f t="shared" ca="1" si="296"/>
        <v>0</v>
      </c>
      <c r="K1524" s="14">
        <f t="shared" ca="1" si="297"/>
        <v>241.4</v>
      </c>
      <c r="L1524" s="14">
        <f t="shared" ca="1" si="298"/>
        <v>0</v>
      </c>
      <c r="M1524" s="15">
        <f t="shared" ca="1" si="299"/>
        <v>241.4</v>
      </c>
      <c r="N1524" s="16">
        <f ca="1">SUM($M$9:M1524)/A1524</f>
        <v>336.63905013192596</v>
      </c>
    </row>
    <row r="1525" spans="1:14" x14ac:dyDescent="0.25">
      <c r="A1525" s="8">
        <v>1517</v>
      </c>
      <c r="B1525" s="9">
        <f t="shared" ca="1" si="291"/>
        <v>1207</v>
      </c>
      <c r="C1525" s="10">
        <f t="shared" ca="1" si="292"/>
        <v>0</v>
      </c>
      <c r="D1525" s="11">
        <f t="shared" ca="1" si="300"/>
        <v>0.92894742054283341</v>
      </c>
      <c r="E1525" s="9">
        <f t="shared" ca="1" si="301"/>
        <v>473</v>
      </c>
      <c r="F1525" s="9">
        <f t="shared" ca="1" si="293"/>
        <v>734</v>
      </c>
      <c r="G1525" s="12" t="str">
        <f t="shared" ca="1" si="294"/>
        <v>Yes</v>
      </c>
      <c r="H1525" s="12">
        <f t="shared" ca="1" si="302"/>
        <v>0.78974432289059671</v>
      </c>
      <c r="I1525" s="10">
        <f t="shared" ca="1" si="295"/>
        <v>2</v>
      </c>
      <c r="J1525" s="13">
        <f t="shared" ca="1" si="296"/>
        <v>300</v>
      </c>
      <c r="K1525" s="14">
        <f t="shared" ca="1" si="297"/>
        <v>146.80000000000001</v>
      </c>
      <c r="L1525" s="14">
        <f t="shared" ca="1" si="298"/>
        <v>0</v>
      </c>
      <c r="M1525" s="15">
        <f t="shared" ca="1" si="299"/>
        <v>446.8</v>
      </c>
      <c r="N1525" s="16">
        <f ca="1">SUM($M$9:M1525)/A1525</f>
        <v>336.71166776532613</v>
      </c>
    </row>
    <row r="1526" spans="1:14" x14ac:dyDescent="0.25">
      <c r="A1526" s="8">
        <v>1518</v>
      </c>
      <c r="B1526" s="9">
        <f t="shared" ca="1" si="291"/>
        <v>734</v>
      </c>
      <c r="C1526" s="10">
        <f t="shared" ca="1" si="292"/>
        <v>0</v>
      </c>
      <c r="D1526" s="11">
        <f t="shared" ca="1" si="300"/>
        <v>0.91690842612323897</v>
      </c>
      <c r="E1526" s="9">
        <f t="shared" ca="1" si="301"/>
        <v>469</v>
      </c>
      <c r="F1526" s="9">
        <f t="shared" ca="1" si="293"/>
        <v>265</v>
      </c>
      <c r="G1526" s="12" t="str">
        <f t="shared" ca="1" si="294"/>
        <v>No</v>
      </c>
      <c r="H1526" s="12">
        <f t="shared" ca="1" si="302"/>
        <v>0</v>
      </c>
      <c r="I1526" s="10">
        <f t="shared" ca="1" si="295"/>
        <v>1</v>
      </c>
      <c r="J1526" s="13">
        <f t="shared" ca="1" si="296"/>
        <v>0</v>
      </c>
      <c r="K1526" s="14">
        <f t="shared" ca="1" si="297"/>
        <v>53</v>
      </c>
      <c r="L1526" s="14">
        <f t="shared" ca="1" si="298"/>
        <v>0</v>
      </c>
      <c r="M1526" s="15">
        <f t="shared" ca="1" si="299"/>
        <v>53</v>
      </c>
      <c r="N1526" s="16">
        <f ca="1">SUM($M$9:M1526)/A1526</f>
        <v>336.52476943346494</v>
      </c>
    </row>
    <row r="1527" spans="1:14" x14ac:dyDescent="0.25">
      <c r="A1527" s="8">
        <v>1519</v>
      </c>
      <c r="B1527" s="9">
        <f t="shared" ca="1" si="291"/>
        <v>2065</v>
      </c>
      <c r="C1527" s="10">
        <f t="shared" ca="1" si="292"/>
        <v>1800</v>
      </c>
      <c r="D1527" s="11">
        <f t="shared" ca="1" si="300"/>
        <v>0.10457504662007355</v>
      </c>
      <c r="E1527" s="9">
        <f t="shared" ca="1" si="301"/>
        <v>337</v>
      </c>
      <c r="F1527" s="9">
        <f t="shared" ca="1" si="293"/>
        <v>1728</v>
      </c>
      <c r="G1527" s="12" t="str">
        <f t="shared" ca="1" si="294"/>
        <v>No</v>
      </c>
      <c r="H1527" s="12">
        <f t="shared" ca="1" si="302"/>
        <v>0</v>
      </c>
      <c r="I1527" s="10">
        <f t="shared" ca="1" si="295"/>
        <v>0</v>
      </c>
      <c r="J1527" s="13">
        <f t="shared" ca="1" si="296"/>
        <v>0</v>
      </c>
      <c r="K1527" s="14">
        <f t="shared" ca="1" si="297"/>
        <v>345.6</v>
      </c>
      <c r="L1527" s="14">
        <f t="shared" ca="1" si="298"/>
        <v>0</v>
      </c>
      <c r="M1527" s="15">
        <f t="shared" ca="1" si="299"/>
        <v>345.6</v>
      </c>
      <c r="N1527" s="16">
        <f ca="1">SUM($M$9:M1527)/A1527</f>
        <v>336.53074391046721</v>
      </c>
    </row>
    <row r="1528" spans="1:14" x14ac:dyDescent="0.25">
      <c r="A1528" s="8">
        <v>1520</v>
      </c>
      <c r="B1528" s="9">
        <f t="shared" ca="1" si="291"/>
        <v>1728</v>
      </c>
      <c r="C1528" s="10">
        <f t="shared" ca="1" si="292"/>
        <v>0</v>
      </c>
      <c r="D1528" s="11">
        <f t="shared" ca="1" si="300"/>
        <v>0.61468137027569447</v>
      </c>
      <c r="E1528" s="9">
        <f t="shared" ca="1" si="301"/>
        <v>414</v>
      </c>
      <c r="F1528" s="9">
        <f t="shared" ca="1" si="293"/>
        <v>1314</v>
      </c>
      <c r="G1528" s="12" t="str">
        <f t="shared" ca="1" si="294"/>
        <v>No</v>
      </c>
      <c r="H1528" s="12">
        <f t="shared" ca="1" si="302"/>
        <v>0</v>
      </c>
      <c r="I1528" s="10">
        <f t="shared" ca="1" si="295"/>
        <v>0</v>
      </c>
      <c r="J1528" s="13">
        <f t="shared" ca="1" si="296"/>
        <v>0</v>
      </c>
      <c r="K1528" s="14">
        <f t="shared" ca="1" si="297"/>
        <v>262.8</v>
      </c>
      <c r="L1528" s="14">
        <f t="shared" ca="1" si="298"/>
        <v>0</v>
      </c>
      <c r="M1528" s="15">
        <f t="shared" ca="1" si="299"/>
        <v>262.8</v>
      </c>
      <c r="N1528" s="16">
        <f ca="1">SUM($M$9:M1528)/A1528</f>
        <v>336.48223684210507</v>
      </c>
    </row>
    <row r="1529" spans="1:14" x14ac:dyDescent="0.25">
      <c r="A1529" s="8">
        <v>1521</v>
      </c>
      <c r="B1529" s="9">
        <f t="shared" ca="1" si="291"/>
        <v>1314</v>
      </c>
      <c r="C1529" s="10">
        <f t="shared" ca="1" si="292"/>
        <v>0</v>
      </c>
      <c r="D1529" s="11">
        <f t="shared" ca="1" si="300"/>
        <v>0.86562617980957302</v>
      </c>
      <c r="E1529" s="9">
        <f t="shared" ca="1" si="301"/>
        <v>455</v>
      </c>
      <c r="F1529" s="9">
        <f t="shared" ca="1" si="293"/>
        <v>859</v>
      </c>
      <c r="G1529" s="12" t="str">
        <f t="shared" ca="1" si="294"/>
        <v>Yes</v>
      </c>
      <c r="H1529" s="12">
        <f t="shared" ca="1" si="302"/>
        <v>0.4905935780496794</v>
      </c>
      <c r="I1529" s="10">
        <f t="shared" ca="1" si="295"/>
        <v>1</v>
      </c>
      <c r="J1529" s="13">
        <f t="shared" ca="1" si="296"/>
        <v>300</v>
      </c>
      <c r="K1529" s="14">
        <f t="shared" ca="1" si="297"/>
        <v>171.8</v>
      </c>
      <c r="L1529" s="14">
        <f t="shared" ca="1" si="298"/>
        <v>0</v>
      </c>
      <c r="M1529" s="15">
        <f t="shared" ca="1" si="299"/>
        <v>471.8</v>
      </c>
      <c r="N1529" s="16">
        <f ca="1">SUM($M$9:M1529)/A1529</f>
        <v>336.57120315581835</v>
      </c>
    </row>
    <row r="1530" spans="1:14" x14ac:dyDescent="0.25">
      <c r="A1530" s="8">
        <v>1522</v>
      </c>
      <c r="B1530" s="9">
        <f t="shared" ca="1" si="291"/>
        <v>2659</v>
      </c>
      <c r="C1530" s="10">
        <f t="shared" ca="1" si="292"/>
        <v>1800</v>
      </c>
      <c r="D1530" s="11">
        <f t="shared" ca="1" si="300"/>
        <v>5.9987659969828133E-2</v>
      </c>
      <c r="E1530" s="9">
        <f t="shared" ca="1" si="301"/>
        <v>322</v>
      </c>
      <c r="F1530" s="9">
        <f t="shared" ca="1" si="293"/>
        <v>2337</v>
      </c>
      <c r="G1530" s="12" t="str">
        <f t="shared" ca="1" si="294"/>
        <v>No</v>
      </c>
      <c r="H1530" s="12">
        <f t="shared" ca="1" si="302"/>
        <v>0</v>
      </c>
      <c r="I1530" s="10">
        <f t="shared" ca="1" si="295"/>
        <v>0</v>
      </c>
      <c r="J1530" s="13">
        <f t="shared" ca="1" si="296"/>
        <v>0</v>
      </c>
      <c r="K1530" s="14">
        <f t="shared" ca="1" si="297"/>
        <v>467.40000000000003</v>
      </c>
      <c r="L1530" s="14">
        <f t="shared" ca="1" si="298"/>
        <v>0</v>
      </c>
      <c r="M1530" s="15">
        <f t="shared" ca="1" si="299"/>
        <v>467.40000000000003</v>
      </c>
      <c r="N1530" s="16">
        <f ca="1">SUM($M$9:M1530)/A1530</f>
        <v>336.65716162943477</v>
      </c>
    </row>
    <row r="1531" spans="1:14" x14ac:dyDescent="0.25">
      <c r="A1531" s="8">
        <v>1523</v>
      </c>
      <c r="B1531" s="9">
        <f t="shared" ca="1" si="291"/>
        <v>2337</v>
      </c>
      <c r="C1531" s="10">
        <f t="shared" ca="1" si="292"/>
        <v>0</v>
      </c>
      <c r="D1531" s="11">
        <f t="shared" ca="1" si="300"/>
        <v>0.17664150194551154</v>
      </c>
      <c r="E1531" s="9">
        <f t="shared" ca="1" si="301"/>
        <v>353</v>
      </c>
      <c r="F1531" s="9">
        <f t="shared" ca="1" si="293"/>
        <v>1984</v>
      </c>
      <c r="G1531" s="12" t="str">
        <f t="shared" ca="1" si="294"/>
        <v>No</v>
      </c>
      <c r="H1531" s="12">
        <f t="shared" ca="1" si="302"/>
        <v>0</v>
      </c>
      <c r="I1531" s="10">
        <f t="shared" ca="1" si="295"/>
        <v>0</v>
      </c>
      <c r="J1531" s="13">
        <f t="shared" ca="1" si="296"/>
        <v>0</v>
      </c>
      <c r="K1531" s="14">
        <f t="shared" ca="1" si="297"/>
        <v>396.8</v>
      </c>
      <c r="L1531" s="14">
        <f t="shared" ca="1" si="298"/>
        <v>0</v>
      </c>
      <c r="M1531" s="15">
        <f t="shared" ca="1" si="299"/>
        <v>396.8</v>
      </c>
      <c r="N1531" s="16">
        <f ca="1">SUM($M$9:M1531)/A1531</f>
        <v>336.69665134602741</v>
      </c>
    </row>
    <row r="1532" spans="1:14" x14ac:dyDescent="0.25">
      <c r="A1532" s="8">
        <v>1524</v>
      </c>
      <c r="B1532" s="9">
        <f t="shared" ca="1" si="291"/>
        <v>1984</v>
      </c>
      <c r="C1532" s="10">
        <f t="shared" ca="1" si="292"/>
        <v>0</v>
      </c>
      <c r="D1532" s="11">
        <f t="shared" ca="1" si="300"/>
        <v>0.80504446776516314</v>
      </c>
      <c r="E1532" s="9">
        <f t="shared" ca="1" si="301"/>
        <v>442</v>
      </c>
      <c r="F1532" s="9">
        <f t="shared" ca="1" si="293"/>
        <v>1542</v>
      </c>
      <c r="G1532" s="12" t="str">
        <f t="shared" ca="1" si="294"/>
        <v>No</v>
      </c>
      <c r="H1532" s="12">
        <f t="shared" ca="1" si="302"/>
        <v>0</v>
      </c>
      <c r="I1532" s="10">
        <f t="shared" ca="1" si="295"/>
        <v>0</v>
      </c>
      <c r="J1532" s="13">
        <f t="shared" ca="1" si="296"/>
        <v>0</v>
      </c>
      <c r="K1532" s="14">
        <f t="shared" ca="1" si="297"/>
        <v>308.40000000000003</v>
      </c>
      <c r="L1532" s="14">
        <f t="shared" ca="1" si="298"/>
        <v>0</v>
      </c>
      <c r="M1532" s="15">
        <f t="shared" ca="1" si="299"/>
        <v>308.40000000000003</v>
      </c>
      <c r="N1532" s="16">
        <f ca="1">SUM($M$9:M1532)/A1532</f>
        <v>336.67808398950115</v>
      </c>
    </row>
    <row r="1533" spans="1:14" x14ac:dyDescent="0.25">
      <c r="A1533" s="8">
        <v>1525</v>
      </c>
      <c r="B1533" s="9">
        <f t="shared" ref="B1533:B1596" ca="1" si="303">IF(I1532=1,F1532+Quantity,F1532)</f>
        <v>1542</v>
      </c>
      <c r="C1533" s="10">
        <f t="shared" ref="C1533:C1596" ca="1" si="304">IF(I1532=1,Quantity,0)</f>
        <v>0</v>
      </c>
      <c r="D1533" s="11">
        <f t="shared" ca="1" si="300"/>
        <v>0.98042418610306215</v>
      </c>
      <c r="E1533" s="9">
        <f t="shared" ca="1" si="301"/>
        <v>503</v>
      </c>
      <c r="F1533" s="9">
        <f t="shared" ref="F1533:F1596" ca="1" si="305">IF(B1533+C1533-E1533&lt;0,0,B1533-E1533)</f>
        <v>1039</v>
      </c>
      <c r="G1533" s="12" t="str">
        <f t="shared" ref="G1533:G1596" ca="1" si="306">IF(B1533&lt;Point,IF(I1532=0,"Yes","No"),"No")</f>
        <v>No</v>
      </c>
      <c r="H1533" s="12">
        <f t="shared" ca="1" si="302"/>
        <v>0</v>
      </c>
      <c r="I1533" s="10">
        <f t="shared" ref="I1533:I1596" ca="1" si="307">IF(I1532&gt;0,I1532-1,(IF(G1533="Yes",(VLOOKUP(H1533,LTD,3)),0)))</f>
        <v>0</v>
      </c>
      <c r="J1533" s="13">
        <f t="shared" ref="J1533:J1596" ca="1" si="308">IF(G1533="Yes",Order_Cost,0)</f>
        <v>0</v>
      </c>
      <c r="K1533" s="14">
        <f t="shared" ref="K1533:K1596" ca="1" si="309">F1533*Holding_Cost</f>
        <v>207.8</v>
      </c>
      <c r="L1533" s="14">
        <f t="shared" ref="L1533:L1596" ca="1" si="310">IF(B1533+C1533&lt;E1533,Shortage_Cost*(E1533-B1533-C1533),0)</f>
        <v>0</v>
      </c>
      <c r="M1533" s="15">
        <f t="shared" ref="M1533:M1596" ca="1" si="311">SUM(J1533:L1533)</f>
        <v>207.8</v>
      </c>
      <c r="N1533" s="16">
        <f ca="1">SUM($M$9:M1533)/A1533</f>
        <v>336.59357377049162</v>
      </c>
    </row>
    <row r="1534" spans="1:14" x14ac:dyDescent="0.25">
      <c r="A1534" s="8">
        <v>1526</v>
      </c>
      <c r="B1534" s="9">
        <f t="shared" ca="1" si="303"/>
        <v>1039</v>
      </c>
      <c r="C1534" s="10">
        <f t="shared" ca="1" si="304"/>
        <v>0</v>
      </c>
      <c r="D1534" s="11">
        <f t="shared" ca="1" si="300"/>
        <v>3.2862402566413706E-4</v>
      </c>
      <c r="E1534" s="9">
        <f t="shared" ca="1" si="301"/>
        <v>229</v>
      </c>
      <c r="F1534" s="9">
        <f t="shared" ca="1" si="305"/>
        <v>810</v>
      </c>
      <c r="G1534" s="12" t="str">
        <f t="shared" ca="1" si="306"/>
        <v>Yes</v>
      </c>
      <c r="H1534" s="12">
        <f t="shared" ca="1" si="302"/>
        <v>0.19831514173234754</v>
      </c>
      <c r="I1534" s="10">
        <f t="shared" ca="1" si="307"/>
        <v>1</v>
      </c>
      <c r="J1534" s="13">
        <f t="shared" ca="1" si="308"/>
        <v>300</v>
      </c>
      <c r="K1534" s="14">
        <f t="shared" ca="1" si="309"/>
        <v>162</v>
      </c>
      <c r="L1534" s="14">
        <f t="shared" ca="1" si="310"/>
        <v>0</v>
      </c>
      <c r="M1534" s="15">
        <f t="shared" ca="1" si="311"/>
        <v>462</v>
      </c>
      <c r="N1534" s="16">
        <f ca="1">SUM($M$9:M1534)/A1534</f>
        <v>336.6757536041938</v>
      </c>
    </row>
    <row r="1535" spans="1:14" x14ac:dyDescent="0.25">
      <c r="A1535" s="8">
        <v>1527</v>
      </c>
      <c r="B1535" s="9">
        <f t="shared" ca="1" si="303"/>
        <v>2610</v>
      </c>
      <c r="C1535" s="10">
        <f t="shared" ca="1" si="304"/>
        <v>1800</v>
      </c>
      <c r="D1535" s="11">
        <f t="shared" ca="1" si="300"/>
        <v>6.8356327224653346E-2</v>
      </c>
      <c r="E1535" s="9">
        <f t="shared" ca="1" si="301"/>
        <v>325</v>
      </c>
      <c r="F1535" s="9">
        <f t="shared" ca="1" si="305"/>
        <v>2285</v>
      </c>
      <c r="G1535" s="12" t="str">
        <f t="shared" ca="1" si="306"/>
        <v>No</v>
      </c>
      <c r="H1535" s="12">
        <f t="shared" ca="1" si="302"/>
        <v>0</v>
      </c>
      <c r="I1535" s="10">
        <f t="shared" ca="1" si="307"/>
        <v>0</v>
      </c>
      <c r="J1535" s="13">
        <f t="shared" ca="1" si="308"/>
        <v>0</v>
      </c>
      <c r="K1535" s="14">
        <f t="shared" ca="1" si="309"/>
        <v>457</v>
      </c>
      <c r="L1535" s="14">
        <f t="shared" ca="1" si="310"/>
        <v>0</v>
      </c>
      <c r="M1535" s="15">
        <f t="shared" ca="1" si="311"/>
        <v>457</v>
      </c>
      <c r="N1535" s="16">
        <f ca="1">SUM($M$9:M1535)/A1535</f>
        <v>336.75455140798931</v>
      </c>
    </row>
    <row r="1536" spans="1:14" x14ac:dyDescent="0.25">
      <c r="A1536" s="8">
        <v>1528</v>
      </c>
      <c r="B1536" s="9">
        <f t="shared" ca="1" si="303"/>
        <v>2285</v>
      </c>
      <c r="C1536" s="10">
        <f t="shared" ca="1" si="304"/>
        <v>0</v>
      </c>
      <c r="D1536" s="11">
        <f t="shared" ca="1" si="300"/>
        <v>0.32646587865374088</v>
      </c>
      <c r="E1536" s="9">
        <f t="shared" ca="1" si="301"/>
        <v>377</v>
      </c>
      <c r="F1536" s="9">
        <f t="shared" ca="1" si="305"/>
        <v>1908</v>
      </c>
      <c r="G1536" s="12" t="str">
        <f t="shared" ca="1" si="306"/>
        <v>No</v>
      </c>
      <c r="H1536" s="12">
        <f t="shared" ca="1" si="302"/>
        <v>0</v>
      </c>
      <c r="I1536" s="10">
        <f t="shared" ca="1" si="307"/>
        <v>0</v>
      </c>
      <c r="J1536" s="13">
        <f t="shared" ca="1" si="308"/>
        <v>0</v>
      </c>
      <c r="K1536" s="14">
        <f t="shared" ca="1" si="309"/>
        <v>381.6</v>
      </c>
      <c r="L1536" s="14">
        <f t="shared" ca="1" si="310"/>
        <v>0</v>
      </c>
      <c r="M1536" s="15">
        <f t="shared" ca="1" si="311"/>
        <v>381.6</v>
      </c>
      <c r="N1536" s="16">
        <f ca="1">SUM($M$9:M1536)/A1536</f>
        <v>336.78390052356002</v>
      </c>
    </row>
    <row r="1537" spans="1:14" x14ac:dyDescent="0.25">
      <c r="A1537" s="8">
        <v>1529</v>
      </c>
      <c r="B1537" s="9">
        <f t="shared" ca="1" si="303"/>
        <v>1908</v>
      </c>
      <c r="C1537" s="10">
        <f t="shared" ca="1" si="304"/>
        <v>0</v>
      </c>
      <c r="D1537" s="11">
        <f t="shared" ca="1" si="300"/>
        <v>0.42775374140844158</v>
      </c>
      <c r="E1537" s="9">
        <f t="shared" ca="1" si="301"/>
        <v>390</v>
      </c>
      <c r="F1537" s="9">
        <f t="shared" ca="1" si="305"/>
        <v>1518</v>
      </c>
      <c r="G1537" s="12" t="str">
        <f t="shared" ca="1" si="306"/>
        <v>No</v>
      </c>
      <c r="H1537" s="12">
        <f t="shared" ca="1" si="302"/>
        <v>0</v>
      </c>
      <c r="I1537" s="10">
        <f t="shared" ca="1" si="307"/>
        <v>0</v>
      </c>
      <c r="J1537" s="13">
        <f t="shared" ca="1" si="308"/>
        <v>0</v>
      </c>
      <c r="K1537" s="14">
        <f t="shared" ca="1" si="309"/>
        <v>303.60000000000002</v>
      </c>
      <c r="L1537" s="14">
        <f t="shared" ca="1" si="310"/>
        <v>0</v>
      </c>
      <c r="M1537" s="15">
        <f t="shared" ca="1" si="311"/>
        <v>303.60000000000002</v>
      </c>
      <c r="N1537" s="16">
        <f ca="1">SUM($M$9:M1537)/A1537</f>
        <v>336.7621975147153</v>
      </c>
    </row>
    <row r="1538" spans="1:14" x14ac:dyDescent="0.25">
      <c r="A1538" s="8">
        <v>1530</v>
      </c>
      <c r="B1538" s="9">
        <f t="shared" ca="1" si="303"/>
        <v>1518</v>
      </c>
      <c r="C1538" s="10">
        <f t="shared" ca="1" si="304"/>
        <v>0</v>
      </c>
      <c r="D1538" s="11">
        <f t="shared" ca="1" si="300"/>
        <v>0.95377609259245499</v>
      </c>
      <c r="E1538" s="9">
        <f t="shared" ca="1" si="301"/>
        <v>484</v>
      </c>
      <c r="F1538" s="9">
        <f t="shared" ca="1" si="305"/>
        <v>1034</v>
      </c>
      <c r="G1538" s="12" t="str">
        <f t="shared" ca="1" si="306"/>
        <v>No</v>
      </c>
      <c r="H1538" s="12">
        <f t="shared" ca="1" si="302"/>
        <v>0</v>
      </c>
      <c r="I1538" s="10">
        <f t="shared" ca="1" si="307"/>
        <v>0</v>
      </c>
      <c r="J1538" s="13">
        <f t="shared" ca="1" si="308"/>
        <v>0</v>
      </c>
      <c r="K1538" s="14">
        <f t="shared" ca="1" si="309"/>
        <v>206.8</v>
      </c>
      <c r="L1538" s="14">
        <f t="shared" ca="1" si="310"/>
        <v>0</v>
      </c>
      <c r="M1538" s="15">
        <f t="shared" ca="1" si="311"/>
        <v>206.8</v>
      </c>
      <c r="N1538" s="16">
        <f ca="1">SUM($M$9:M1538)/A1538</f>
        <v>336.67725490196057</v>
      </c>
    </row>
    <row r="1539" spans="1:14" x14ac:dyDescent="0.25">
      <c r="A1539" s="8">
        <v>1531</v>
      </c>
      <c r="B1539" s="9">
        <f t="shared" ca="1" si="303"/>
        <v>1034</v>
      </c>
      <c r="C1539" s="10">
        <f t="shared" ca="1" si="304"/>
        <v>0</v>
      </c>
      <c r="D1539" s="11">
        <f t="shared" ca="1" si="300"/>
        <v>0.48037759107781119</v>
      </c>
      <c r="E1539" s="9">
        <f t="shared" ca="1" si="301"/>
        <v>397</v>
      </c>
      <c r="F1539" s="9">
        <f t="shared" ca="1" si="305"/>
        <v>637</v>
      </c>
      <c r="G1539" s="12" t="str">
        <f t="shared" ca="1" si="306"/>
        <v>Yes</v>
      </c>
      <c r="H1539" s="12">
        <f t="shared" ca="1" si="302"/>
        <v>0.44494267227272744</v>
      </c>
      <c r="I1539" s="10">
        <f t="shared" ca="1" si="307"/>
        <v>1</v>
      </c>
      <c r="J1539" s="13">
        <f t="shared" ca="1" si="308"/>
        <v>300</v>
      </c>
      <c r="K1539" s="14">
        <f t="shared" ca="1" si="309"/>
        <v>127.4</v>
      </c>
      <c r="L1539" s="14">
        <f t="shared" ca="1" si="310"/>
        <v>0</v>
      </c>
      <c r="M1539" s="15">
        <f t="shared" ca="1" si="311"/>
        <v>427.4</v>
      </c>
      <c r="N1539" s="16">
        <f ca="1">SUM($M$9:M1539)/A1539</f>
        <v>336.73651208360531</v>
      </c>
    </row>
    <row r="1540" spans="1:14" x14ac:dyDescent="0.25">
      <c r="A1540" s="8">
        <v>1532</v>
      </c>
      <c r="B1540" s="9">
        <f t="shared" ca="1" si="303"/>
        <v>2437</v>
      </c>
      <c r="C1540" s="10">
        <f t="shared" ca="1" si="304"/>
        <v>1800</v>
      </c>
      <c r="D1540" s="11">
        <f t="shared" ca="1" si="300"/>
        <v>0.3950799947527962</v>
      </c>
      <c r="E1540" s="9">
        <f t="shared" ca="1" si="301"/>
        <v>386</v>
      </c>
      <c r="F1540" s="9">
        <f t="shared" ca="1" si="305"/>
        <v>2051</v>
      </c>
      <c r="G1540" s="12" t="str">
        <f t="shared" ca="1" si="306"/>
        <v>No</v>
      </c>
      <c r="H1540" s="12">
        <f t="shared" ca="1" si="302"/>
        <v>0</v>
      </c>
      <c r="I1540" s="10">
        <f t="shared" ca="1" si="307"/>
        <v>0</v>
      </c>
      <c r="J1540" s="13">
        <f t="shared" ca="1" si="308"/>
        <v>0</v>
      </c>
      <c r="K1540" s="14">
        <f t="shared" ca="1" si="309"/>
        <v>410.20000000000005</v>
      </c>
      <c r="L1540" s="14">
        <f t="shared" ca="1" si="310"/>
        <v>0</v>
      </c>
      <c r="M1540" s="15">
        <f t="shared" ca="1" si="311"/>
        <v>410.20000000000005</v>
      </c>
      <c r="N1540" s="16">
        <f ca="1">SUM($M$9:M1540)/A1540</f>
        <v>336.78446475195801</v>
      </c>
    </row>
    <row r="1541" spans="1:14" x14ac:dyDescent="0.25">
      <c r="A1541" s="8">
        <v>1533</v>
      </c>
      <c r="B1541" s="9">
        <f t="shared" ca="1" si="303"/>
        <v>2051</v>
      </c>
      <c r="C1541" s="10">
        <f t="shared" ca="1" si="304"/>
        <v>0</v>
      </c>
      <c r="D1541" s="11">
        <f t="shared" ca="1" si="300"/>
        <v>0.63725942215282727</v>
      </c>
      <c r="E1541" s="9">
        <f t="shared" ca="1" si="301"/>
        <v>417</v>
      </c>
      <c r="F1541" s="9">
        <f t="shared" ca="1" si="305"/>
        <v>1634</v>
      </c>
      <c r="G1541" s="12" t="str">
        <f t="shared" ca="1" si="306"/>
        <v>No</v>
      </c>
      <c r="H1541" s="12">
        <f t="shared" ca="1" si="302"/>
        <v>0</v>
      </c>
      <c r="I1541" s="10">
        <f t="shared" ca="1" si="307"/>
        <v>0</v>
      </c>
      <c r="J1541" s="13">
        <f t="shared" ca="1" si="308"/>
        <v>0</v>
      </c>
      <c r="K1541" s="14">
        <f t="shared" ca="1" si="309"/>
        <v>326.8</v>
      </c>
      <c r="L1541" s="14">
        <f t="shared" ca="1" si="310"/>
        <v>0</v>
      </c>
      <c r="M1541" s="15">
        <f t="shared" ca="1" si="311"/>
        <v>326.8</v>
      </c>
      <c r="N1541" s="16">
        <f ca="1">SUM($M$9:M1541)/A1541</f>
        <v>336.77795172863648</v>
      </c>
    </row>
    <row r="1542" spans="1:14" x14ac:dyDescent="0.25">
      <c r="A1542" s="8">
        <v>1534</v>
      </c>
      <c r="B1542" s="9">
        <f t="shared" ca="1" si="303"/>
        <v>1634</v>
      </c>
      <c r="C1542" s="10">
        <f t="shared" ca="1" si="304"/>
        <v>0</v>
      </c>
      <c r="D1542" s="11">
        <f t="shared" ca="1" si="300"/>
        <v>0.45478102812404808</v>
      </c>
      <c r="E1542" s="9">
        <f t="shared" ca="1" si="301"/>
        <v>394</v>
      </c>
      <c r="F1542" s="9">
        <f t="shared" ca="1" si="305"/>
        <v>1240</v>
      </c>
      <c r="G1542" s="12" t="str">
        <f t="shared" ca="1" si="306"/>
        <v>No</v>
      </c>
      <c r="H1542" s="12">
        <f t="shared" ca="1" si="302"/>
        <v>0</v>
      </c>
      <c r="I1542" s="10">
        <f t="shared" ca="1" si="307"/>
        <v>0</v>
      </c>
      <c r="J1542" s="13">
        <f t="shared" ca="1" si="308"/>
        <v>0</v>
      </c>
      <c r="K1542" s="14">
        <f t="shared" ca="1" si="309"/>
        <v>248</v>
      </c>
      <c r="L1542" s="14">
        <f t="shared" ca="1" si="310"/>
        <v>0</v>
      </c>
      <c r="M1542" s="15">
        <f t="shared" ca="1" si="311"/>
        <v>248</v>
      </c>
      <c r="N1542" s="16">
        <f ca="1">SUM($M$9:M1542)/A1542</f>
        <v>336.72007822685771</v>
      </c>
    </row>
    <row r="1543" spans="1:14" x14ac:dyDescent="0.25">
      <c r="A1543" s="8">
        <v>1535</v>
      </c>
      <c r="B1543" s="9">
        <f t="shared" ca="1" si="303"/>
        <v>1240</v>
      </c>
      <c r="C1543" s="10">
        <f t="shared" ca="1" si="304"/>
        <v>0</v>
      </c>
      <c r="D1543" s="11">
        <f t="shared" ca="1" si="300"/>
        <v>0.23153866175516646</v>
      </c>
      <c r="E1543" s="9">
        <f t="shared" ca="1" si="301"/>
        <v>363</v>
      </c>
      <c r="F1543" s="9">
        <f t="shared" ca="1" si="305"/>
        <v>877</v>
      </c>
      <c r="G1543" s="12" t="str">
        <f t="shared" ca="1" si="306"/>
        <v>Yes</v>
      </c>
      <c r="H1543" s="12">
        <f t="shared" ca="1" si="302"/>
        <v>0.92668831316654676</v>
      </c>
      <c r="I1543" s="10">
        <f t="shared" ca="1" si="307"/>
        <v>3</v>
      </c>
      <c r="J1543" s="13">
        <f t="shared" ca="1" si="308"/>
        <v>300</v>
      </c>
      <c r="K1543" s="14">
        <f t="shared" ca="1" si="309"/>
        <v>175.4</v>
      </c>
      <c r="L1543" s="14">
        <f t="shared" ca="1" si="310"/>
        <v>0</v>
      </c>
      <c r="M1543" s="15">
        <f t="shared" ca="1" si="311"/>
        <v>475.4</v>
      </c>
      <c r="N1543" s="16">
        <f ca="1">SUM($M$9:M1543)/A1543</f>
        <v>336.81042345276853</v>
      </c>
    </row>
    <row r="1544" spans="1:14" x14ac:dyDescent="0.25">
      <c r="A1544" s="8">
        <v>1536</v>
      </c>
      <c r="B1544" s="9">
        <f t="shared" ca="1" si="303"/>
        <v>877</v>
      </c>
      <c r="C1544" s="10">
        <f t="shared" ca="1" si="304"/>
        <v>0</v>
      </c>
      <c r="D1544" s="11">
        <f t="shared" ca="1" si="300"/>
        <v>4.6437220393183209E-2</v>
      </c>
      <c r="E1544" s="9">
        <f t="shared" ca="1" si="301"/>
        <v>315</v>
      </c>
      <c r="F1544" s="9">
        <f t="shared" ca="1" si="305"/>
        <v>562</v>
      </c>
      <c r="G1544" s="12" t="str">
        <f t="shared" ca="1" si="306"/>
        <v>No</v>
      </c>
      <c r="H1544" s="12">
        <f t="shared" ca="1" si="302"/>
        <v>0</v>
      </c>
      <c r="I1544" s="10">
        <f t="shared" ca="1" si="307"/>
        <v>2</v>
      </c>
      <c r="J1544" s="13">
        <f t="shared" ca="1" si="308"/>
        <v>0</v>
      </c>
      <c r="K1544" s="14">
        <f t="shared" ca="1" si="309"/>
        <v>112.4</v>
      </c>
      <c r="L1544" s="14">
        <f t="shared" ca="1" si="310"/>
        <v>0</v>
      </c>
      <c r="M1544" s="15">
        <f t="shared" ca="1" si="311"/>
        <v>112.4</v>
      </c>
      <c r="N1544" s="16">
        <f ca="1">SUM($M$9:M1544)/A1544</f>
        <v>336.66432291666649</v>
      </c>
    </row>
    <row r="1545" spans="1:14" x14ac:dyDescent="0.25">
      <c r="A1545" s="8">
        <v>1537</v>
      </c>
      <c r="B1545" s="9">
        <f t="shared" ca="1" si="303"/>
        <v>562</v>
      </c>
      <c r="C1545" s="10">
        <f t="shared" ca="1" si="304"/>
        <v>0</v>
      </c>
      <c r="D1545" s="11">
        <f t="shared" ca="1" si="300"/>
        <v>0.66685937956883024</v>
      </c>
      <c r="E1545" s="9">
        <f t="shared" ca="1" si="301"/>
        <v>421</v>
      </c>
      <c r="F1545" s="9">
        <f t="shared" ca="1" si="305"/>
        <v>141</v>
      </c>
      <c r="G1545" s="12" t="str">
        <f t="shared" ca="1" si="306"/>
        <v>No</v>
      </c>
      <c r="H1545" s="12">
        <f t="shared" ca="1" si="302"/>
        <v>0</v>
      </c>
      <c r="I1545" s="10">
        <f t="shared" ca="1" si="307"/>
        <v>1</v>
      </c>
      <c r="J1545" s="13">
        <f t="shared" ca="1" si="308"/>
        <v>0</v>
      </c>
      <c r="K1545" s="14">
        <f t="shared" ca="1" si="309"/>
        <v>28.200000000000003</v>
      </c>
      <c r="L1545" s="14">
        <f t="shared" ca="1" si="310"/>
        <v>0</v>
      </c>
      <c r="M1545" s="15">
        <f t="shared" ca="1" si="311"/>
        <v>28.200000000000003</v>
      </c>
      <c r="N1545" s="16">
        <f ca="1">SUM($M$9:M1545)/A1545</f>
        <v>336.46363044892632</v>
      </c>
    </row>
    <row r="1546" spans="1:14" x14ac:dyDescent="0.25">
      <c r="A1546" s="8">
        <v>1538</v>
      </c>
      <c r="B1546" s="9">
        <f t="shared" ca="1" si="303"/>
        <v>1941</v>
      </c>
      <c r="C1546" s="10">
        <f t="shared" ca="1" si="304"/>
        <v>1800</v>
      </c>
      <c r="D1546" s="11">
        <f t="shared" ref="D1546:D1609" ca="1" si="312">RAND()</f>
        <v>0.54282951891448128</v>
      </c>
      <c r="E1546" s="9">
        <f t="shared" ref="E1546:E1609" ca="1" si="313">INT(NORMINV(D1546,D_Mean,D_StdDev))</f>
        <v>405</v>
      </c>
      <c r="F1546" s="9">
        <f t="shared" ca="1" si="305"/>
        <v>1536</v>
      </c>
      <c r="G1546" s="12" t="str">
        <f t="shared" ca="1" si="306"/>
        <v>No</v>
      </c>
      <c r="H1546" s="12">
        <f t="shared" ref="H1546:H1609" ca="1" si="314">IF(G1546="Yes",RAND(),0)</f>
        <v>0</v>
      </c>
      <c r="I1546" s="10">
        <f t="shared" ca="1" si="307"/>
        <v>0</v>
      </c>
      <c r="J1546" s="13">
        <f t="shared" ca="1" si="308"/>
        <v>0</v>
      </c>
      <c r="K1546" s="14">
        <f t="shared" ca="1" si="309"/>
        <v>307.20000000000005</v>
      </c>
      <c r="L1546" s="14">
        <f t="shared" ca="1" si="310"/>
        <v>0</v>
      </c>
      <c r="M1546" s="15">
        <f t="shared" ca="1" si="311"/>
        <v>307.20000000000005</v>
      </c>
      <c r="N1546" s="16">
        <f ca="1">SUM($M$9:M1546)/A1546</f>
        <v>336.44460338101413</v>
      </c>
    </row>
    <row r="1547" spans="1:14" x14ac:dyDescent="0.25">
      <c r="A1547" s="8">
        <v>1539</v>
      </c>
      <c r="B1547" s="9">
        <f t="shared" ca="1" si="303"/>
        <v>1536</v>
      </c>
      <c r="C1547" s="10">
        <f t="shared" ca="1" si="304"/>
        <v>0</v>
      </c>
      <c r="D1547" s="11">
        <f t="shared" ca="1" si="312"/>
        <v>5.1241159038375339E-2</v>
      </c>
      <c r="E1547" s="9">
        <f t="shared" ca="1" si="313"/>
        <v>318</v>
      </c>
      <c r="F1547" s="9">
        <f t="shared" ca="1" si="305"/>
        <v>1218</v>
      </c>
      <c r="G1547" s="12" t="str">
        <f t="shared" ca="1" si="306"/>
        <v>No</v>
      </c>
      <c r="H1547" s="12">
        <f t="shared" ca="1" si="314"/>
        <v>0</v>
      </c>
      <c r="I1547" s="10">
        <f t="shared" ca="1" si="307"/>
        <v>0</v>
      </c>
      <c r="J1547" s="13">
        <f t="shared" ca="1" si="308"/>
        <v>0</v>
      </c>
      <c r="K1547" s="14">
        <f t="shared" ca="1" si="309"/>
        <v>243.60000000000002</v>
      </c>
      <c r="L1547" s="14">
        <f t="shared" ca="1" si="310"/>
        <v>0</v>
      </c>
      <c r="M1547" s="15">
        <f t="shared" ca="1" si="311"/>
        <v>243.60000000000002</v>
      </c>
      <c r="N1547" s="16">
        <f ca="1">SUM($M$9:M1547)/A1547</f>
        <v>336.38427550357358</v>
      </c>
    </row>
    <row r="1548" spans="1:14" x14ac:dyDescent="0.25">
      <c r="A1548" s="8">
        <v>1540</v>
      </c>
      <c r="B1548" s="9">
        <f t="shared" ca="1" si="303"/>
        <v>1218</v>
      </c>
      <c r="C1548" s="10">
        <f t="shared" ca="1" si="304"/>
        <v>0</v>
      </c>
      <c r="D1548" s="11">
        <f t="shared" ca="1" si="312"/>
        <v>0.66579158046064646</v>
      </c>
      <c r="E1548" s="9">
        <f t="shared" ca="1" si="313"/>
        <v>421</v>
      </c>
      <c r="F1548" s="9">
        <f t="shared" ca="1" si="305"/>
        <v>797</v>
      </c>
      <c r="G1548" s="12" t="str">
        <f t="shared" ca="1" si="306"/>
        <v>Yes</v>
      </c>
      <c r="H1548" s="12">
        <f t="shared" ca="1" si="314"/>
        <v>0.3442017465860131</v>
      </c>
      <c r="I1548" s="10">
        <f t="shared" ca="1" si="307"/>
        <v>1</v>
      </c>
      <c r="J1548" s="13">
        <f t="shared" ca="1" si="308"/>
        <v>300</v>
      </c>
      <c r="K1548" s="14">
        <f t="shared" ca="1" si="309"/>
        <v>159.4</v>
      </c>
      <c r="L1548" s="14">
        <f t="shared" ca="1" si="310"/>
        <v>0</v>
      </c>
      <c r="M1548" s="15">
        <f t="shared" ca="1" si="311"/>
        <v>459.4</v>
      </c>
      <c r="N1548" s="16">
        <f ca="1">SUM($M$9:M1548)/A1548</f>
        <v>336.4641558441557</v>
      </c>
    </row>
    <row r="1549" spans="1:14" x14ac:dyDescent="0.25">
      <c r="A1549" s="8">
        <v>1541</v>
      </c>
      <c r="B1549" s="9">
        <f t="shared" ca="1" si="303"/>
        <v>2597</v>
      </c>
      <c r="C1549" s="10">
        <f t="shared" ca="1" si="304"/>
        <v>1800</v>
      </c>
      <c r="D1549" s="11">
        <f t="shared" ca="1" si="312"/>
        <v>0.5997311839946684</v>
      </c>
      <c r="E1549" s="9">
        <f t="shared" ca="1" si="313"/>
        <v>412</v>
      </c>
      <c r="F1549" s="9">
        <f t="shared" ca="1" si="305"/>
        <v>2185</v>
      </c>
      <c r="G1549" s="12" t="str">
        <f t="shared" ca="1" si="306"/>
        <v>No</v>
      </c>
      <c r="H1549" s="12">
        <f t="shared" ca="1" si="314"/>
        <v>0</v>
      </c>
      <c r="I1549" s="10">
        <f t="shared" ca="1" si="307"/>
        <v>0</v>
      </c>
      <c r="J1549" s="13">
        <f t="shared" ca="1" si="308"/>
        <v>0</v>
      </c>
      <c r="K1549" s="14">
        <f t="shared" ca="1" si="309"/>
        <v>437</v>
      </c>
      <c r="L1549" s="14">
        <f t="shared" ca="1" si="310"/>
        <v>0</v>
      </c>
      <c r="M1549" s="15">
        <f t="shared" ca="1" si="311"/>
        <v>437</v>
      </c>
      <c r="N1549" s="16">
        <f ca="1">SUM($M$9:M1549)/A1549</f>
        <v>336.52939649578178</v>
      </c>
    </row>
    <row r="1550" spans="1:14" x14ac:dyDescent="0.25">
      <c r="A1550" s="8">
        <v>1542</v>
      </c>
      <c r="B1550" s="9">
        <f t="shared" ca="1" si="303"/>
        <v>2185</v>
      </c>
      <c r="C1550" s="10">
        <f t="shared" ca="1" si="304"/>
        <v>0</v>
      </c>
      <c r="D1550" s="11">
        <f t="shared" ca="1" si="312"/>
        <v>0.7791235098749556</v>
      </c>
      <c r="E1550" s="9">
        <f t="shared" ca="1" si="313"/>
        <v>438</v>
      </c>
      <c r="F1550" s="9">
        <f t="shared" ca="1" si="305"/>
        <v>1747</v>
      </c>
      <c r="G1550" s="12" t="str">
        <f t="shared" ca="1" si="306"/>
        <v>No</v>
      </c>
      <c r="H1550" s="12">
        <f t="shared" ca="1" si="314"/>
        <v>0</v>
      </c>
      <c r="I1550" s="10">
        <f t="shared" ca="1" si="307"/>
        <v>0</v>
      </c>
      <c r="J1550" s="13">
        <f t="shared" ca="1" si="308"/>
        <v>0</v>
      </c>
      <c r="K1550" s="14">
        <f t="shared" ca="1" si="309"/>
        <v>349.40000000000003</v>
      </c>
      <c r="L1550" s="14">
        <f t="shared" ca="1" si="310"/>
        <v>0</v>
      </c>
      <c r="M1550" s="15">
        <f t="shared" ca="1" si="311"/>
        <v>349.40000000000003</v>
      </c>
      <c r="N1550" s="16">
        <f ca="1">SUM($M$9:M1550)/A1550</f>
        <v>336.53774319066133</v>
      </c>
    </row>
    <row r="1551" spans="1:14" x14ac:dyDescent="0.25">
      <c r="A1551" s="8">
        <v>1543</v>
      </c>
      <c r="B1551" s="9">
        <f t="shared" ca="1" si="303"/>
        <v>1747</v>
      </c>
      <c r="C1551" s="10">
        <f t="shared" ca="1" si="304"/>
        <v>0</v>
      </c>
      <c r="D1551" s="11">
        <f t="shared" ca="1" si="312"/>
        <v>0.47869687906386693</v>
      </c>
      <c r="E1551" s="9">
        <f t="shared" ca="1" si="313"/>
        <v>397</v>
      </c>
      <c r="F1551" s="9">
        <f t="shared" ca="1" si="305"/>
        <v>1350</v>
      </c>
      <c r="G1551" s="12" t="str">
        <f t="shared" ca="1" si="306"/>
        <v>No</v>
      </c>
      <c r="H1551" s="12">
        <f t="shared" ca="1" si="314"/>
        <v>0</v>
      </c>
      <c r="I1551" s="10">
        <f t="shared" ca="1" si="307"/>
        <v>0</v>
      </c>
      <c r="J1551" s="13">
        <f t="shared" ca="1" si="308"/>
        <v>0</v>
      </c>
      <c r="K1551" s="14">
        <f t="shared" ca="1" si="309"/>
        <v>270</v>
      </c>
      <c r="L1551" s="14">
        <f t="shared" ca="1" si="310"/>
        <v>0</v>
      </c>
      <c r="M1551" s="15">
        <f t="shared" ca="1" si="311"/>
        <v>270</v>
      </c>
      <c r="N1551" s="16">
        <f ca="1">SUM($M$9:M1551)/A1551</f>
        <v>336.49462086843795</v>
      </c>
    </row>
    <row r="1552" spans="1:14" x14ac:dyDescent="0.25">
      <c r="A1552" s="8">
        <v>1544</v>
      </c>
      <c r="B1552" s="9">
        <f t="shared" ca="1" si="303"/>
        <v>1350</v>
      </c>
      <c r="C1552" s="10">
        <f t="shared" ca="1" si="304"/>
        <v>0</v>
      </c>
      <c r="D1552" s="11">
        <f t="shared" ca="1" si="312"/>
        <v>0.24739675641684966</v>
      </c>
      <c r="E1552" s="9">
        <f t="shared" ca="1" si="313"/>
        <v>365</v>
      </c>
      <c r="F1552" s="9">
        <f t="shared" ca="1" si="305"/>
        <v>985</v>
      </c>
      <c r="G1552" s="12" t="str">
        <f t="shared" ca="1" si="306"/>
        <v>Yes</v>
      </c>
      <c r="H1552" s="12">
        <f t="shared" ca="1" si="314"/>
        <v>0.9181410240150184</v>
      </c>
      <c r="I1552" s="10">
        <f t="shared" ca="1" si="307"/>
        <v>3</v>
      </c>
      <c r="J1552" s="13">
        <f t="shared" ca="1" si="308"/>
        <v>300</v>
      </c>
      <c r="K1552" s="14">
        <f t="shared" ca="1" si="309"/>
        <v>197</v>
      </c>
      <c r="L1552" s="14">
        <f t="shared" ca="1" si="310"/>
        <v>0</v>
      </c>
      <c r="M1552" s="15">
        <f t="shared" ca="1" si="311"/>
        <v>497</v>
      </c>
      <c r="N1552" s="16">
        <f ca="1">SUM($M$9:M1552)/A1552</f>
        <v>336.59857512953351</v>
      </c>
    </row>
    <row r="1553" spans="1:14" x14ac:dyDescent="0.25">
      <c r="A1553" s="8">
        <v>1545</v>
      </c>
      <c r="B1553" s="9">
        <f t="shared" ca="1" si="303"/>
        <v>985</v>
      </c>
      <c r="C1553" s="10">
        <f t="shared" ca="1" si="304"/>
        <v>0</v>
      </c>
      <c r="D1553" s="11">
        <f t="shared" ca="1" si="312"/>
        <v>0.64108025255758916</v>
      </c>
      <c r="E1553" s="9">
        <f t="shared" ca="1" si="313"/>
        <v>418</v>
      </c>
      <c r="F1553" s="9">
        <f t="shared" ca="1" si="305"/>
        <v>567</v>
      </c>
      <c r="G1553" s="12" t="str">
        <f t="shared" ca="1" si="306"/>
        <v>No</v>
      </c>
      <c r="H1553" s="12">
        <f t="shared" ca="1" si="314"/>
        <v>0</v>
      </c>
      <c r="I1553" s="10">
        <f t="shared" ca="1" si="307"/>
        <v>2</v>
      </c>
      <c r="J1553" s="13">
        <f t="shared" ca="1" si="308"/>
        <v>0</v>
      </c>
      <c r="K1553" s="14">
        <f t="shared" ca="1" si="309"/>
        <v>113.4</v>
      </c>
      <c r="L1553" s="14">
        <f t="shared" ca="1" si="310"/>
        <v>0</v>
      </c>
      <c r="M1553" s="15">
        <f t="shared" ca="1" si="311"/>
        <v>113.4</v>
      </c>
      <c r="N1553" s="16">
        <f ca="1">SUM($M$9:M1553)/A1553</f>
        <v>336.45411003236234</v>
      </c>
    </row>
    <row r="1554" spans="1:14" x14ac:dyDescent="0.25">
      <c r="A1554" s="8">
        <v>1546</v>
      </c>
      <c r="B1554" s="9">
        <f t="shared" ca="1" si="303"/>
        <v>567</v>
      </c>
      <c r="C1554" s="10">
        <f t="shared" ca="1" si="304"/>
        <v>0</v>
      </c>
      <c r="D1554" s="11">
        <f t="shared" ca="1" si="312"/>
        <v>0.67564401386446926</v>
      </c>
      <c r="E1554" s="9">
        <f t="shared" ca="1" si="313"/>
        <v>422</v>
      </c>
      <c r="F1554" s="9">
        <f t="shared" ca="1" si="305"/>
        <v>145</v>
      </c>
      <c r="G1554" s="12" t="str">
        <f t="shared" ca="1" si="306"/>
        <v>No</v>
      </c>
      <c r="H1554" s="12">
        <f t="shared" ca="1" si="314"/>
        <v>0</v>
      </c>
      <c r="I1554" s="10">
        <f t="shared" ca="1" si="307"/>
        <v>1</v>
      </c>
      <c r="J1554" s="13">
        <f t="shared" ca="1" si="308"/>
        <v>0</v>
      </c>
      <c r="K1554" s="14">
        <f t="shared" ca="1" si="309"/>
        <v>29</v>
      </c>
      <c r="L1554" s="14">
        <f t="shared" ca="1" si="310"/>
        <v>0</v>
      </c>
      <c r="M1554" s="15">
        <f t="shared" ca="1" si="311"/>
        <v>29</v>
      </c>
      <c r="N1554" s="16">
        <f ca="1">SUM($M$9:M1554)/A1554</f>
        <v>336.25523932729612</v>
      </c>
    </row>
    <row r="1555" spans="1:14" x14ac:dyDescent="0.25">
      <c r="A1555" s="8">
        <v>1547</v>
      </c>
      <c r="B1555" s="9">
        <f t="shared" ca="1" si="303"/>
        <v>1945</v>
      </c>
      <c r="C1555" s="10">
        <f t="shared" ca="1" si="304"/>
        <v>1800</v>
      </c>
      <c r="D1555" s="11">
        <f t="shared" ca="1" si="312"/>
        <v>0.52042922539801739</v>
      </c>
      <c r="E1555" s="9">
        <f t="shared" ca="1" si="313"/>
        <v>402</v>
      </c>
      <c r="F1555" s="9">
        <f t="shared" ca="1" si="305"/>
        <v>1543</v>
      </c>
      <c r="G1555" s="12" t="str">
        <f t="shared" ca="1" si="306"/>
        <v>No</v>
      </c>
      <c r="H1555" s="12">
        <f t="shared" ca="1" si="314"/>
        <v>0</v>
      </c>
      <c r="I1555" s="10">
        <f t="shared" ca="1" si="307"/>
        <v>0</v>
      </c>
      <c r="J1555" s="13">
        <f t="shared" ca="1" si="308"/>
        <v>0</v>
      </c>
      <c r="K1555" s="14">
        <f t="shared" ca="1" si="309"/>
        <v>308.60000000000002</v>
      </c>
      <c r="L1555" s="14">
        <f t="shared" ca="1" si="310"/>
        <v>0</v>
      </c>
      <c r="M1555" s="15">
        <f t="shared" ca="1" si="311"/>
        <v>308.60000000000002</v>
      </c>
      <c r="N1555" s="16">
        <f ca="1">SUM($M$9:M1555)/A1555</f>
        <v>336.23736263736248</v>
      </c>
    </row>
    <row r="1556" spans="1:14" x14ac:dyDescent="0.25">
      <c r="A1556" s="8">
        <v>1548</v>
      </c>
      <c r="B1556" s="9">
        <f t="shared" ca="1" si="303"/>
        <v>1543</v>
      </c>
      <c r="C1556" s="10">
        <f t="shared" ca="1" si="304"/>
        <v>0</v>
      </c>
      <c r="D1556" s="11">
        <f t="shared" ca="1" si="312"/>
        <v>0.45154823746909023</v>
      </c>
      <c r="E1556" s="9">
        <f t="shared" ca="1" si="313"/>
        <v>393</v>
      </c>
      <c r="F1556" s="9">
        <f t="shared" ca="1" si="305"/>
        <v>1150</v>
      </c>
      <c r="G1556" s="12" t="str">
        <f t="shared" ca="1" si="306"/>
        <v>No</v>
      </c>
      <c r="H1556" s="12">
        <f t="shared" ca="1" si="314"/>
        <v>0</v>
      </c>
      <c r="I1556" s="10">
        <f t="shared" ca="1" si="307"/>
        <v>0</v>
      </c>
      <c r="J1556" s="13">
        <f t="shared" ca="1" si="308"/>
        <v>0</v>
      </c>
      <c r="K1556" s="14">
        <f t="shared" ca="1" si="309"/>
        <v>230</v>
      </c>
      <c r="L1556" s="14">
        <f t="shared" ca="1" si="310"/>
        <v>0</v>
      </c>
      <c r="M1556" s="15">
        <f t="shared" ca="1" si="311"/>
        <v>230</v>
      </c>
      <c r="N1556" s="16">
        <f ca="1">SUM($M$9:M1556)/A1556</f>
        <v>336.16873385012906</v>
      </c>
    </row>
    <row r="1557" spans="1:14" x14ac:dyDescent="0.25">
      <c r="A1557" s="8">
        <v>1549</v>
      </c>
      <c r="B1557" s="9">
        <f t="shared" ca="1" si="303"/>
        <v>1150</v>
      </c>
      <c r="C1557" s="10">
        <f t="shared" ca="1" si="304"/>
        <v>0</v>
      </c>
      <c r="D1557" s="11">
        <f t="shared" ca="1" si="312"/>
        <v>0.76889367975221912</v>
      </c>
      <c r="E1557" s="9">
        <f t="shared" ca="1" si="313"/>
        <v>436</v>
      </c>
      <c r="F1557" s="9">
        <f t="shared" ca="1" si="305"/>
        <v>714</v>
      </c>
      <c r="G1557" s="12" t="str">
        <f t="shared" ca="1" si="306"/>
        <v>Yes</v>
      </c>
      <c r="H1557" s="12">
        <f t="shared" ca="1" si="314"/>
        <v>0.72415520430748903</v>
      </c>
      <c r="I1557" s="10">
        <f t="shared" ca="1" si="307"/>
        <v>2</v>
      </c>
      <c r="J1557" s="13">
        <f t="shared" ca="1" si="308"/>
        <v>300</v>
      </c>
      <c r="K1557" s="14">
        <f t="shared" ca="1" si="309"/>
        <v>142.80000000000001</v>
      </c>
      <c r="L1557" s="14">
        <f t="shared" ca="1" si="310"/>
        <v>0</v>
      </c>
      <c r="M1557" s="15">
        <f t="shared" ca="1" si="311"/>
        <v>442.8</v>
      </c>
      <c r="N1557" s="16">
        <f ca="1">SUM($M$9:M1557)/A1557</f>
        <v>336.23757262750144</v>
      </c>
    </row>
    <row r="1558" spans="1:14" x14ac:dyDescent="0.25">
      <c r="A1558" s="8">
        <v>1550</v>
      </c>
      <c r="B1558" s="9">
        <f t="shared" ca="1" si="303"/>
        <v>714</v>
      </c>
      <c r="C1558" s="10">
        <f t="shared" ca="1" si="304"/>
        <v>0</v>
      </c>
      <c r="D1558" s="11">
        <f t="shared" ca="1" si="312"/>
        <v>0.51895848457023586</v>
      </c>
      <c r="E1558" s="9">
        <f t="shared" ca="1" si="313"/>
        <v>402</v>
      </c>
      <c r="F1558" s="9">
        <f t="shared" ca="1" si="305"/>
        <v>312</v>
      </c>
      <c r="G1558" s="12" t="str">
        <f t="shared" ca="1" si="306"/>
        <v>No</v>
      </c>
      <c r="H1558" s="12">
        <f t="shared" ca="1" si="314"/>
        <v>0</v>
      </c>
      <c r="I1558" s="10">
        <f t="shared" ca="1" si="307"/>
        <v>1</v>
      </c>
      <c r="J1558" s="13">
        <f t="shared" ca="1" si="308"/>
        <v>0</v>
      </c>
      <c r="K1558" s="14">
        <f t="shared" ca="1" si="309"/>
        <v>62.400000000000006</v>
      </c>
      <c r="L1558" s="14">
        <f t="shared" ca="1" si="310"/>
        <v>0</v>
      </c>
      <c r="M1558" s="15">
        <f t="shared" ca="1" si="311"/>
        <v>62.400000000000006</v>
      </c>
      <c r="N1558" s="16">
        <f ca="1">SUM($M$9:M1558)/A1558</f>
        <v>336.06090322580633</v>
      </c>
    </row>
    <row r="1559" spans="1:14" x14ac:dyDescent="0.25">
      <c r="A1559" s="8">
        <v>1551</v>
      </c>
      <c r="B1559" s="9">
        <f t="shared" ca="1" si="303"/>
        <v>2112</v>
      </c>
      <c r="C1559" s="10">
        <f t="shared" ca="1" si="304"/>
        <v>1800</v>
      </c>
      <c r="D1559" s="11">
        <f t="shared" ca="1" si="312"/>
        <v>0.11010235912953359</v>
      </c>
      <c r="E1559" s="9">
        <f t="shared" ca="1" si="313"/>
        <v>338</v>
      </c>
      <c r="F1559" s="9">
        <f t="shared" ca="1" si="305"/>
        <v>1774</v>
      </c>
      <c r="G1559" s="12" t="str">
        <f t="shared" ca="1" si="306"/>
        <v>No</v>
      </c>
      <c r="H1559" s="12">
        <f t="shared" ca="1" si="314"/>
        <v>0</v>
      </c>
      <c r="I1559" s="10">
        <f t="shared" ca="1" si="307"/>
        <v>0</v>
      </c>
      <c r="J1559" s="13">
        <f t="shared" ca="1" si="308"/>
        <v>0</v>
      </c>
      <c r="K1559" s="14">
        <f t="shared" ca="1" si="309"/>
        <v>354.8</v>
      </c>
      <c r="L1559" s="14">
        <f t="shared" ca="1" si="310"/>
        <v>0</v>
      </c>
      <c r="M1559" s="15">
        <f t="shared" ca="1" si="311"/>
        <v>354.8</v>
      </c>
      <c r="N1559" s="16">
        <f ca="1">SUM($M$9:M1559)/A1559</f>
        <v>336.07298517085735</v>
      </c>
    </row>
    <row r="1560" spans="1:14" x14ac:dyDescent="0.25">
      <c r="A1560" s="8">
        <v>1552</v>
      </c>
      <c r="B1560" s="9">
        <f t="shared" ca="1" si="303"/>
        <v>1774</v>
      </c>
      <c r="C1560" s="10">
        <f t="shared" ca="1" si="304"/>
        <v>0</v>
      </c>
      <c r="D1560" s="11">
        <f t="shared" ca="1" si="312"/>
        <v>0.94765373687849386</v>
      </c>
      <c r="E1560" s="9">
        <f t="shared" ca="1" si="313"/>
        <v>481</v>
      </c>
      <c r="F1560" s="9">
        <f t="shared" ca="1" si="305"/>
        <v>1293</v>
      </c>
      <c r="G1560" s="12" t="str">
        <f t="shared" ca="1" si="306"/>
        <v>No</v>
      </c>
      <c r="H1560" s="12">
        <f t="shared" ca="1" si="314"/>
        <v>0</v>
      </c>
      <c r="I1560" s="10">
        <f t="shared" ca="1" si="307"/>
        <v>0</v>
      </c>
      <c r="J1560" s="13">
        <f t="shared" ca="1" si="308"/>
        <v>0</v>
      </c>
      <c r="K1560" s="14">
        <f t="shared" ca="1" si="309"/>
        <v>258.60000000000002</v>
      </c>
      <c r="L1560" s="14">
        <f t="shared" ca="1" si="310"/>
        <v>0</v>
      </c>
      <c r="M1560" s="15">
        <f t="shared" ca="1" si="311"/>
        <v>258.60000000000002</v>
      </c>
      <c r="N1560" s="16">
        <f ca="1">SUM($M$9:M1560)/A1560</f>
        <v>336.02306701030915</v>
      </c>
    </row>
    <row r="1561" spans="1:14" x14ac:dyDescent="0.25">
      <c r="A1561" s="8">
        <v>1553</v>
      </c>
      <c r="B1561" s="9">
        <f t="shared" ca="1" si="303"/>
        <v>1293</v>
      </c>
      <c r="C1561" s="10">
        <f t="shared" ca="1" si="304"/>
        <v>0</v>
      </c>
      <c r="D1561" s="11">
        <f t="shared" ca="1" si="312"/>
        <v>0.88890166843756946</v>
      </c>
      <c r="E1561" s="9">
        <f t="shared" ca="1" si="313"/>
        <v>461</v>
      </c>
      <c r="F1561" s="9">
        <f t="shared" ca="1" si="305"/>
        <v>832</v>
      </c>
      <c r="G1561" s="12" t="str">
        <f t="shared" ca="1" si="306"/>
        <v>Yes</v>
      </c>
      <c r="H1561" s="12">
        <f t="shared" ca="1" si="314"/>
        <v>0.31378538634933706</v>
      </c>
      <c r="I1561" s="10">
        <f t="shared" ca="1" si="307"/>
        <v>1</v>
      </c>
      <c r="J1561" s="13">
        <f t="shared" ca="1" si="308"/>
        <v>300</v>
      </c>
      <c r="K1561" s="14">
        <f t="shared" ca="1" si="309"/>
        <v>166.4</v>
      </c>
      <c r="L1561" s="14">
        <f t="shared" ca="1" si="310"/>
        <v>0</v>
      </c>
      <c r="M1561" s="15">
        <f t="shared" ca="1" si="311"/>
        <v>466.4</v>
      </c>
      <c r="N1561" s="16">
        <f ca="1">SUM($M$9:M1561)/A1561</f>
        <v>336.10701867353492</v>
      </c>
    </row>
    <row r="1562" spans="1:14" x14ac:dyDescent="0.25">
      <c r="A1562" s="8">
        <v>1554</v>
      </c>
      <c r="B1562" s="9">
        <f t="shared" ca="1" si="303"/>
        <v>2632</v>
      </c>
      <c r="C1562" s="10">
        <f t="shared" ca="1" si="304"/>
        <v>1800</v>
      </c>
      <c r="D1562" s="11">
        <f t="shared" ca="1" si="312"/>
        <v>0.7092850001326797</v>
      </c>
      <c r="E1562" s="9">
        <f t="shared" ca="1" si="313"/>
        <v>427</v>
      </c>
      <c r="F1562" s="9">
        <f t="shared" ca="1" si="305"/>
        <v>2205</v>
      </c>
      <c r="G1562" s="12" t="str">
        <f t="shared" ca="1" si="306"/>
        <v>No</v>
      </c>
      <c r="H1562" s="12">
        <f t="shared" ca="1" si="314"/>
        <v>0</v>
      </c>
      <c r="I1562" s="10">
        <f t="shared" ca="1" si="307"/>
        <v>0</v>
      </c>
      <c r="J1562" s="13">
        <f t="shared" ca="1" si="308"/>
        <v>0</v>
      </c>
      <c r="K1562" s="14">
        <f t="shared" ca="1" si="309"/>
        <v>441</v>
      </c>
      <c r="L1562" s="14">
        <f t="shared" ca="1" si="310"/>
        <v>0</v>
      </c>
      <c r="M1562" s="15">
        <f t="shared" ca="1" si="311"/>
        <v>441</v>
      </c>
      <c r="N1562" s="16">
        <f ca="1">SUM($M$9:M1562)/A1562</f>
        <v>336.17451737451722</v>
      </c>
    </row>
    <row r="1563" spans="1:14" x14ac:dyDescent="0.25">
      <c r="A1563" s="8">
        <v>1555</v>
      </c>
      <c r="B1563" s="9">
        <f t="shared" ca="1" si="303"/>
        <v>2205</v>
      </c>
      <c r="C1563" s="10">
        <f t="shared" ca="1" si="304"/>
        <v>0</v>
      </c>
      <c r="D1563" s="11">
        <f t="shared" ca="1" si="312"/>
        <v>0.17604562206224539</v>
      </c>
      <c r="E1563" s="9">
        <f t="shared" ca="1" si="313"/>
        <v>353</v>
      </c>
      <c r="F1563" s="9">
        <f t="shared" ca="1" si="305"/>
        <v>1852</v>
      </c>
      <c r="G1563" s="12" t="str">
        <f t="shared" ca="1" si="306"/>
        <v>No</v>
      </c>
      <c r="H1563" s="12">
        <f t="shared" ca="1" si="314"/>
        <v>0</v>
      </c>
      <c r="I1563" s="10">
        <f t="shared" ca="1" si="307"/>
        <v>0</v>
      </c>
      <c r="J1563" s="13">
        <f t="shared" ca="1" si="308"/>
        <v>0</v>
      </c>
      <c r="K1563" s="14">
        <f t="shared" ca="1" si="309"/>
        <v>370.40000000000003</v>
      </c>
      <c r="L1563" s="14">
        <f t="shared" ca="1" si="310"/>
        <v>0</v>
      </c>
      <c r="M1563" s="15">
        <f t="shared" ca="1" si="311"/>
        <v>370.40000000000003</v>
      </c>
      <c r="N1563" s="16">
        <f ca="1">SUM($M$9:M1563)/A1563</f>
        <v>336.1965273311896</v>
      </c>
    </row>
    <row r="1564" spans="1:14" x14ac:dyDescent="0.25">
      <c r="A1564" s="8">
        <v>1556</v>
      </c>
      <c r="B1564" s="9">
        <f t="shared" ca="1" si="303"/>
        <v>1852</v>
      </c>
      <c r="C1564" s="10">
        <f t="shared" ca="1" si="304"/>
        <v>0</v>
      </c>
      <c r="D1564" s="11">
        <f t="shared" ca="1" si="312"/>
        <v>0.56727592980096042</v>
      </c>
      <c r="E1564" s="9">
        <f t="shared" ca="1" si="313"/>
        <v>408</v>
      </c>
      <c r="F1564" s="9">
        <f t="shared" ca="1" si="305"/>
        <v>1444</v>
      </c>
      <c r="G1564" s="12" t="str">
        <f t="shared" ca="1" si="306"/>
        <v>No</v>
      </c>
      <c r="H1564" s="12">
        <f t="shared" ca="1" si="314"/>
        <v>0</v>
      </c>
      <c r="I1564" s="10">
        <f t="shared" ca="1" si="307"/>
        <v>0</v>
      </c>
      <c r="J1564" s="13">
        <f t="shared" ca="1" si="308"/>
        <v>0</v>
      </c>
      <c r="K1564" s="14">
        <f t="shared" ca="1" si="309"/>
        <v>288.8</v>
      </c>
      <c r="L1564" s="14">
        <f t="shared" ca="1" si="310"/>
        <v>0</v>
      </c>
      <c r="M1564" s="15">
        <f t="shared" ca="1" si="311"/>
        <v>288.8</v>
      </c>
      <c r="N1564" s="16">
        <f ca="1">SUM($M$9:M1564)/A1564</f>
        <v>336.16606683804616</v>
      </c>
    </row>
    <row r="1565" spans="1:14" x14ac:dyDescent="0.25">
      <c r="A1565" s="8">
        <v>1557</v>
      </c>
      <c r="B1565" s="9">
        <f t="shared" ca="1" si="303"/>
        <v>1444</v>
      </c>
      <c r="C1565" s="10">
        <f t="shared" ca="1" si="304"/>
        <v>0</v>
      </c>
      <c r="D1565" s="11">
        <f t="shared" ca="1" si="312"/>
        <v>0.33306710182997679</v>
      </c>
      <c r="E1565" s="9">
        <f t="shared" ca="1" si="313"/>
        <v>378</v>
      </c>
      <c r="F1565" s="9">
        <f t="shared" ca="1" si="305"/>
        <v>1066</v>
      </c>
      <c r="G1565" s="12" t="str">
        <f t="shared" ca="1" si="306"/>
        <v>No</v>
      </c>
      <c r="H1565" s="12">
        <f t="shared" ca="1" si="314"/>
        <v>0</v>
      </c>
      <c r="I1565" s="10">
        <f t="shared" ca="1" si="307"/>
        <v>0</v>
      </c>
      <c r="J1565" s="13">
        <f t="shared" ca="1" si="308"/>
        <v>0</v>
      </c>
      <c r="K1565" s="14">
        <f t="shared" ca="1" si="309"/>
        <v>213.20000000000002</v>
      </c>
      <c r="L1565" s="14">
        <f t="shared" ca="1" si="310"/>
        <v>0</v>
      </c>
      <c r="M1565" s="15">
        <f t="shared" ca="1" si="311"/>
        <v>213.20000000000002</v>
      </c>
      <c r="N1565" s="16">
        <f ca="1">SUM($M$9:M1565)/A1565</f>
        <v>336.0870905587667</v>
      </c>
    </row>
    <row r="1566" spans="1:14" x14ac:dyDescent="0.25">
      <c r="A1566" s="8">
        <v>1558</v>
      </c>
      <c r="B1566" s="9">
        <f t="shared" ca="1" si="303"/>
        <v>1066</v>
      </c>
      <c r="C1566" s="10">
        <f t="shared" ca="1" si="304"/>
        <v>0</v>
      </c>
      <c r="D1566" s="11">
        <f t="shared" ca="1" si="312"/>
        <v>0.85742567358614497</v>
      </c>
      <c r="E1566" s="9">
        <f t="shared" ca="1" si="313"/>
        <v>453</v>
      </c>
      <c r="F1566" s="9">
        <f t="shared" ca="1" si="305"/>
        <v>613</v>
      </c>
      <c r="G1566" s="12" t="str">
        <f t="shared" ca="1" si="306"/>
        <v>Yes</v>
      </c>
      <c r="H1566" s="12">
        <f t="shared" ca="1" si="314"/>
        <v>0.12589483347620145</v>
      </c>
      <c r="I1566" s="10">
        <f t="shared" ca="1" si="307"/>
        <v>1</v>
      </c>
      <c r="J1566" s="13">
        <f t="shared" ca="1" si="308"/>
        <v>300</v>
      </c>
      <c r="K1566" s="14">
        <f t="shared" ca="1" si="309"/>
        <v>122.60000000000001</v>
      </c>
      <c r="L1566" s="14">
        <f t="shared" ca="1" si="310"/>
        <v>0</v>
      </c>
      <c r="M1566" s="15">
        <f t="shared" ca="1" si="311"/>
        <v>422.6</v>
      </c>
      <c r="N1566" s="16">
        <f ca="1">SUM($M$9:M1566)/A1566</f>
        <v>336.14261874197678</v>
      </c>
    </row>
    <row r="1567" spans="1:14" x14ac:dyDescent="0.25">
      <c r="A1567" s="8">
        <v>1559</v>
      </c>
      <c r="B1567" s="9">
        <f t="shared" ca="1" si="303"/>
        <v>2413</v>
      </c>
      <c r="C1567" s="10">
        <f t="shared" ca="1" si="304"/>
        <v>1800</v>
      </c>
      <c r="D1567" s="11">
        <f t="shared" ca="1" si="312"/>
        <v>6.0261710507259147E-2</v>
      </c>
      <c r="E1567" s="9">
        <f t="shared" ca="1" si="313"/>
        <v>322</v>
      </c>
      <c r="F1567" s="9">
        <f t="shared" ca="1" si="305"/>
        <v>2091</v>
      </c>
      <c r="G1567" s="12" t="str">
        <f t="shared" ca="1" si="306"/>
        <v>No</v>
      </c>
      <c r="H1567" s="12">
        <f t="shared" ca="1" si="314"/>
        <v>0</v>
      </c>
      <c r="I1567" s="10">
        <f t="shared" ca="1" si="307"/>
        <v>0</v>
      </c>
      <c r="J1567" s="13">
        <f t="shared" ca="1" si="308"/>
        <v>0</v>
      </c>
      <c r="K1567" s="14">
        <f t="shared" ca="1" si="309"/>
        <v>418.20000000000005</v>
      </c>
      <c r="L1567" s="14">
        <f t="shared" ca="1" si="310"/>
        <v>0</v>
      </c>
      <c r="M1567" s="15">
        <f t="shared" ca="1" si="311"/>
        <v>418.20000000000005</v>
      </c>
      <c r="N1567" s="16">
        <f ca="1">SUM($M$9:M1567)/A1567</f>
        <v>336.19525336754316</v>
      </c>
    </row>
    <row r="1568" spans="1:14" x14ac:dyDescent="0.25">
      <c r="A1568" s="8">
        <v>1560</v>
      </c>
      <c r="B1568" s="9">
        <f t="shared" ca="1" si="303"/>
        <v>2091</v>
      </c>
      <c r="C1568" s="10">
        <f t="shared" ca="1" si="304"/>
        <v>0</v>
      </c>
      <c r="D1568" s="11">
        <f t="shared" ca="1" si="312"/>
        <v>0.8690021848737004</v>
      </c>
      <c r="E1568" s="9">
        <f t="shared" ca="1" si="313"/>
        <v>456</v>
      </c>
      <c r="F1568" s="9">
        <f t="shared" ca="1" si="305"/>
        <v>1635</v>
      </c>
      <c r="G1568" s="12" t="str">
        <f t="shared" ca="1" si="306"/>
        <v>No</v>
      </c>
      <c r="H1568" s="12">
        <f t="shared" ca="1" si="314"/>
        <v>0</v>
      </c>
      <c r="I1568" s="10">
        <f t="shared" ca="1" si="307"/>
        <v>0</v>
      </c>
      <c r="J1568" s="13">
        <f t="shared" ca="1" si="308"/>
        <v>0</v>
      </c>
      <c r="K1568" s="14">
        <f t="shared" ca="1" si="309"/>
        <v>327</v>
      </c>
      <c r="L1568" s="14">
        <f t="shared" ca="1" si="310"/>
        <v>0</v>
      </c>
      <c r="M1568" s="15">
        <f t="shared" ca="1" si="311"/>
        <v>327</v>
      </c>
      <c r="N1568" s="16">
        <f ca="1">SUM($M$9:M1568)/A1568</f>
        <v>336.18935897435887</v>
      </c>
    </row>
    <row r="1569" spans="1:14" x14ac:dyDescent="0.25">
      <c r="A1569" s="8">
        <v>1561</v>
      </c>
      <c r="B1569" s="9">
        <f t="shared" ca="1" si="303"/>
        <v>1635</v>
      </c>
      <c r="C1569" s="10">
        <f t="shared" ca="1" si="304"/>
        <v>0</v>
      </c>
      <c r="D1569" s="11">
        <f t="shared" ca="1" si="312"/>
        <v>2.3240663214471047E-2</v>
      </c>
      <c r="E1569" s="9">
        <f t="shared" ca="1" si="313"/>
        <v>300</v>
      </c>
      <c r="F1569" s="9">
        <f t="shared" ca="1" si="305"/>
        <v>1335</v>
      </c>
      <c r="G1569" s="12" t="str">
        <f t="shared" ca="1" si="306"/>
        <v>No</v>
      </c>
      <c r="H1569" s="12">
        <f t="shared" ca="1" si="314"/>
        <v>0</v>
      </c>
      <c r="I1569" s="10">
        <f t="shared" ca="1" si="307"/>
        <v>0</v>
      </c>
      <c r="J1569" s="13">
        <f t="shared" ca="1" si="308"/>
        <v>0</v>
      </c>
      <c r="K1569" s="14">
        <f t="shared" ca="1" si="309"/>
        <v>267</v>
      </c>
      <c r="L1569" s="14">
        <f t="shared" ca="1" si="310"/>
        <v>0</v>
      </c>
      <c r="M1569" s="15">
        <f t="shared" ca="1" si="311"/>
        <v>267</v>
      </c>
      <c r="N1569" s="16">
        <f ca="1">SUM($M$9:M1569)/A1569</f>
        <v>336.14503523382433</v>
      </c>
    </row>
    <row r="1570" spans="1:14" x14ac:dyDescent="0.25">
      <c r="A1570" s="8">
        <v>1562</v>
      </c>
      <c r="B1570" s="9">
        <f t="shared" ca="1" si="303"/>
        <v>1335</v>
      </c>
      <c r="C1570" s="10">
        <f t="shared" ca="1" si="304"/>
        <v>0</v>
      </c>
      <c r="D1570" s="11">
        <f t="shared" ca="1" si="312"/>
        <v>0.42981134310989111</v>
      </c>
      <c r="E1570" s="9">
        <f t="shared" ca="1" si="313"/>
        <v>391</v>
      </c>
      <c r="F1570" s="9">
        <f t="shared" ca="1" si="305"/>
        <v>944</v>
      </c>
      <c r="G1570" s="12" t="str">
        <f t="shared" ca="1" si="306"/>
        <v>Yes</v>
      </c>
      <c r="H1570" s="12">
        <f t="shared" ca="1" si="314"/>
        <v>0.18052549126202388</v>
      </c>
      <c r="I1570" s="10">
        <f t="shared" ca="1" si="307"/>
        <v>1</v>
      </c>
      <c r="J1570" s="13">
        <f t="shared" ca="1" si="308"/>
        <v>300</v>
      </c>
      <c r="K1570" s="14">
        <f t="shared" ca="1" si="309"/>
        <v>188.8</v>
      </c>
      <c r="L1570" s="14">
        <f t="shared" ca="1" si="310"/>
        <v>0</v>
      </c>
      <c r="M1570" s="15">
        <f t="shared" ca="1" si="311"/>
        <v>488.8</v>
      </c>
      <c r="N1570" s="16">
        <f ca="1">SUM($M$9:M1570)/A1570</f>
        <v>336.24276568501909</v>
      </c>
    </row>
    <row r="1571" spans="1:14" x14ac:dyDescent="0.25">
      <c r="A1571" s="8">
        <v>1563</v>
      </c>
      <c r="B1571" s="9">
        <f t="shared" ca="1" si="303"/>
        <v>2744</v>
      </c>
      <c r="C1571" s="10">
        <f t="shared" ca="1" si="304"/>
        <v>1800</v>
      </c>
      <c r="D1571" s="11">
        <f t="shared" ca="1" si="312"/>
        <v>0.20824048970137443</v>
      </c>
      <c r="E1571" s="9">
        <f t="shared" ca="1" si="313"/>
        <v>359</v>
      </c>
      <c r="F1571" s="9">
        <f t="shared" ca="1" si="305"/>
        <v>2385</v>
      </c>
      <c r="G1571" s="12" t="str">
        <f t="shared" ca="1" si="306"/>
        <v>No</v>
      </c>
      <c r="H1571" s="12">
        <f t="shared" ca="1" si="314"/>
        <v>0</v>
      </c>
      <c r="I1571" s="10">
        <f t="shared" ca="1" si="307"/>
        <v>0</v>
      </c>
      <c r="J1571" s="13">
        <f t="shared" ca="1" si="308"/>
        <v>0</v>
      </c>
      <c r="K1571" s="14">
        <f t="shared" ca="1" si="309"/>
        <v>477</v>
      </c>
      <c r="L1571" s="14">
        <f t="shared" ca="1" si="310"/>
        <v>0</v>
      </c>
      <c r="M1571" s="15">
        <f t="shared" ca="1" si="311"/>
        <v>477</v>
      </c>
      <c r="N1571" s="16">
        <f ca="1">SUM($M$9:M1571)/A1571</f>
        <v>336.33282149712079</v>
      </c>
    </row>
    <row r="1572" spans="1:14" x14ac:dyDescent="0.25">
      <c r="A1572" s="8">
        <v>1564</v>
      </c>
      <c r="B1572" s="9">
        <f t="shared" ca="1" si="303"/>
        <v>2385</v>
      </c>
      <c r="C1572" s="10">
        <f t="shared" ca="1" si="304"/>
        <v>0</v>
      </c>
      <c r="D1572" s="11">
        <f t="shared" ca="1" si="312"/>
        <v>0.15199416118384301</v>
      </c>
      <c r="E1572" s="9">
        <f t="shared" ca="1" si="313"/>
        <v>348</v>
      </c>
      <c r="F1572" s="9">
        <f t="shared" ca="1" si="305"/>
        <v>2037</v>
      </c>
      <c r="G1572" s="12" t="str">
        <f t="shared" ca="1" si="306"/>
        <v>No</v>
      </c>
      <c r="H1572" s="12">
        <f t="shared" ca="1" si="314"/>
        <v>0</v>
      </c>
      <c r="I1572" s="10">
        <f t="shared" ca="1" si="307"/>
        <v>0</v>
      </c>
      <c r="J1572" s="13">
        <f t="shared" ca="1" si="308"/>
        <v>0</v>
      </c>
      <c r="K1572" s="14">
        <f t="shared" ca="1" si="309"/>
        <v>407.40000000000003</v>
      </c>
      <c r="L1572" s="14">
        <f t="shared" ca="1" si="310"/>
        <v>0</v>
      </c>
      <c r="M1572" s="15">
        <f t="shared" ca="1" si="311"/>
        <v>407.40000000000003</v>
      </c>
      <c r="N1572" s="16">
        <f ca="1">SUM($M$9:M1572)/A1572</f>
        <v>336.37826086956511</v>
      </c>
    </row>
    <row r="1573" spans="1:14" x14ac:dyDescent="0.25">
      <c r="A1573" s="8">
        <v>1565</v>
      </c>
      <c r="B1573" s="9">
        <f t="shared" ca="1" si="303"/>
        <v>2037</v>
      </c>
      <c r="C1573" s="10">
        <f t="shared" ca="1" si="304"/>
        <v>0</v>
      </c>
      <c r="D1573" s="11">
        <f t="shared" ca="1" si="312"/>
        <v>0.42471359026905797</v>
      </c>
      <c r="E1573" s="9">
        <f t="shared" ca="1" si="313"/>
        <v>390</v>
      </c>
      <c r="F1573" s="9">
        <f t="shared" ca="1" si="305"/>
        <v>1647</v>
      </c>
      <c r="G1573" s="12" t="str">
        <f t="shared" ca="1" si="306"/>
        <v>No</v>
      </c>
      <c r="H1573" s="12">
        <f t="shared" ca="1" si="314"/>
        <v>0</v>
      </c>
      <c r="I1573" s="10">
        <f t="shared" ca="1" si="307"/>
        <v>0</v>
      </c>
      <c r="J1573" s="13">
        <f t="shared" ca="1" si="308"/>
        <v>0</v>
      </c>
      <c r="K1573" s="14">
        <f t="shared" ca="1" si="309"/>
        <v>329.40000000000003</v>
      </c>
      <c r="L1573" s="14">
        <f t="shared" ca="1" si="310"/>
        <v>0</v>
      </c>
      <c r="M1573" s="15">
        <f t="shared" ca="1" si="311"/>
        <v>329.40000000000003</v>
      </c>
      <c r="N1573" s="16">
        <f ca="1">SUM($M$9:M1573)/A1573</f>
        <v>336.37380191693285</v>
      </c>
    </row>
    <row r="1574" spans="1:14" x14ac:dyDescent="0.25">
      <c r="A1574" s="8">
        <v>1566</v>
      </c>
      <c r="B1574" s="9">
        <f t="shared" ca="1" si="303"/>
        <v>1647</v>
      </c>
      <c r="C1574" s="10">
        <f t="shared" ca="1" si="304"/>
        <v>0</v>
      </c>
      <c r="D1574" s="11">
        <f t="shared" ca="1" si="312"/>
        <v>0.4455062541113981</v>
      </c>
      <c r="E1574" s="9">
        <f t="shared" ca="1" si="313"/>
        <v>393</v>
      </c>
      <c r="F1574" s="9">
        <f t="shared" ca="1" si="305"/>
        <v>1254</v>
      </c>
      <c r="G1574" s="12" t="str">
        <f t="shared" ca="1" si="306"/>
        <v>No</v>
      </c>
      <c r="H1574" s="12">
        <f t="shared" ca="1" si="314"/>
        <v>0</v>
      </c>
      <c r="I1574" s="10">
        <f t="shared" ca="1" si="307"/>
        <v>0</v>
      </c>
      <c r="J1574" s="13">
        <f t="shared" ca="1" si="308"/>
        <v>0</v>
      </c>
      <c r="K1574" s="14">
        <f t="shared" ca="1" si="309"/>
        <v>250.8</v>
      </c>
      <c r="L1574" s="14">
        <f t="shared" ca="1" si="310"/>
        <v>0</v>
      </c>
      <c r="M1574" s="15">
        <f t="shared" ca="1" si="311"/>
        <v>250.8</v>
      </c>
      <c r="N1574" s="16">
        <f ca="1">SUM($M$9:M1574)/A1574</f>
        <v>336.31915708812255</v>
      </c>
    </row>
    <row r="1575" spans="1:14" x14ac:dyDescent="0.25">
      <c r="A1575" s="8">
        <v>1567</v>
      </c>
      <c r="B1575" s="9">
        <f t="shared" ca="1" si="303"/>
        <v>1254</v>
      </c>
      <c r="C1575" s="10">
        <f t="shared" ca="1" si="304"/>
        <v>0</v>
      </c>
      <c r="D1575" s="11">
        <f t="shared" ca="1" si="312"/>
        <v>0.61802797819883226</v>
      </c>
      <c r="E1575" s="9">
        <f t="shared" ca="1" si="313"/>
        <v>415</v>
      </c>
      <c r="F1575" s="9">
        <f t="shared" ca="1" si="305"/>
        <v>839</v>
      </c>
      <c r="G1575" s="12" t="str">
        <f t="shared" ca="1" si="306"/>
        <v>Yes</v>
      </c>
      <c r="H1575" s="12">
        <f t="shared" ca="1" si="314"/>
        <v>0.35224523871757285</v>
      </c>
      <c r="I1575" s="10">
        <f t="shared" ca="1" si="307"/>
        <v>1</v>
      </c>
      <c r="J1575" s="13">
        <f t="shared" ca="1" si="308"/>
        <v>300</v>
      </c>
      <c r="K1575" s="14">
        <f t="shared" ca="1" si="309"/>
        <v>167.8</v>
      </c>
      <c r="L1575" s="14">
        <f t="shared" ca="1" si="310"/>
        <v>0</v>
      </c>
      <c r="M1575" s="15">
        <f t="shared" ca="1" si="311"/>
        <v>467.8</v>
      </c>
      <c r="N1575" s="16">
        <f ca="1">SUM($M$9:M1575)/A1575</f>
        <v>336.4030631780472</v>
      </c>
    </row>
    <row r="1576" spans="1:14" x14ac:dyDescent="0.25">
      <c r="A1576" s="8">
        <v>1568</v>
      </c>
      <c r="B1576" s="9">
        <f t="shared" ca="1" si="303"/>
        <v>2639</v>
      </c>
      <c r="C1576" s="10">
        <f t="shared" ca="1" si="304"/>
        <v>1800</v>
      </c>
      <c r="D1576" s="11">
        <f t="shared" ca="1" si="312"/>
        <v>0.91950922162130233</v>
      </c>
      <c r="E1576" s="9">
        <f t="shared" ca="1" si="313"/>
        <v>470</v>
      </c>
      <c r="F1576" s="9">
        <f t="shared" ca="1" si="305"/>
        <v>2169</v>
      </c>
      <c r="G1576" s="12" t="str">
        <f t="shared" ca="1" si="306"/>
        <v>No</v>
      </c>
      <c r="H1576" s="12">
        <f t="shared" ca="1" si="314"/>
        <v>0</v>
      </c>
      <c r="I1576" s="10">
        <f t="shared" ca="1" si="307"/>
        <v>0</v>
      </c>
      <c r="J1576" s="13">
        <f t="shared" ca="1" si="308"/>
        <v>0</v>
      </c>
      <c r="K1576" s="14">
        <f t="shared" ca="1" si="309"/>
        <v>433.8</v>
      </c>
      <c r="L1576" s="14">
        <f t="shared" ca="1" si="310"/>
        <v>0</v>
      </c>
      <c r="M1576" s="15">
        <f t="shared" ca="1" si="311"/>
        <v>433.8</v>
      </c>
      <c r="N1576" s="16">
        <f ca="1">SUM($M$9:M1576)/A1576</f>
        <v>336.46517857142857</v>
      </c>
    </row>
    <row r="1577" spans="1:14" x14ac:dyDescent="0.25">
      <c r="A1577" s="8">
        <v>1569</v>
      </c>
      <c r="B1577" s="9">
        <f t="shared" ca="1" si="303"/>
        <v>2169</v>
      </c>
      <c r="C1577" s="10">
        <f t="shared" ca="1" si="304"/>
        <v>0</v>
      </c>
      <c r="D1577" s="11">
        <f t="shared" ca="1" si="312"/>
        <v>0.25138414441975176</v>
      </c>
      <c r="E1577" s="9">
        <f t="shared" ca="1" si="313"/>
        <v>366</v>
      </c>
      <c r="F1577" s="9">
        <f t="shared" ca="1" si="305"/>
        <v>1803</v>
      </c>
      <c r="G1577" s="12" t="str">
        <f t="shared" ca="1" si="306"/>
        <v>No</v>
      </c>
      <c r="H1577" s="12">
        <f t="shared" ca="1" si="314"/>
        <v>0</v>
      </c>
      <c r="I1577" s="10">
        <f t="shared" ca="1" si="307"/>
        <v>0</v>
      </c>
      <c r="J1577" s="13">
        <f t="shared" ca="1" si="308"/>
        <v>0</v>
      </c>
      <c r="K1577" s="14">
        <f t="shared" ca="1" si="309"/>
        <v>360.6</v>
      </c>
      <c r="L1577" s="14">
        <f t="shared" ca="1" si="310"/>
        <v>0</v>
      </c>
      <c r="M1577" s="15">
        <f t="shared" ca="1" si="311"/>
        <v>360.6</v>
      </c>
      <c r="N1577" s="16">
        <f ca="1">SUM($M$9:M1577)/A1577</f>
        <v>336.48056086679412</v>
      </c>
    </row>
    <row r="1578" spans="1:14" x14ac:dyDescent="0.25">
      <c r="A1578" s="8">
        <v>1570</v>
      </c>
      <c r="B1578" s="9">
        <f t="shared" ca="1" si="303"/>
        <v>1803</v>
      </c>
      <c r="C1578" s="10">
        <f t="shared" ca="1" si="304"/>
        <v>0</v>
      </c>
      <c r="D1578" s="11">
        <f t="shared" ca="1" si="312"/>
        <v>0.77357567928074711</v>
      </c>
      <c r="E1578" s="9">
        <f t="shared" ca="1" si="313"/>
        <v>437</v>
      </c>
      <c r="F1578" s="9">
        <f t="shared" ca="1" si="305"/>
        <v>1366</v>
      </c>
      <c r="G1578" s="12" t="str">
        <f t="shared" ca="1" si="306"/>
        <v>No</v>
      </c>
      <c r="H1578" s="12">
        <f t="shared" ca="1" si="314"/>
        <v>0</v>
      </c>
      <c r="I1578" s="10">
        <f t="shared" ca="1" si="307"/>
        <v>0</v>
      </c>
      <c r="J1578" s="13">
        <f t="shared" ca="1" si="308"/>
        <v>0</v>
      </c>
      <c r="K1578" s="14">
        <f t="shared" ca="1" si="309"/>
        <v>273.2</v>
      </c>
      <c r="L1578" s="14">
        <f t="shared" ca="1" si="310"/>
        <v>0</v>
      </c>
      <c r="M1578" s="15">
        <f t="shared" ca="1" si="311"/>
        <v>273.2</v>
      </c>
      <c r="N1578" s="16">
        <f ca="1">SUM($M$9:M1578)/A1578</f>
        <v>336.44025477707004</v>
      </c>
    </row>
    <row r="1579" spans="1:14" x14ac:dyDescent="0.25">
      <c r="A1579" s="8">
        <v>1571</v>
      </c>
      <c r="B1579" s="9">
        <f t="shared" ca="1" si="303"/>
        <v>1366</v>
      </c>
      <c r="C1579" s="10">
        <f t="shared" ca="1" si="304"/>
        <v>0</v>
      </c>
      <c r="D1579" s="11">
        <f t="shared" ca="1" si="312"/>
        <v>0.51429968108079704</v>
      </c>
      <c r="E1579" s="9">
        <f t="shared" ca="1" si="313"/>
        <v>401</v>
      </c>
      <c r="F1579" s="9">
        <f t="shared" ca="1" si="305"/>
        <v>965</v>
      </c>
      <c r="G1579" s="12" t="str">
        <f t="shared" ca="1" si="306"/>
        <v>Yes</v>
      </c>
      <c r="H1579" s="12">
        <f t="shared" ca="1" si="314"/>
        <v>0.91009761150994262</v>
      </c>
      <c r="I1579" s="10">
        <f t="shared" ca="1" si="307"/>
        <v>3</v>
      </c>
      <c r="J1579" s="13">
        <f t="shared" ca="1" si="308"/>
        <v>300</v>
      </c>
      <c r="K1579" s="14">
        <f t="shared" ca="1" si="309"/>
        <v>193</v>
      </c>
      <c r="L1579" s="14">
        <f t="shared" ca="1" si="310"/>
        <v>0</v>
      </c>
      <c r="M1579" s="15">
        <f t="shared" ca="1" si="311"/>
        <v>493</v>
      </c>
      <c r="N1579" s="16">
        <f ca="1">SUM($M$9:M1579)/A1579</f>
        <v>336.53991088478671</v>
      </c>
    </row>
    <row r="1580" spans="1:14" x14ac:dyDescent="0.25">
      <c r="A1580" s="8">
        <v>1572</v>
      </c>
      <c r="B1580" s="9">
        <f t="shared" ca="1" si="303"/>
        <v>965</v>
      </c>
      <c r="C1580" s="10">
        <f t="shared" ca="1" si="304"/>
        <v>0</v>
      </c>
      <c r="D1580" s="11">
        <f t="shared" ca="1" si="312"/>
        <v>0.30510133710095799</v>
      </c>
      <c r="E1580" s="9">
        <f t="shared" ca="1" si="313"/>
        <v>374</v>
      </c>
      <c r="F1580" s="9">
        <f t="shared" ca="1" si="305"/>
        <v>591</v>
      </c>
      <c r="G1580" s="12" t="str">
        <f t="shared" ca="1" si="306"/>
        <v>No</v>
      </c>
      <c r="H1580" s="12">
        <f t="shared" ca="1" si="314"/>
        <v>0</v>
      </c>
      <c r="I1580" s="10">
        <f t="shared" ca="1" si="307"/>
        <v>2</v>
      </c>
      <c r="J1580" s="13">
        <f t="shared" ca="1" si="308"/>
        <v>0</v>
      </c>
      <c r="K1580" s="14">
        <f t="shared" ca="1" si="309"/>
        <v>118.2</v>
      </c>
      <c r="L1580" s="14">
        <f t="shared" ca="1" si="310"/>
        <v>0</v>
      </c>
      <c r="M1580" s="15">
        <f t="shared" ca="1" si="311"/>
        <v>118.2</v>
      </c>
      <c r="N1580" s="16">
        <f ca="1">SUM($M$9:M1580)/A1580</f>
        <v>336.40101781170478</v>
      </c>
    </row>
    <row r="1581" spans="1:14" x14ac:dyDescent="0.25">
      <c r="A1581" s="8">
        <v>1573</v>
      </c>
      <c r="B1581" s="9">
        <f t="shared" ca="1" si="303"/>
        <v>591</v>
      </c>
      <c r="C1581" s="10">
        <f t="shared" ca="1" si="304"/>
        <v>0</v>
      </c>
      <c r="D1581" s="11">
        <f t="shared" ca="1" si="312"/>
        <v>0.49663284033339639</v>
      </c>
      <c r="E1581" s="9">
        <f t="shared" ca="1" si="313"/>
        <v>399</v>
      </c>
      <c r="F1581" s="9">
        <f t="shared" ca="1" si="305"/>
        <v>192</v>
      </c>
      <c r="G1581" s="12" t="str">
        <f t="shared" ca="1" si="306"/>
        <v>No</v>
      </c>
      <c r="H1581" s="12">
        <f t="shared" ca="1" si="314"/>
        <v>0</v>
      </c>
      <c r="I1581" s="10">
        <f t="shared" ca="1" si="307"/>
        <v>1</v>
      </c>
      <c r="J1581" s="13">
        <f t="shared" ca="1" si="308"/>
        <v>0</v>
      </c>
      <c r="K1581" s="14">
        <f t="shared" ca="1" si="309"/>
        <v>38.400000000000006</v>
      </c>
      <c r="L1581" s="14">
        <f t="shared" ca="1" si="310"/>
        <v>0</v>
      </c>
      <c r="M1581" s="15">
        <f t="shared" ca="1" si="311"/>
        <v>38.400000000000006</v>
      </c>
      <c r="N1581" s="16">
        <f ca="1">SUM($M$9:M1581)/A1581</f>
        <v>336.21157024793382</v>
      </c>
    </row>
    <row r="1582" spans="1:14" x14ac:dyDescent="0.25">
      <c r="A1582" s="8">
        <v>1574</v>
      </c>
      <c r="B1582" s="9">
        <f t="shared" ca="1" si="303"/>
        <v>1992</v>
      </c>
      <c r="C1582" s="10">
        <f t="shared" ca="1" si="304"/>
        <v>1800</v>
      </c>
      <c r="D1582" s="11">
        <f t="shared" ca="1" si="312"/>
        <v>0.41495094585945946</v>
      </c>
      <c r="E1582" s="9">
        <f t="shared" ca="1" si="313"/>
        <v>389</v>
      </c>
      <c r="F1582" s="9">
        <f t="shared" ca="1" si="305"/>
        <v>1603</v>
      </c>
      <c r="G1582" s="12" t="str">
        <f t="shared" ca="1" si="306"/>
        <v>No</v>
      </c>
      <c r="H1582" s="12">
        <f t="shared" ca="1" si="314"/>
        <v>0</v>
      </c>
      <c r="I1582" s="10">
        <f t="shared" ca="1" si="307"/>
        <v>0</v>
      </c>
      <c r="J1582" s="13">
        <f t="shared" ca="1" si="308"/>
        <v>0</v>
      </c>
      <c r="K1582" s="14">
        <f t="shared" ca="1" si="309"/>
        <v>320.60000000000002</v>
      </c>
      <c r="L1582" s="14">
        <f t="shared" ca="1" si="310"/>
        <v>0</v>
      </c>
      <c r="M1582" s="15">
        <f t="shared" ca="1" si="311"/>
        <v>320.60000000000002</v>
      </c>
      <c r="N1582" s="16">
        <f ca="1">SUM($M$9:M1582)/A1582</f>
        <v>336.20165184243956</v>
      </c>
    </row>
    <row r="1583" spans="1:14" x14ac:dyDescent="0.25">
      <c r="A1583" s="8">
        <v>1575</v>
      </c>
      <c r="B1583" s="9">
        <f t="shared" ca="1" si="303"/>
        <v>1603</v>
      </c>
      <c r="C1583" s="10">
        <f t="shared" ca="1" si="304"/>
        <v>0</v>
      </c>
      <c r="D1583" s="11">
        <f t="shared" ca="1" si="312"/>
        <v>0.30321259159893177</v>
      </c>
      <c r="E1583" s="9">
        <f t="shared" ca="1" si="313"/>
        <v>374</v>
      </c>
      <c r="F1583" s="9">
        <f t="shared" ca="1" si="305"/>
        <v>1229</v>
      </c>
      <c r="G1583" s="12" t="str">
        <f t="shared" ca="1" si="306"/>
        <v>No</v>
      </c>
      <c r="H1583" s="12">
        <f t="shared" ca="1" si="314"/>
        <v>0</v>
      </c>
      <c r="I1583" s="10">
        <f t="shared" ca="1" si="307"/>
        <v>0</v>
      </c>
      <c r="J1583" s="13">
        <f t="shared" ca="1" si="308"/>
        <v>0</v>
      </c>
      <c r="K1583" s="14">
        <f t="shared" ca="1" si="309"/>
        <v>245.8</v>
      </c>
      <c r="L1583" s="14">
        <f t="shared" ca="1" si="310"/>
        <v>0</v>
      </c>
      <c r="M1583" s="15">
        <f t="shared" ca="1" si="311"/>
        <v>245.8</v>
      </c>
      <c r="N1583" s="16">
        <f ca="1">SUM($M$9:M1583)/A1583</f>
        <v>336.14425396825396</v>
      </c>
    </row>
    <row r="1584" spans="1:14" x14ac:dyDescent="0.25">
      <c r="A1584" s="8">
        <v>1576</v>
      </c>
      <c r="B1584" s="9">
        <f t="shared" ca="1" si="303"/>
        <v>1229</v>
      </c>
      <c r="C1584" s="10">
        <f t="shared" ca="1" si="304"/>
        <v>0</v>
      </c>
      <c r="D1584" s="11">
        <f t="shared" ca="1" si="312"/>
        <v>3.8745427612978389E-3</v>
      </c>
      <c r="E1584" s="9">
        <f t="shared" ca="1" si="313"/>
        <v>266</v>
      </c>
      <c r="F1584" s="9">
        <f t="shared" ca="1" si="305"/>
        <v>963</v>
      </c>
      <c r="G1584" s="12" t="str">
        <f t="shared" ca="1" si="306"/>
        <v>Yes</v>
      </c>
      <c r="H1584" s="12">
        <f t="shared" ca="1" si="314"/>
        <v>0.30214371116819427</v>
      </c>
      <c r="I1584" s="10">
        <f t="shared" ca="1" si="307"/>
        <v>1</v>
      </c>
      <c r="J1584" s="13">
        <f t="shared" ca="1" si="308"/>
        <v>300</v>
      </c>
      <c r="K1584" s="14">
        <f t="shared" ca="1" si="309"/>
        <v>192.60000000000002</v>
      </c>
      <c r="L1584" s="14">
        <f t="shared" ca="1" si="310"/>
        <v>0</v>
      </c>
      <c r="M1584" s="15">
        <f t="shared" ca="1" si="311"/>
        <v>492.6</v>
      </c>
      <c r="N1584" s="16">
        <f ca="1">SUM($M$9:M1584)/A1584</f>
        <v>336.24352791878169</v>
      </c>
    </row>
    <row r="1585" spans="1:14" x14ac:dyDescent="0.25">
      <c r="A1585" s="8">
        <v>1577</v>
      </c>
      <c r="B1585" s="9">
        <f t="shared" ca="1" si="303"/>
        <v>2763</v>
      </c>
      <c r="C1585" s="10">
        <f t="shared" ca="1" si="304"/>
        <v>1800</v>
      </c>
      <c r="D1585" s="11">
        <f t="shared" ca="1" si="312"/>
        <v>0.27063551571126587</v>
      </c>
      <c r="E1585" s="9">
        <f t="shared" ca="1" si="313"/>
        <v>369</v>
      </c>
      <c r="F1585" s="9">
        <f t="shared" ca="1" si="305"/>
        <v>2394</v>
      </c>
      <c r="G1585" s="12" t="str">
        <f t="shared" ca="1" si="306"/>
        <v>No</v>
      </c>
      <c r="H1585" s="12">
        <f t="shared" ca="1" si="314"/>
        <v>0</v>
      </c>
      <c r="I1585" s="10">
        <f t="shared" ca="1" si="307"/>
        <v>0</v>
      </c>
      <c r="J1585" s="13">
        <f t="shared" ca="1" si="308"/>
        <v>0</v>
      </c>
      <c r="K1585" s="14">
        <f t="shared" ca="1" si="309"/>
        <v>478.8</v>
      </c>
      <c r="L1585" s="14">
        <f t="shared" ca="1" si="310"/>
        <v>0</v>
      </c>
      <c r="M1585" s="15">
        <f t="shared" ca="1" si="311"/>
        <v>478.8</v>
      </c>
      <c r="N1585" s="16">
        <f ca="1">SUM($M$9:M1585)/A1585</f>
        <v>336.3339251743817</v>
      </c>
    </row>
    <row r="1586" spans="1:14" x14ac:dyDescent="0.25">
      <c r="A1586" s="8">
        <v>1578</v>
      </c>
      <c r="B1586" s="9">
        <f t="shared" ca="1" si="303"/>
        <v>2394</v>
      </c>
      <c r="C1586" s="10">
        <f t="shared" ca="1" si="304"/>
        <v>0</v>
      </c>
      <c r="D1586" s="11">
        <f t="shared" ca="1" si="312"/>
        <v>0.54039713630185393</v>
      </c>
      <c r="E1586" s="9">
        <f t="shared" ca="1" si="313"/>
        <v>405</v>
      </c>
      <c r="F1586" s="9">
        <f t="shared" ca="1" si="305"/>
        <v>1989</v>
      </c>
      <c r="G1586" s="12" t="str">
        <f t="shared" ca="1" si="306"/>
        <v>No</v>
      </c>
      <c r="H1586" s="12">
        <f t="shared" ca="1" si="314"/>
        <v>0</v>
      </c>
      <c r="I1586" s="10">
        <f t="shared" ca="1" si="307"/>
        <v>0</v>
      </c>
      <c r="J1586" s="13">
        <f t="shared" ca="1" si="308"/>
        <v>0</v>
      </c>
      <c r="K1586" s="14">
        <f t="shared" ca="1" si="309"/>
        <v>397.8</v>
      </c>
      <c r="L1586" s="14">
        <f t="shared" ca="1" si="310"/>
        <v>0</v>
      </c>
      <c r="M1586" s="15">
        <f t="shared" ca="1" si="311"/>
        <v>397.8</v>
      </c>
      <c r="N1586" s="16">
        <f ca="1">SUM($M$9:M1586)/A1586</f>
        <v>336.37287705956908</v>
      </c>
    </row>
    <row r="1587" spans="1:14" x14ac:dyDescent="0.25">
      <c r="A1587" s="8">
        <v>1579</v>
      </c>
      <c r="B1587" s="9">
        <f t="shared" ca="1" si="303"/>
        <v>1989</v>
      </c>
      <c r="C1587" s="10">
        <f t="shared" ca="1" si="304"/>
        <v>0</v>
      </c>
      <c r="D1587" s="11">
        <f t="shared" ca="1" si="312"/>
        <v>0.85568664521074811</v>
      </c>
      <c r="E1587" s="9">
        <f t="shared" ca="1" si="313"/>
        <v>453</v>
      </c>
      <c r="F1587" s="9">
        <f t="shared" ca="1" si="305"/>
        <v>1536</v>
      </c>
      <c r="G1587" s="12" t="str">
        <f t="shared" ca="1" si="306"/>
        <v>No</v>
      </c>
      <c r="H1587" s="12">
        <f t="shared" ca="1" si="314"/>
        <v>0</v>
      </c>
      <c r="I1587" s="10">
        <f t="shared" ca="1" si="307"/>
        <v>0</v>
      </c>
      <c r="J1587" s="13">
        <f t="shared" ca="1" si="308"/>
        <v>0</v>
      </c>
      <c r="K1587" s="14">
        <f t="shared" ca="1" si="309"/>
        <v>307.20000000000005</v>
      </c>
      <c r="L1587" s="14">
        <f t="shared" ca="1" si="310"/>
        <v>0</v>
      </c>
      <c r="M1587" s="15">
        <f t="shared" ca="1" si="311"/>
        <v>307.20000000000005</v>
      </c>
      <c r="N1587" s="16">
        <f ca="1">SUM($M$9:M1587)/A1587</f>
        <v>336.35440151994931</v>
      </c>
    </row>
    <row r="1588" spans="1:14" x14ac:dyDescent="0.25">
      <c r="A1588" s="8">
        <v>1580</v>
      </c>
      <c r="B1588" s="9">
        <f t="shared" ca="1" si="303"/>
        <v>1536</v>
      </c>
      <c r="C1588" s="10">
        <f t="shared" ca="1" si="304"/>
        <v>0</v>
      </c>
      <c r="D1588" s="11">
        <f t="shared" ca="1" si="312"/>
        <v>0.69721736966537695</v>
      </c>
      <c r="E1588" s="9">
        <f t="shared" ca="1" si="313"/>
        <v>425</v>
      </c>
      <c r="F1588" s="9">
        <f t="shared" ca="1" si="305"/>
        <v>1111</v>
      </c>
      <c r="G1588" s="12" t="str">
        <f t="shared" ca="1" si="306"/>
        <v>No</v>
      </c>
      <c r="H1588" s="12">
        <f t="shared" ca="1" si="314"/>
        <v>0</v>
      </c>
      <c r="I1588" s="10">
        <f t="shared" ca="1" si="307"/>
        <v>0</v>
      </c>
      <c r="J1588" s="13">
        <f t="shared" ca="1" si="308"/>
        <v>0</v>
      </c>
      <c r="K1588" s="14">
        <f t="shared" ca="1" si="309"/>
        <v>222.20000000000002</v>
      </c>
      <c r="L1588" s="14">
        <f t="shared" ca="1" si="310"/>
        <v>0</v>
      </c>
      <c r="M1588" s="15">
        <f t="shared" ca="1" si="311"/>
        <v>222.20000000000002</v>
      </c>
      <c r="N1588" s="16">
        <f ca="1">SUM($M$9:M1588)/A1588</f>
        <v>336.28215189873413</v>
      </c>
    </row>
    <row r="1589" spans="1:14" x14ac:dyDescent="0.25">
      <c r="A1589" s="8">
        <v>1581</v>
      </c>
      <c r="B1589" s="9">
        <f t="shared" ca="1" si="303"/>
        <v>1111</v>
      </c>
      <c r="C1589" s="10">
        <f t="shared" ca="1" si="304"/>
        <v>0</v>
      </c>
      <c r="D1589" s="11">
        <f t="shared" ca="1" si="312"/>
        <v>0.28316079643054048</v>
      </c>
      <c r="E1589" s="9">
        <f t="shared" ca="1" si="313"/>
        <v>371</v>
      </c>
      <c r="F1589" s="9">
        <f t="shared" ca="1" si="305"/>
        <v>740</v>
      </c>
      <c r="G1589" s="12" t="str">
        <f t="shared" ca="1" si="306"/>
        <v>Yes</v>
      </c>
      <c r="H1589" s="12">
        <f t="shared" ca="1" si="314"/>
        <v>0.13457149890262954</v>
      </c>
      <c r="I1589" s="10">
        <f t="shared" ca="1" si="307"/>
        <v>1</v>
      </c>
      <c r="J1589" s="13">
        <f t="shared" ca="1" si="308"/>
        <v>300</v>
      </c>
      <c r="K1589" s="14">
        <f t="shared" ca="1" si="309"/>
        <v>148</v>
      </c>
      <c r="L1589" s="14">
        <f t="shared" ca="1" si="310"/>
        <v>0</v>
      </c>
      <c r="M1589" s="15">
        <f t="shared" ca="1" si="311"/>
        <v>448</v>
      </c>
      <c r="N1589" s="16">
        <f ca="1">SUM($M$9:M1589)/A1589</f>
        <v>336.35281467425676</v>
      </c>
    </row>
    <row r="1590" spans="1:14" x14ac:dyDescent="0.25">
      <c r="A1590" s="8">
        <v>1582</v>
      </c>
      <c r="B1590" s="9">
        <f t="shared" ca="1" si="303"/>
        <v>2540</v>
      </c>
      <c r="C1590" s="10">
        <f t="shared" ca="1" si="304"/>
        <v>1800</v>
      </c>
      <c r="D1590" s="11">
        <f t="shared" ca="1" si="312"/>
        <v>0.33500838823687107</v>
      </c>
      <c r="E1590" s="9">
        <f t="shared" ca="1" si="313"/>
        <v>378</v>
      </c>
      <c r="F1590" s="9">
        <f t="shared" ca="1" si="305"/>
        <v>2162</v>
      </c>
      <c r="G1590" s="12" t="str">
        <f t="shared" ca="1" si="306"/>
        <v>No</v>
      </c>
      <c r="H1590" s="12">
        <f t="shared" ca="1" si="314"/>
        <v>0</v>
      </c>
      <c r="I1590" s="10">
        <f t="shared" ca="1" si="307"/>
        <v>0</v>
      </c>
      <c r="J1590" s="13">
        <f t="shared" ca="1" si="308"/>
        <v>0</v>
      </c>
      <c r="K1590" s="14">
        <f t="shared" ca="1" si="309"/>
        <v>432.40000000000003</v>
      </c>
      <c r="L1590" s="14">
        <f t="shared" ca="1" si="310"/>
        <v>0</v>
      </c>
      <c r="M1590" s="15">
        <f t="shared" ca="1" si="311"/>
        <v>432.40000000000003</v>
      </c>
      <c r="N1590" s="16">
        <f ca="1">SUM($M$9:M1590)/A1590</f>
        <v>336.41352718078377</v>
      </c>
    </row>
    <row r="1591" spans="1:14" x14ac:dyDescent="0.25">
      <c r="A1591" s="8">
        <v>1583</v>
      </c>
      <c r="B1591" s="9">
        <f t="shared" ca="1" si="303"/>
        <v>2162</v>
      </c>
      <c r="C1591" s="10">
        <f t="shared" ca="1" si="304"/>
        <v>0</v>
      </c>
      <c r="D1591" s="11">
        <f t="shared" ca="1" si="312"/>
        <v>0.62430650939891241</v>
      </c>
      <c r="E1591" s="9">
        <f t="shared" ca="1" si="313"/>
        <v>415</v>
      </c>
      <c r="F1591" s="9">
        <f t="shared" ca="1" si="305"/>
        <v>1747</v>
      </c>
      <c r="G1591" s="12" t="str">
        <f t="shared" ca="1" si="306"/>
        <v>No</v>
      </c>
      <c r="H1591" s="12">
        <f t="shared" ca="1" si="314"/>
        <v>0</v>
      </c>
      <c r="I1591" s="10">
        <f t="shared" ca="1" si="307"/>
        <v>0</v>
      </c>
      <c r="J1591" s="13">
        <f t="shared" ca="1" si="308"/>
        <v>0</v>
      </c>
      <c r="K1591" s="14">
        <f t="shared" ca="1" si="309"/>
        <v>349.40000000000003</v>
      </c>
      <c r="L1591" s="14">
        <f t="shared" ca="1" si="310"/>
        <v>0</v>
      </c>
      <c r="M1591" s="15">
        <f t="shared" ca="1" si="311"/>
        <v>349.40000000000003</v>
      </c>
      <c r="N1591" s="16">
        <f ca="1">SUM($M$9:M1591)/A1591</f>
        <v>336.42173089071383</v>
      </c>
    </row>
    <row r="1592" spans="1:14" x14ac:dyDescent="0.25">
      <c r="A1592" s="8">
        <v>1584</v>
      </c>
      <c r="B1592" s="9">
        <f t="shared" ca="1" si="303"/>
        <v>1747</v>
      </c>
      <c r="C1592" s="10">
        <f t="shared" ca="1" si="304"/>
        <v>0</v>
      </c>
      <c r="D1592" s="11">
        <f t="shared" ca="1" si="312"/>
        <v>0.75146824243962373</v>
      </c>
      <c r="E1592" s="9">
        <f t="shared" ca="1" si="313"/>
        <v>433</v>
      </c>
      <c r="F1592" s="9">
        <f t="shared" ca="1" si="305"/>
        <v>1314</v>
      </c>
      <c r="G1592" s="12" t="str">
        <f t="shared" ca="1" si="306"/>
        <v>No</v>
      </c>
      <c r="H1592" s="12">
        <f t="shared" ca="1" si="314"/>
        <v>0</v>
      </c>
      <c r="I1592" s="10">
        <f t="shared" ca="1" si="307"/>
        <v>0</v>
      </c>
      <c r="J1592" s="13">
        <f t="shared" ca="1" si="308"/>
        <v>0</v>
      </c>
      <c r="K1592" s="14">
        <f t="shared" ca="1" si="309"/>
        <v>262.8</v>
      </c>
      <c r="L1592" s="14">
        <f t="shared" ca="1" si="310"/>
        <v>0</v>
      </c>
      <c r="M1592" s="15">
        <f t="shared" ca="1" si="311"/>
        <v>262.8</v>
      </c>
      <c r="N1592" s="16">
        <f ca="1">SUM($M$9:M1592)/A1592</f>
        <v>336.37525252525256</v>
      </c>
    </row>
    <row r="1593" spans="1:14" x14ac:dyDescent="0.25">
      <c r="A1593" s="8">
        <v>1585</v>
      </c>
      <c r="B1593" s="9">
        <f t="shared" ca="1" si="303"/>
        <v>1314</v>
      </c>
      <c r="C1593" s="10">
        <f t="shared" ca="1" si="304"/>
        <v>0</v>
      </c>
      <c r="D1593" s="11">
        <f t="shared" ca="1" si="312"/>
        <v>0.89400043663696693</v>
      </c>
      <c r="E1593" s="9">
        <f t="shared" ca="1" si="313"/>
        <v>462</v>
      </c>
      <c r="F1593" s="9">
        <f t="shared" ca="1" si="305"/>
        <v>852</v>
      </c>
      <c r="G1593" s="12" t="str">
        <f t="shared" ca="1" si="306"/>
        <v>Yes</v>
      </c>
      <c r="H1593" s="12">
        <f t="shared" ca="1" si="314"/>
        <v>9.2252745335987818E-2</v>
      </c>
      <c r="I1593" s="10">
        <f t="shared" ca="1" si="307"/>
        <v>1</v>
      </c>
      <c r="J1593" s="13">
        <f t="shared" ca="1" si="308"/>
        <v>300</v>
      </c>
      <c r="K1593" s="14">
        <f t="shared" ca="1" si="309"/>
        <v>170.4</v>
      </c>
      <c r="L1593" s="14">
        <f t="shared" ca="1" si="310"/>
        <v>0</v>
      </c>
      <c r="M1593" s="15">
        <f t="shared" ca="1" si="311"/>
        <v>470.4</v>
      </c>
      <c r="N1593" s="16">
        <f ca="1">SUM($M$9:M1593)/A1593</f>
        <v>336.45981072555207</v>
      </c>
    </row>
    <row r="1594" spans="1:14" x14ac:dyDescent="0.25">
      <c r="A1594" s="8">
        <v>1586</v>
      </c>
      <c r="B1594" s="9">
        <f t="shared" ca="1" si="303"/>
        <v>2652</v>
      </c>
      <c r="C1594" s="10">
        <f t="shared" ca="1" si="304"/>
        <v>1800</v>
      </c>
      <c r="D1594" s="11">
        <f t="shared" ca="1" si="312"/>
        <v>0.29901765321559737</v>
      </c>
      <c r="E1594" s="9">
        <f t="shared" ca="1" si="313"/>
        <v>373</v>
      </c>
      <c r="F1594" s="9">
        <f t="shared" ca="1" si="305"/>
        <v>2279</v>
      </c>
      <c r="G1594" s="12" t="str">
        <f t="shared" ca="1" si="306"/>
        <v>No</v>
      </c>
      <c r="H1594" s="12">
        <f t="shared" ca="1" si="314"/>
        <v>0</v>
      </c>
      <c r="I1594" s="10">
        <f t="shared" ca="1" si="307"/>
        <v>0</v>
      </c>
      <c r="J1594" s="13">
        <f t="shared" ca="1" si="308"/>
        <v>0</v>
      </c>
      <c r="K1594" s="14">
        <f t="shared" ca="1" si="309"/>
        <v>455.8</v>
      </c>
      <c r="L1594" s="14">
        <f t="shared" ca="1" si="310"/>
        <v>0</v>
      </c>
      <c r="M1594" s="15">
        <f t="shared" ca="1" si="311"/>
        <v>455.8</v>
      </c>
      <c r="N1594" s="16">
        <f ca="1">SUM($M$9:M1594)/A1594</f>
        <v>336.53505674653223</v>
      </c>
    </row>
    <row r="1595" spans="1:14" x14ac:dyDescent="0.25">
      <c r="A1595" s="8">
        <v>1587</v>
      </c>
      <c r="B1595" s="9">
        <f t="shared" ca="1" si="303"/>
        <v>2279</v>
      </c>
      <c r="C1595" s="10">
        <f t="shared" ca="1" si="304"/>
        <v>0</v>
      </c>
      <c r="D1595" s="11">
        <f t="shared" ca="1" si="312"/>
        <v>0.5704997449280329</v>
      </c>
      <c r="E1595" s="9">
        <f t="shared" ca="1" si="313"/>
        <v>408</v>
      </c>
      <c r="F1595" s="9">
        <f t="shared" ca="1" si="305"/>
        <v>1871</v>
      </c>
      <c r="G1595" s="12" t="str">
        <f t="shared" ca="1" si="306"/>
        <v>No</v>
      </c>
      <c r="H1595" s="12">
        <f t="shared" ca="1" si="314"/>
        <v>0</v>
      </c>
      <c r="I1595" s="10">
        <f t="shared" ca="1" si="307"/>
        <v>0</v>
      </c>
      <c r="J1595" s="13">
        <f t="shared" ca="1" si="308"/>
        <v>0</v>
      </c>
      <c r="K1595" s="14">
        <f t="shared" ca="1" si="309"/>
        <v>374.20000000000005</v>
      </c>
      <c r="L1595" s="14">
        <f t="shared" ca="1" si="310"/>
        <v>0</v>
      </c>
      <c r="M1595" s="15">
        <f t="shared" ca="1" si="311"/>
        <v>374.20000000000005</v>
      </c>
      <c r="N1595" s="16">
        <f ca="1">SUM($M$9:M1595)/A1595</f>
        <v>336.55879017013234</v>
      </c>
    </row>
    <row r="1596" spans="1:14" x14ac:dyDescent="0.25">
      <c r="A1596" s="8">
        <v>1588</v>
      </c>
      <c r="B1596" s="9">
        <f t="shared" ca="1" si="303"/>
        <v>1871</v>
      </c>
      <c r="C1596" s="10">
        <f t="shared" ca="1" si="304"/>
        <v>0</v>
      </c>
      <c r="D1596" s="11">
        <f t="shared" ca="1" si="312"/>
        <v>0.72234950218042315</v>
      </c>
      <c r="E1596" s="9">
        <f t="shared" ca="1" si="313"/>
        <v>429</v>
      </c>
      <c r="F1596" s="9">
        <f t="shared" ca="1" si="305"/>
        <v>1442</v>
      </c>
      <c r="G1596" s="12" t="str">
        <f t="shared" ca="1" si="306"/>
        <v>No</v>
      </c>
      <c r="H1596" s="12">
        <f t="shared" ca="1" si="314"/>
        <v>0</v>
      </c>
      <c r="I1596" s="10">
        <f t="shared" ca="1" si="307"/>
        <v>0</v>
      </c>
      <c r="J1596" s="13">
        <f t="shared" ca="1" si="308"/>
        <v>0</v>
      </c>
      <c r="K1596" s="14">
        <f t="shared" ca="1" si="309"/>
        <v>288.40000000000003</v>
      </c>
      <c r="L1596" s="14">
        <f t="shared" ca="1" si="310"/>
        <v>0</v>
      </c>
      <c r="M1596" s="15">
        <f t="shared" ca="1" si="311"/>
        <v>288.40000000000003</v>
      </c>
      <c r="N1596" s="16">
        <f ca="1">SUM($M$9:M1596)/A1596</f>
        <v>336.52846347607056</v>
      </c>
    </row>
    <row r="1597" spans="1:14" x14ac:dyDescent="0.25">
      <c r="A1597" s="8">
        <v>1589</v>
      </c>
      <c r="B1597" s="9">
        <f t="shared" ref="B1597:B1660" ca="1" si="315">IF(I1596=1,F1596+Quantity,F1596)</f>
        <v>1442</v>
      </c>
      <c r="C1597" s="10">
        <f t="shared" ref="C1597:C1660" ca="1" si="316">IF(I1596=1,Quantity,0)</f>
        <v>0</v>
      </c>
      <c r="D1597" s="11">
        <f t="shared" ca="1" si="312"/>
        <v>0.10928423211386762</v>
      </c>
      <c r="E1597" s="9">
        <f t="shared" ca="1" si="313"/>
        <v>338</v>
      </c>
      <c r="F1597" s="9">
        <f t="shared" ref="F1597:F1660" ca="1" si="317">IF(B1597+C1597-E1597&lt;0,0,B1597-E1597)</f>
        <v>1104</v>
      </c>
      <c r="G1597" s="12" t="str">
        <f t="shared" ref="G1597:G1660" ca="1" si="318">IF(B1597&lt;Point,IF(I1596=0,"Yes","No"),"No")</f>
        <v>No</v>
      </c>
      <c r="H1597" s="12">
        <f t="shared" ca="1" si="314"/>
        <v>0</v>
      </c>
      <c r="I1597" s="10">
        <f t="shared" ref="I1597:I1660" ca="1" si="319">IF(I1596&gt;0,I1596-1,(IF(G1597="Yes",(VLOOKUP(H1597,LTD,3)),0)))</f>
        <v>0</v>
      </c>
      <c r="J1597" s="13">
        <f t="shared" ref="J1597:J1660" ca="1" si="320">IF(G1597="Yes",Order_Cost,0)</f>
        <v>0</v>
      </c>
      <c r="K1597" s="14">
        <f t="shared" ref="K1597:K1660" ca="1" si="321">F1597*Holding_Cost</f>
        <v>220.8</v>
      </c>
      <c r="L1597" s="14">
        <f t="shared" ref="L1597:L1660" ca="1" si="322">IF(B1597+C1597&lt;E1597,Shortage_Cost*(E1597-B1597-C1597),0)</f>
        <v>0</v>
      </c>
      <c r="M1597" s="15">
        <f t="shared" ref="M1597:M1660" ca="1" si="323">SUM(J1597:L1597)</f>
        <v>220.8</v>
      </c>
      <c r="N1597" s="16">
        <f ca="1">SUM($M$9:M1597)/A1597</f>
        <v>336.45563247325367</v>
      </c>
    </row>
    <row r="1598" spans="1:14" x14ac:dyDescent="0.25">
      <c r="A1598" s="8">
        <v>1590</v>
      </c>
      <c r="B1598" s="9">
        <f t="shared" ca="1" si="315"/>
        <v>1104</v>
      </c>
      <c r="C1598" s="10">
        <f t="shared" ca="1" si="316"/>
        <v>0</v>
      </c>
      <c r="D1598" s="11">
        <f t="shared" ca="1" si="312"/>
        <v>0.45188239596186119</v>
      </c>
      <c r="E1598" s="9">
        <f t="shared" ca="1" si="313"/>
        <v>393</v>
      </c>
      <c r="F1598" s="9">
        <f t="shared" ca="1" si="317"/>
        <v>711</v>
      </c>
      <c r="G1598" s="12" t="str">
        <f t="shared" ca="1" si="318"/>
        <v>Yes</v>
      </c>
      <c r="H1598" s="12">
        <f t="shared" ca="1" si="314"/>
        <v>0.98971459021862318</v>
      </c>
      <c r="I1598" s="10">
        <f t="shared" ca="1" si="319"/>
        <v>3</v>
      </c>
      <c r="J1598" s="13">
        <f t="shared" ca="1" si="320"/>
        <v>300</v>
      </c>
      <c r="K1598" s="14">
        <f t="shared" ca="1" si="321"/>
        <v>142.20000000000002</v>
      </c>
      <c r="L1598" s="14">
        <f t="shared" ca="1" si="322"/>
        <v>0</v>
      </c>
      <c r="M1598" s="15">
        <f t="shared" ca="1" si="323"/>
        <v>442.20000000000005</v>
      </c>
      <c r="N1598" s="16">
        <f ca="1">SUM($M$9:M1598)/A1598</f>
        <v>336.52213836477989</v>
      </c>
    </row>
    <row r="1599" spans="1:14" x14ac:dyDescent="0.25">
      <c r="A1599" s="8">
        <v>1591</v>
      </c>
      <c r="B1599" s="9">
        <f t="shared" ca="1" si="315"/>
        <v>711</v>
      </c>
      <c r="C1599" s="10">
        <f t="shared" ca="1" si="316"/>
        <v>0</v>
      </c>
      <c r="D1599" s="11">
        <f t="shared" ca="1" si="312"/>
        <v>0.5802801040512241</v>
      </c>
      <c r="E1599" s="9">
        <f t="shared" ca="1" si="313"/>
        <v>410</v>
      </c>
      <c r="F1599" s="9">
        <f t="shared" ca="1" si="317"/>
        <v>301</v>
      </c>
      <c r="G1599" s="12" t="str">
        <f t="shared" ca="1" si="318"/>
        <v>No</v>
      </c>
      <c r="H1599" s="12">
        <f t="shared" ca="1" si="314"/>
        <v>0</v>
      </c>
      <c r="I1599" s="10">
        <f t="shared" ca="1" si="319"/>
        <v>2</v>
      </c>
      <c r="J1599" s="13">
        <f t="shared" ca="1" si="320"/>
        <v>0</v>
      </c>
      <c r="K1599" s="14">
        <f t="shared" ca="1" si="321"/>
        <v>60.2</v>
      </c>
      <c r="L1599" s="14">
        <f t="shared" ca="1" si="322"/>
        <v>0</v>
      </c>
      <c r="M1599" s="15">
        <f t="shared" ca="1" si="323"/>
        <v>60.2</v>
      </c>
      <c r="N1599" s="16">
        <f ca="1">SUM($M$9:M1599)/A1599</f>
        <v>336.34846008799497</v>
      </c>
    </row>
    <row r="1600" spans="1:14" x14ac:dyDescent="0.25">
      <c r="A1600" s="8">
        <v>1592</v>
      </c>
      <c r="B1600" s="9">
        <f t="shared" ca="1" si="315"/>
        <v>301</v>
      </c>
      <c r="C1600" s="10">
        <f t="shared" ca="1" si="316"/>
        <v>0</v>
      </c>
      <c r="D1600" s="11">
        <f t="shared" ca="1" si="312"/>
        <v>0.72800801293552497</v>
      </c>
      <c r="E1600" s="9">
        <f t="shared" ca="1" si="313"/>
        <v>430</v>
      </c>
      <c r="F1600" s="9">
        <f t="shared" ca="1" si="317"/>
        <v>0</v>
      </c>
      <c r="G1600" s="12" t="str">
        <f t="shared" ca="1" si="318"/>
        <v>No</v>
      </c>
      <c r="H1600" s="12">
        <f t="shared" ca="1" si="314"/>
        <v>0</v>
      </c>
      <c r="I1600" s="10">
        <f t="shared" ca="1" si="319"/>
        <v>1</v>
      </c>
      <c r="J1600" s="13">
        <f t="shared" ca="1" si="320"/>
        <v>0</v>
      </c>
      <c r="K1600" s="14">
        <f t="shared" ca="1" si="321"/>
        <v>0</v>
      </c>
      <c r="L1600" s="14">
        <f t="shared" ca="1" si="322"/>
        <v>258</v>
      </c>
      <c r="M1600" s="15">
        <f t="shared" ca="1" si="323"/>
        <v>258</v>
      </c>
      <c r="N1600" s="16">
        <f ca="1">SUM($M$9:M1600)/A1600</f>
        <v>336.29924623115579</v>
      </c>
    </row>
    <row r="1601" spans="1:14" x14ac:dyDescent="0.25">
      <c r="A1601" s="8">
        <v>1593</v>
      </c>
      <c r="B1601" s="9">
        <f t="shared" ca="1" si="315"/>
        <v>1800</v>
      </c>
      <c r="C1601" s="10">
        <f t="shared" ca="1" si="316"/>
        <v>1800</v>
      </c>
      <c r="D1601" s="11">
        <f t="shared" ca="1" si="312"/>
        <v>0.21945596190678363</v>
      </c>
      <c r="E1601" s="9">
        <f t="shared" ca="1" si="313"/>
        <v>361</v>
      </c>
      <c r="F1601" s="9">
        <f t="shared" ca="1" si="317"/>
        <v>1439</v>
      </c>
      <c r="G1601" s="12" t="str">
        <f t="shared" ca="1" si="318"/>
        <v>No</v>
      </c>
      <c r="H1601" s="12">
        <f t="shared" ca="1" si="314"/>
        <v>0</v>
      </c>
      <c r="I1601" s="10">
        <f t="shared" ca="1" si="319"/>
        <v>0</v>
      </c>
      <c r="J1601" s="13">
        <f t="shared" ca="1" si="320"/>
        <v>0</v>
      </c>
      <c r="K1601" s="14">
        <f t="shared" ca="1" si="321"/>
        <v>287.8</v>
      </c>
      <c r="L1601" s="14">
        <f t="shared" ca="1" si="322"/>
        <v>0</v>
      </c>
      <c r="M1601" s="15">
        <f t="shared" ca="1" si="323"/>
        <v>287.8</v>
      </c>
      <c r="N1601" s="16">
        <f ca="1">SUM($M$9:M1601)/A1601</f>
        <v>336.26880100439428</v>
      </c>
    </row>
    <row r="1602" spans="1:14" x14ac:dyDescent="0.25">
      <c r="A1602" s="8">
        <v>1594</v>
      </c>
      <c r="B1602" s="9">
        <f t="shared" ca="1" si="315"/>
        <v>1439</v>
      </c>
      <c r="C1602" s="10">
        <f t="shared" ca="1" si="316"/>
        <v>0</v>
      </c>
      <c r="D1602" s="11">
        <f t="shared" ca="1" si="312"/>
        <v>0.95306445243453475</v>
      </c>
      <c r="E1602" s="9">
        <f t="shared" ca="1" si="313"/>
        <v>483</v>
      </c>
      <c r="F1602" s="9">
        <f t="shared" ca="1" si="317"/>
        <v>956</v>
      </c>
      <c r="G1602" s="12" t="str">
        <f t="shared" ca="1" si="318"/>
        <v>No</v>
      </c>
      <c r="H1602" s="12">
        <f t="shared" ca="1" si="314"/>
        <v>0</v>
      </c>
      <c r="I1602" s="10">
        <f t="shared" ca="1" si="319"/>
        <v>0</v>
      </c>
      <c r="J1602" s="13">
        <f t="shared" ca="1" si="320"/>
        <v>0</v>
      </c>
      <c r="K1602" s="14">
        <f t="shared" ca="1" si="321"/>
        <v>191.20000000000002</v>
      </c>
      <c r="L1602" s="14">
        <f t="shared" ca="1" si="322"/>
        <v>0</v>
      </c>
      <c r="M1602" s="15">
        <f t="shared" ca="1" si="323"/>
        <v>191.20000000000002</v>
      </c>
      <c r="N1602" s="16">
        <f ca="1">SUM($M$9:M1602)/A1602</f>
        <v>336.17779171894608</v>
      </c>
    </row>
    <row r="1603" spans="1:14" x14ac:dyDescent="0.25">
      <c r="A1603" s="8">
        <v>1595</v>
      </c>
      <c r="B1603" s="9">
        <f t="shared" ca="1" si="315"/>
        <v>956</v>
      </c>
      <c r="C1603" s="10">
        <f t="shared" ca="1" si="316"/>
        <v>0</v>
      </c>
      <c r="D1603" s="11">
        <f t="shared" ca="1" si="312"/>
        <v>0.95997421566478802</v>
      </c>
      <c r="E1603" s="9">
        <f t="shared" ca="1" si="313"/>
        <v>487</v>
      </c>
      <c r="F1603" s="9">
        <f t="shared" ca="1" si="317"/>
        <v>469</v>
      </c>
      <c r="G1603" s="12" t="str">
        <f t="shared" ca="1" si="318"/>
        <v>Yes</v>
      </c>
      <c r="H1603" s="12">
        <f t="shared" ca="1" si="314"/>
        <v>0.39739474960257726</v>
      </c>
      <c r="I1603" s="10">
        <f t="shared" ca="1" si="319"/>
        <v>1</v>
      </c>
      <c r="J1603" s="13">
        <f t="shared" ca="1" si="320"/>
        <v>300</v>
      </c>
      <c r="K1603" s="14">
        <f t="shared" ca="1" si="321"/>
        <v>93.800000000000011</v>
      </c>
      <c r="L1603" s="14">
        <f t="shared" ca="1" si="322"/>
        <v>0</v>
      </c>
      <c r="M1603" s="15">
        <f t="shared" ca="1" si="323"/>
        <v>393.8</v>
      </c>
      <c r="N1603" s="16">
        <f ca="1">SUM($M$9:M1603)/A1603</f>
        <v>336.21391849529783</v>
      </c>
    </row>
    <row r="1604" spans="1:14" x14ac:dyDescent="0.25">
      <c r="A1604" s="8">
        <v>1596</v>
      </c>
      <c r="B1604" s="9">
        <f t="shared" ca="1" si="315"/>
        <v>2269</v>
      </c>
      <c r="C1604" s="10">
        <f t="shared" ca="1" si="316"/>
        <v>1800</v>
      </c>
      <c r="D1604" s="11">
        <f t="shared" ca="1" si="312"/>
        <v>0.48790228879838393</v>
      </c>
      <c r="E1604" s="9">
        <f t="shared" ca="1" si="313"/>
        <v>398</v>
      </c>
      <c r="F1604" s="9">
        <f t="shared" ca="1" si="317"/>
        <v>1871</v>
      </c>
      <c r="G1604" s="12" t="str">
        <f t="shared" ca="1" si="318"/>
        <v>No</v>
      </c>
      <c r="H1604" s="12">
        <f t="shared" ca="1" si="314"/>
        <v>0</v>
      </c>
      <c r="I1604" s="10">
        <f t="shared" ca="1" si="319"/>
        <v>0</v>
      </c>
      <c r="J1604" s="13">
        <f t="shared" ca="1" si="320"/>
        <v>0</v>
      </c>
      <c r="K1604" s="14">
        <f t="shared" ca="1" si="321"/>
        <v>374.20000000000005</v>
      </c>
      <c r="L1604" s="14">
        <f t="shared" ca="1" si="322"/>
        <v>0</v>
      </c>
      <c r="M1604" s="15">
        <f t="shared" ca="1" si="323"/>
        <v>374.20000000000005</v>
      </c>
      <c r="N1604" s="16">
        <f ca="1">SUM($M$9:M1604)/A1604</f>
        <v>336.23771929824562</v>
      </c>
    </row>
    <row r="1605" spans="1:14" x14ac:dyDescent="0.25">
      <c r="A1605" s="8">
        <v>1597</v>
      </c>
      <c r="B1605" s="9">
        <f t="shared" ca="1" si="315"/>
        <v>1871</v>
      </c>
      <c r="C1605" s="10">
        <f t="shared" ca="1" si="316"/>
        <v>0</v>
      </c>
      <c r="D1605" s="11">
        <f t="shared" ca="1" si="312"/>
        <v>0.70340908757622755</v>
      </c>
      <c r="E1605" s="9">
        <f t="shared" ca="1" si="313"/>
        <v>426</v>
      </c>
      <c r="F1605" s="9">
        <f t="shared" ca="1" si="317"/>
        <v>1445</v>
      </c>
      <c r="G1605" s="12" t="str">
        <f t="shared" ca="1" si="318"/>
        <v>No</v>
      </c>
      <c r="H1605" s="12">
        <f t="shared" ca="1" si="314"/>
        <v>0</v>
      </c>
      <c r="I1605" s="10">
        <f t="shared" ca="1" si="319"/>
        <v>0</v>
      </c>
      <c r="J1605" s="13">
        <f t="shared" ca="1" si="320"/>
        <v>0</v>
      </c>
      <c r="K1605" s="14">
        <f t="shared" ca="1" si="321"/>
        <v>289</v>
      </c>
      <c r="L1605" s="14">
        <f t="shared" ca="1" si="322"/>
        <v>0</v>
      </c>
      <c r="M1605" s="15">
        <f t="shared" ca="1" si="323"/>
        <v>289</v>
      </c>
      <c r="N1605" s="16">
        <f ca="1">SUM($M$9:M1605)/A1605</f>
        <v>336.20814026299314</v>
      </c>
    </row>
    <row r="1606" spans="1:14" x14ac:dyDescent="0.25">
      <c r="A1606" s="8">
        <v>1598</v>
      </c>
      <c r="B1606" s="9">
        <f t="shared" ca="1" si="315"/>
        <v>1445</v>
      </c>
      <c r="C1606" s="10">
        <f t="shared" ca="1" si="316"/>
        <v>0</v>
      </c>
      <c r="D1606" s="11">
        <f t="shared" ca="1" si="312"/>
        <v>0.65796873938619271</v>
      </c>
      <c r="E1606" s="9">
        <f t="shared" ca="1" si="313"/>
        <v>420</v>
      </c>
      <c r="F1606" s="9">
        <f t="shared" ca="1" si="317"/>
        <v>1025</v>
      </c>
      <c r="G1606" s="12" t="str">
        <f t="shared" ca="1" si="318"/>
        <v>No</v>
      </c>
      <c r="H1606" s="12">
        <f t="shared" ca="1" si="314"/>
        <v>0</v>
      </c>
      <c r="I1606" s="10">
        <f t="shared" ca="1" si="319"/>
        <v>0</v>
      </c>
      <c r="J1606" s="13">
        <f t="shared" ca="1" si="320"/>
        <v>0</v>
      </c>
      <c r="K1606" s="14">
        <f t="shared" ca="1" si="321"/>
        <v>205</v>
      </c>
      <c r="L1606" s="14">
        <f t="shared" ca="1" si="322"/>
        <v>0</v>
      </c>
      <c r="M1606" s="15">
        <f t="shared" ca="1" si="323"/>
        <v>205</v>
      </c>
      <c r="N1606" s="16">
        <f ca="1">SUM($M$9:M1606)/A1606</f>
        <v>336.12603254067585</v>
      </c>
    </row>
    <row r="1607" spans="1:14" x14ac:dyDescent="0.25">
      <c r="A1607" s="8">
        <v>1599</v>
      </c>
      <c r="B1607" s="9">
        <f t="shared" ca="1" si="315"/>
        <v>1025</v>
      </c>
      <c r="C1607" s="10">
        <f t="shared" ca="1" si="316"/>
        <v>0</v>
      </c>
      <c r="D1607" s="11">
        <f t="shared" ca="1" si="312"/>
        <v>4.870571726173667E-2</v>
      </c>
      <c r="E1607" s="9">
        <f t="shared" ca="1" si="313"/>
        <v>317</v>
      </c>
      <c r="F1607" s="9">
        <f t="shared" ca="1" si="317"/>
        <v>708</v>
      </c>
      <c r="G1607" s="12" t="str">
        <f t="shared" ca="1" si="318"/>
        <v>Yes</v>
      </c>
      <c r="H1607" s="12">
        <f t="shared" ca="1" si="314"/>
        <v>0.22814485254232109</v>
      </c>
      <c r="I1607" s="10">
        <f t="shared" ca="1" si="319"/>
        <v>1</v>
      </c>
      <c r="J1607" s="13">
        <f t="shared" ca="1" si="320"/>
        <v>300</v>
      </c>
      <c r="K1607" s="14">
        <f t="shared" ca="1" si="321"/>
        <v>141.6</v>
      </c>
      <c r="L1607" s="14">
        <f t="shared" ca="1" si="322"/>
        <v>0</v>
      </c>
      <c r="M1607" s="15">
        <f t="shared" ca="1" si="323"/>
        <v>441.6</v>
      </c>
      <c r="N1607" s="16">
        <f ca="1">SUM($M$9:M1607)/A1607</f>
        <v>336.19199499687306</v>
      </c>
    </row>
    <row r="1608" spans="1:14" x14ac:dyDescent="0.25">
      <c r="A1608" s="8">
        <v>1600</v>
      </c>
      <c r="B1608" s="9">
        <f t="shared" ca="1" si="315"/>
        <v>2508</v>
      </c>
      <c r="C1608" s="10">
        <f t="shared" ca="1" si="316"/>
        <v>1800</v>
      </c>
      <c r="D1608" s="11">
        <f t="shared" ca="1" si="312"/>
        <v>0.1712975363988416</v>
      </c>
      <c r="E1608" s="9">
        <f t="shared" ca="1" si="313"/>
        <v>352</v>
      </c>
      <c r="F1608" s="9">
        <f t="shared" ca="1" si="317"/>
        <v>2156</v>
      </c>
      <c r="G1608" s="12" t="str">
        <f t="shared" ca="1" si="318"/>
        <v>No</v>
      </c>
      <c r="H1608" s="12">
        <f t="shared" ca="1" si="314"/>
        <v>0</v>
      </c>
      <c r="I1608" s="10">
        <f t="shared" ca="1" si="319"/>
        <v>0</v>
      </c>
      <c r="J1608" s="13">
        <f t="shared" ca="1" si="320"/>
        <v>0</v>
      </c>
      <c r="K1608" s="14">
        <f t="shared" ca="1" si="321"/>
        <v>431.20000000000005</v>
      </c>
      <c r="L1608" s="14">
        <f t="shared" ca="1" si="322"/>
        <v>0</v>
      </c>
      <c r="M1608" s="15">
        <f t="shared" ca="1" si="323"/>
        <v>431.20000000000005</v>
      </c>
      <c r="N1608" s="16">
        <f ca="1">SUM($M$9:M1608)/A1608</f>
        <v>336.251375</v>
      </c>
    </row>
    <row r="1609" spans="1:14" x14ac:dyDescent="0.25">
      <c r="A1609" s="8">
        <v>1601</v>
      </c>
      <c r="B1609" s="9">
        <f t="shared" ca="1" si="315"/>
        <v>2156</v>
      </c>
      <c r="C1609" s="10">
        <f t="shared" ca="1" si="316"/>
        <v>0</v>
      </c>
      <c r="D1609" s="11">
        <f t="shared" ca="1" si="312"/>
        <v>0.96966463997174257</v>
      </c>
      <c r="E1609" s="9">
        <f t="shared" ca="1" si="313"/>
        <v>493</v>
      </c>
      <c r="F1609" s="9">
        <f t="shared" ca="1" si="317"/>
        <v>1663</v>
      </c>
      <c r="G1609" s="12" t="str">
        <f t="shared" ca="1" si="318"/>
        <v>No</v>
      </c>
      <c r="H1609" s="12">
        <f t="shared" ca="1" si="314"/>
        <v>0</v>
      </c>
      <c r="I1609" s="10">
        <f t="shared" ca="1" si="319"/>
        <v>0</v>
      </c>
      <c r="J1609" s="13">
        <f t="shared" ca="1" si="320"/>
        <v>0</v>
      </c>
      <c r="K1609" s="14">
        <f t="shared" ca="1" si="321"/>
        <v>332.6</v>
      </c>
      <c r="L1609" s="14">
        <f t="shared" ca="1" si="322"/>
        <v>0</v>
      </c>
      <c r="M1609" s="15">
        <f t="shared" ca="1" si="323"/>
        <v>332.6</v>
      </c>
      <c r="N1609" s="16">
        <f ca="1">SUM($M$9:M1609)/A1609</f>
        <v>336.24909431605244</v>
      </c>
    </row>
    <row r="1610" spans="1:14" x14ac:dyDescent="0.25">
      <c r="A1610" s="8">
        <v>1602</v>
      </c>
      <c r="B1610" s="9">
        <f t="shared" ca="1" si="315"/>
        <v>1663</v>
      </c>
      <c r="C1610" s="10">
        <f t="shared" ca="1" si="316"/>
        <v>0</v>
      </c>
      <c r="D1610" s="11">
        <f t="shared" ref="D1610:D1673" ca="1" si="324">RAND()</f>
        <v>0.24271572677277875</v>
      </c>
      <c r="E1610" s="9">
        <f t="shared" ref="E1610:E1673" ca="1" si="325">INT(NORMINV(D1610,D_Mean,D_StdDev))</f>
        <v>365</v>
      </c>
      <c r="F1610" s="9">
        <f t="shared" ca="1" si="317"/>
        <v>1298</v>
      </c>
      <c r="G1610" s="12" t="str">
        <f t="shared" ca="1" si="318"/>
        <v>No</v>
      </c>
      <c r="H1610" s="12">
        <f t="shared" ref="H1610:H1673" ca="1" si="326">IF(G1610="Yes",RAND(),0)</f>
        <v>0</v>
      </c>
      <c r="I1610" s="10">
        <f t="shared" ca="1" si="319"/>
        <v>0</v>
      </c>
      <c r="J1610" s="13">
        <f t="shared" ca="1" si="320"/>
        <v>0</v>
      </c>
      <c r="K1610" s="14">
        <f t="shared" ca="1" si="321"/>
        <v>259.60000000000002</v>
      </c>
      <c r="L1610" s="14">
        <f t="shared" ca="1" si="322"/>
        <v>0</v>
      </c>
      <c r="M1610" s="15">
        <f t="shared" ca="1" si="323"/>
        <v>259.60000000000002</v>
      </c>
      <c r="N1610" s="16">
        <f ca="1">SUM($M$9:M1610)/A1610</f>
        <v>336.20124843945064</v>
      </c>
    </row>
    <row r="1611" spans="1:14" x14ac:dyDescent="0.25">
      <c r="A1611" s="8">
        <v>1603</v>
      </c>
      <c r="B1611" s="9">
        <f t="shared" ca="1" si="315"/>
        <v>1298</v>
      </c>
      <c r="C1611" s="10">
        <f t="shared" ca="1" si="316"/>
        <v>0</v>
      </c>
      <c r="D1611" s="11">
        <f t="shared" ca="1" si="324"/>
        <v>0.86544379616403011</v>
      </c>
      <c r="E1611" s="9">
        <f t="shared" ca="1" si="325"/>
        <v>455</v>
      </c>
      <c r="F1611" s="9">
        <f t="shared" ca="1" si="317"/>
        <v>843</v>
      </c>
      <c r="G1611" s="12" t="str">
        <f t="shared" ca="1" si="318"/>
        <v>Yes</v>
      </c>
      <c r="H1611" s="12">
        <f t="shared" ca="1" si="326"/>
        <v>0.88834150967615522</v>
      </c>
      <c r="I1611" s="10">
        <f t="shared" ca="1" si="319"/>
        <v>2</v>
      </c>
      <c r="J1611" s="13">
        <f t="shared" ca="1" si="320"/>
        <v>300</v>
      </c>
      <c r="K1611" s="14">
        <f t="shared" ca="1" si="321"/>
        <v>168.60000000000002</v>
      </c>
      <c r="L1611" s="14">
        <f t="shared" ca="1" si="322"/>
        <v>0</v>
      </c>
      <c r="M1611" s="15">
        <f t="shared" ca="1" si="323"/>
        <v>468.6</v>
      </c>
      <c r="N1611" s="16">
        <f ca="1">SUM($M$9:M1611)/A1611</f>
        <v>336.28384279475978</v>
      </c>
    </row>
    <row r="1612" spans="1:14" x14ac:dyDescent="0.25">
      <c r="A1612" s="8">
        <v>1604</v>
      </c>
      <c r="B1612" s="9">
        <f t="shared" ca="1" si="315"/>
        <v>843</v>
      </c>
      <c r="C1612" s="10">
        <f t="shared" ca="1" si="316"/>
        <v>0</v>
      </c>
      <c r="D1612" s="11">
        <f t="shared" ca="1" si="324"/>
        <v>0.51241511540337714</v>
      </c>
      <c r="E1612" s="9">
        <f t="shared" ca="1" si="325"/>
        <v>401</v>
      </c>
      <c r="F1612" s="9">
        <f t="shared" ca="1" si="317"/>
        <v>442</v>
      </c>
      <c r="G1612" s="12" t="str">
        <f t="shared" ca="1" si="318"/>
        <v>No</v>
      </c>
      <c r="H1612" s="12">
        <f t="shared" ca="1" si="326"/>
        <v>0</v>
      </c>
      <c r="I1612" s="10">
        <f t="shared" ca="1" si="319"/>
        <v>1</v>
      </c>
      <c r="J1612" s="13">
        <f t="shared" ca="1" si="320"/>
        <v>0</v>
      </c>
      <c r="K1612" s="14">
        <f t="shared" ca="1" si="321"/>
        <v>88.4</v>
      </c>
      <c r="L1612" s="14">
        <f t="shared" ca="1" si="322"/>
        <v>0</v>
      </c>
      <c r="M1612" s="15">
        <f t="shared" ca="1" si="323"/>
        <v>88.4</v>
      </c>
      <c r="N1612" s="16">
        <f ca="1">SUM($M$9:M1612)/A1612</f>
        <v>336.12930174563587</v>
      </c>
    </row>
    <row r="1613" spans="1:14" x14ac:dyDescent="0.25">
      <c r="A1613" s="8">
        <v>1605</v>
      </c>
      <c r="B1613" s="9">
        <f t="shared" ca="1" si="315"/>
        <v>2242</v>
      </c>
      <c r="C1613" s="10">
        <f t="shared" ca="1" si="316"/>
        <v>1800</v>
      </c>
      <c r="D1613" s="11">
        <f t="shared" ca="1" si="324"/>
        <v>0.69583471208468606</v>
      </c>
      <c r="E1613" s="9">
        <f t="shared" ca="1" si="325"/>
        <v>425</v>
      </c>
      <c r="F1613" s="9">
        <f t="shared" ca="1" si="317"/>
        <v>1817</v>
      </c>
      <c r="G1613" s="12" t="str">
        <f t="shared" ca="1" si="318"/>
        <v>No</v>
      </c>
      <c r="H1613" s="12">
        <f t="shared" ca="1" si="326"/>
        <v>0</v>
      </c>
      <c r="I1613" s="10">
        <f t="shared" ca="1" si="319"/>
        <v>0</v>
      </c>
      <c r="J1613" s="13">
        <f t="shared" ca="1" si="320"/>
        <v>0</v>
      </c>
      <c r="K1613" s="14">
        <f t="shared" ca="1" si="321"/>
        <v>363.40000000000003</v>
      </c>
      <c r="L1613" s="14">
        <f t="shared" ca="1" si="322"/>
        <v>0</v>
      </c>
      <c r="M1613" s="15">
        <f t="shared" ca="1" si="323"/>
        <v>363.40000000000003</v>
      </c>
      <c r="N1613" s="16">
        <f ca="1">SUM($M$9:M1613)/A1613</f>
        <v>336.14629283489091</v>
      </c>
    </row>
    <row r="1614" spans="1:14" x14ac:dyDescent="0.25">
      <c r="A1614" s="8">
        <v>1606</v>
      </c>
      <c r="B1614" s="9">
        <f t="shared" ca="1" si="315"/>
        <v>1817</v>
      </c>
      <c r="C1614" s="10">
        <f t="shared" ca="1" si="316"/>
        <v>0</v>
      </c>
      <c r="D1614" s="11">
        <f t="shared" ca="1" si="324"/>
        <v>0.63909353401533309</v>
      </c>
      <c r="E1614" s="9">
        <f t="shared" ca="1" si="325"/>
        <v>417</v>
      </c>
      <c r="F1614" s="9">
        <f t="shared" ca="1" si="317"/>
        <v>1400</v>
      </c>
      <c r="G1614" s="12" t="str">
        <f t="shared" ca="1" si="318"/>
        <v>No</v>
      </c>
      <c r="H1614" s="12">
        <f t="shared" ca="1" si="326"/>
        <v>0</v>
      </c>
      <c r="I1614" s="10">
        <f t="shared" ca="1" si="319"/>
        <v>0</v>
      </c>
      <c r="J1614" s="13">
        <f t="shared" ca="1" si="320"/>
        <v>0</v>
      </c>
      <c r="K1614" s="14">
        <f t="shared" ca="1" si="321"/>
        <v>280</v>
      </c>
      <c r="L1614" s="14">
        <f t="shared" ca="1" si="322"/>
        <v>0</v>
      </c>
      <c r="M1614" s="15">
        <f t="shared" ca="1" si="323"/>
        <v>280</v>
      </c>
      <c r="N1614" s="16">
        <f ca="1">SUM($M$9:M1614)/A1614</f>
        <v>336.11133250311326</v>
      </c>
    </row>
    <row r="1615" spans="1:14" x14ac:dyDescent="0.25">
      <c r="A1615" s="8">
        <v>1607</v>
      </c>
      <c r="B1615" s="9">
        <f t="shared" ca="1" si="315"/>
        <v>1400</v>
      </c>
      <c r="C1615" s="10">
        <f t="shared" ca="1" si="316"/>
        <v>0</v>
      </c>
      <c r="D1615" s="11">
        <f t="shared" ca="1" si="324"/>
        <v>2.334327762982813E-2</v>
      </c>
      <c r="E1615" s="9">
        <f t="shared" ca="1" si="325"/>
        <v>300</v>
      </c>
      <c r="F1615" s="9">
        <f t="shared" ca="1" si="317"/>
        <v>1100</v>
      </c>
      <c r="G1615" s="12" t="str">
        <f t="shared" ca="1" si="318"/>
        <v>No</v>
      </c>
      <c r="H1615" s="12">
        <f t="shared" ca="1" si="326"/>
        <v>0</v>
      </c>
      <c r="I1615" s="10">
        <f t="shared" ca="1" si="319"/>
        <v>0</v>
      </c>
      <c r="J1615" s="13">
        <f t="shared" ca="1" si="320"/>
        <v>0</v>
      </c>
      <c r="K1615" s="14">
        <f t="shared" ca="1" si="321"/>
        <v>220</v>
      </c>
      <c r="L1615" s="14">
        <f t="shared" ca="1" si="322"/>
        <v>0</v>
      </c>
      <c r="M1615" s="15">
        <f t="shared" ca="1" si="323"/>
        <v>220</v>
      </c>
      <c r="N1615" s="16">
        <f ca="1">SUM($M$9:M1615)/A1615</f>
        <v>336.03907902924698</v>
      </c>
    </row>
    <row r="1616" spans="1:14" x14ac:dyDescent="0.25">
      <c r="A1616" s="8">
        <v>1608</v>
      </c>
      <c r="B1616" s="9">
        <f t="shared" ca="1" si="315"/>
        <v>1100</v>
      </c>
      <c r="C1616" s="10">
        <f t="shared" ca="1" si="316"/>
        <v>0</v>
      </c>
      <c r="D1616" s="11">
        <f t="shared" ca="1" si="324"/>
        <v>0.21563715445623377</v>
      </c>
      <c r="E1616" s="9">
        <f t="shared" ca="1" si="325"/>
        <v>360</v>
      </c>
      <c r="F1616" s="9">
        <f t="shared" ca="1" si="317"/>
        <v>740</v>
      </c>
      <c r="G1616" s="12" t="str">
        <f t="shared" ca="1" si="318"/>
        <v>Yes</v>
      </c>
      <c r="H1616" s="12">
        <f t="shared" ca="1" si="326"/>
        <v>0.65482518372835163</v>
      </c>
      <c r="I1616" s="10">
        <f t="shared" ca="1" si="319"/>
        <v>1</v>
      </c>
      <c r="J1616" s="13">
        <f t="shared" ca="1" si="320"/>
        <v>300</v>
      </c>
      <c r="K1616" s="14">
        <f t="shared" ca="1" si="321"/>
        <v>148</v>
      </c>
      <c r="L1616" s="14">
        <f t="shared" ca="1" si="322"/>
        <v>0</v>
      </c>
      <c r="M1616" s="15">
        <f t="shared" ca="1" si="323"/>
        <v>448</v>
      </c>
      <c r="N1616" s="16">
        <f ca="1">SUM($M$9:M1616)/A1616</f>
        <v>336.10870646766165</v>
      </c>
    </row>
    <row r="1617" spans="1:14" x14ac:dyDescent="0.25">
      <c r="A1617" s="8">
        <v>1609</v>
      </c>
      <c r="B1617" s="9">
        <f t="shared" ca="1" si="315"/>
        <v>2540</v>
      </c>
      <c r="C1617" s="10">
        <f t="shared" ca="1" si="316"/>
        <v>1800</v>
      </c>
      <c r="D1617" s="11">
        <f t="shared" ca="1" si="324"/>
        <v>0.88070828889676422</v>
      </c>
      <c r="E1617" s="9">
        <f t="shared" ca="1" si="325"/>
        <v>458</v>
      </c>
      <c r="F1617" s="9">
        <f t="shared" ca="1" si="317"/>
        <v>2082</v>
      </c>
      <c r="G1617" s="12" t="str">
        <f t="shared" ca="1" si="318"/>
        <v>No</v>
      </c>
      <c r="H1617" s="12">
        <f t="shared" ca="1" si="326"/>
        <v>0</v>
      </c>
      <c r="I1617" s="10">
        <f t="shared" ca="1" si="319"/>
        <v>0</v>
      </c>
      <c r="J1617" s="13">
        <f t="shared" ca="1" si="320"/>
        <v>0</v>
      </c>
      <c r="K1617" s="14">
        <f t="shared" ca="1" si="321"/>
        <v>416.40000000000003</v>
      </c>
      <c r="L1617" s="14">
        <f t="shared" ca="1" si="322"/>
        <v>0</v>
      </c>
      <c r="M1617" s="15">
        <f t="shared" ca="1" si="323"/>
        <v>416.40000000000003</v>
      </c>
      <c r="N1617" s="16">
        <f ca="1">SUM($M$9:M1617)/A1617</f>
        <v>336.15860783095087</v>
      </c>
    </row>
    <row r="1618" spans="1:14" x14ac:dyDescent="0.25">
      <c r="A1618" s="8">
        <v>1610</v>
      </c>
      <c r="B1618" s="9">
        <f t="shared" ca="1" si="315"/>
        <v>2082</v>
      </c>
      <c r="C1618" s="10">
        <f t="shared" ca="1" si="316"/>
        <v>0</v>
      </c>
      <c r="D1618" s="11">
        <f t="shared" ca="1" si="324"/>
        <v>0.70696786633803421</v>
      </c>
      <c r="E1618" s="9">
        <f t="shared" ca="1" si="325"/>
        <v>427</v>
      </c>
      <c r="F1618" s="9">
        <f t="shared" ca="1" si="317"/>
        <v>1655</v>
      </c>
      <c r="G1618" s="12" t="str">
        <f t="shared" ca="1" si="318"/>
        <v>No</v>
      </c>
      <c r="H1618" s="12">
        <f t="shared" ca="1" si="326"/>
        <v>0</v>
      </c>
      <c r="I1618" s="10">
        <f t="shared" ca="1" si="319"/>
        <v>0</v>
      </c>
      <c r="J1618" s="13">
        <f t="shared" ca="1" si="320"/>
        <v>0</v>
      </c>
      <c r="K1618" s="14">
        <f t="shared" ca="1" si="321"/>
        <v>331</v>
      </c>
      <c r="L1618" s="14">
        <f t="shared" ca="1" si="322"/>
        <v>0</v>
      </c>
      <c r="M1618" s="15">
        <f t="shared" ca="1" si="323"/>
        <v>331</v>
      </c>
      <c r="N1618" s="16">
        <f ca="1">SUM($M$9:M1618)/A1618</f>
        <v>336.15540372670807</v>
      </c>
    </row>
    <row r="1619" spans="1:14" x14ac:dyDescent="0.25">
      <c r="A1619" s="8">
        <v>1611</v>
      </c>
      <c r="B1619" s="9">
        <f t="shared" ca="1" si="315"/>
        <v>1655</v>
      </c>
      <c r="C1619" s="10">
        <f t="shared" ca="1" si="316"/>
        <v>0</v>
      </c>
      <c r="D1619" s="11">
        <f t="shared" ca="1" si="324"/>
        <v>0.21053018836202519</v>
      </c>
      <c r="E1619" s="9">
        <f t="shared" ca="1" si="325"/>
        <v>359</v>
      </c>
      <c r="F1619" s="9">
        <f t="shared" ca="1" si="317"/>
        <v>1296</v>
      </c>
      <c r="G1619" s="12" t="str">
        <f t="shared" ca="1" si="318"/>
        <v>No</v>
      </c>
      <c r="H1619" s="12">
        <f t="shared" ca="1" si="326"/>
        <v>0</v>
      </c>
      <c r="I1619" s="10">
        <f t="shared" ca="1" si="319"/>
        <v>0</v>
      </c>
      <c r="J1619" s="13">
        <f t="shared" ca="1" si="320"/>
        <v>0</v>
      </c>
      <c r="K1619" s="14">
        <f t="shared" ca="1" si="321"/>
        <v>259.2</v>
      </c>
      <c r="L1619" s="14">
        <f t="shared" ca="1" si="322"/>
        <v>0</v>
      </c>
      <c r="M1619" s="15">
        <f t="shared" ca="1" si="323"/>
        <v>259.2</v>
      </c>
      <c r="N1619" s="16">
        <f ca="1">SUM($M$9:M1619)/A1619</f>
        <v>336.10763500931091</v>
      </c>
    </row>
    <row r="1620" spans="1:14" x14ac:dyDescent="0.25">
      <c r="A1620" s="8">
        <v>1612</v>
      </c>
      <c r="B1620" s="9">
        <f t="shared" ca="1" si="315"/>
        <v>1296</v>
      </c>
      <c r="C1620" s="10">
        <f t="shared" ca="1" si="316"/>
        <v>0</v>
      </c>
      <c r="D1620" s="11">
        <f t="shared" ca="1" si="324"/>
        <v>0.23688871913473863</v>
      </c>
      <c r="E1620" s="9">
        <f t="shared" ca="1" si="325"/>
        <v>364</v>
      </c>
      <c r="F1620" s="9">
        <f t="shared" ca="1" si="317"/>
        <v>932</v>
      </c>
      <c r="G1620" s="12" t="str">
        <f t="shared" ca="1" si="318"/>
        <v>Yes</v>
      </c>
      <c r="H1620" s="12">
        <f t="shared" ca="1" si="326"/>
        <v>0.3488714428515447</v>
      </c>
      <c r="I1620" s="10">
        <f t="shared" ca="1" si="319"/>
        <v>1</v>
      </c>
      <c r="J1620" s="13">
        <f t="shared" ca="1" si="320"/>
        <v>300</v>
      </c>
      <c r="K1620" s="14">
        <f t="shared" ca="1" si="321"/>
        <v>186.4</v>
      </c>
      <c r="L1620" s="14">
        <f t="shared" ca="1" si="322"/>
        <v>0</v>
      </c>
      <c r="M1620" s="15">
        <f t="shared" ca="1" si="323"/>
        <v>486.4</v>
      </c>
      <c r="N1620" s="16">
        <f ca="1">SUM($M$9:M1620)/A1620</f>
        <v>336.20086848635231</v>
      </c>
    </row>
    <row r="1621" spans="1:14" x14ac:dyDescent="0.25">
      <c r="A1621" s="8">
        <v>1613</v>
      </c>
      <c r="B1621" s="9">
        <f t="shared" ca="1" si="315"/>
        <v>2732</v>
      </c>
      <c r="C1621" s="10">
        <f t="shared" ca="1" si="316"/>
        <v>1800</v>
      </c>
      <c r="D1621" s="11">
        <f t="shared" ca="1" si="324"/>
        <v>0.98831498698210851</v>
      </c>
      <c r="E1621" s="9">
        <f t="shared" ca="1" si="325"/>
        <v>513</v>
      </c>
      <c r="F1621" s="9">
        <f t="shared" ca="1" si="317"/>
        <v>2219</v>
      </c>
      <c r="G1621" s="12" t="str">
        <f t="shared" ca="1" si="318"/>
        <v>No</v>
      </c>
      <c r="H1621" s="12">
        <f t="shared" ca="1" si="326"/>
        <v>0</v>
      </c>
      <c r="I1621" s="10">
        <f t="shared" ca="1" si="319"/>
        <v>0</v>
      </c>
      <c r="J1621" s="13">
        <f t="shared" ca="1" si="320"/>
        <v>0</v>
      </c>
      <c r="K1621" s="14">
        <f t="shared" ca="1" si="321"/>
        <v>443.8</v>
      </c>
      <c r="L1621" s="14">
        <f t="shared" ca="1" si="322"/>
        <v>0</v>
      </c>
      <c r="M1621" s="15">
        <f t="shared" ca="1" si="323"/>
        <v>443.8</v>
      </c>
      <c r="N1621" s="16">
        <f ca="1">SUM($M$9:M1621)/A1621</f>
        <v>336.26757594544324</v>
      </c>
    </row>
    <row r="1622" spans="1:14" x14ac:dyDescent="0.25">
      <c r="A1622" s="8">
        <v>1614</v>
      </c>
      <c r="B1622" s="9">
        <f t="shared" ca="1" si="315"/>
        <v>2219</v>
      </c>
      <c r="C1622" s="10">
        <f t="shared" ca="1" si="316"/>
        <v>0</v>
      </c>
      <c r="D1622" s="11">
        <f t="shared" ca="1" si="324"/>
        <v>0.82616890021809541</v>
      </c>
      <c r="E1622" s="9">
        <f t="shared" ca="1" si="325"/>
        <v>446</v>
      </c>
      <c r="F1622" s="9">
        <f t="shared" ca="1" si="317"/>
        <v>1773</v>
      </c>
      <c r="G1622" s="12" t="str">
        <f t="shared" ca="1" si="318"/>
        <v>No</v>
      </c>
      <c r="H1622" s="12">
        <f t="shared" ca="1" si="326"/>
        <v>0</v>
      </c>
      <c r="I1622" s="10">
        <f t="shared" ca="1" si="319"/>
        <v>0</v>
      </c>
      <c r="J1622" s="13">
        <f t="shared" ca="1" si="320"/>
        <v>0</v>
      </c>
      <c r="K1622" s="14">
        <f t="shared" ca="1" si="321"/>
        <v>354.6</v>
      </c>
      <c r="L1622" s="14">
        <f t="shared" ca="1" si="322"/>
        <v>0</v>
      </c>
      <c r="M1622" s="15">
        <f t="shared" ca="1" si="323"/>
        <v>354.6</v>
      </c>
      <c r="N1622" s="16">
        <f ca="1">SUM($M$9:M1622)/A1622</f>
        <v>336.27893432465919</v>
      </c>
    </row>
    <row r="1623" spans="1:14" x14ac:dyDescent="0.25">
      <c r="A1623" s="8">
        <v>1615</v>
      </c>
      <c r="B1623" s="9">
        <f t="shared" ca="1" si="315"/>
        <v>1773</v>
      </c>
      <c r="C1623" s="10">
        <f t="shared" ca="1" si="316"/>
        <v>0</v>
      </c>
      <c r="D1623" s="11">
        <f t="shared" ca="1" si="324"/>
        <v>0.91872423785447999</v>
      </c>
      <c r="E1623" s="9">
        <f t="shared" ca="1" si="325"/>
        <v>469</v>
      </c>
      <c r="F1623" s="9">
        <f t="shared" ca="1" si="317"/>
        <v>1304</v>
      </c>
      <c r="G1623" s="12" t="str">
        <f t="shared" ca="1" si="318"/>
        <v>No</v>
      </c>
      <c r="H1623" s="12">
        <f t="shared" ca="1" si="326"/>
        <v>0</v>
      </c>
      <c r="I1623" s="10">
        <f t="shared" ca="1" si="319"/>
        <v>0</v>
      </c>
      <c r="J1623" s="13">
        <f t="shared" ca="1" si="320"/>
        <v>0</v>
      </c>
      <c r="K1623" s="14">
        <f t="shared" ca="1" si="321"/>
        <v>260.8</v>
      </c>
      <c r="L1623" s="14">
        <f t="shared" ca="1" si="322"/>
        <v>0</v>
      </c>
      <c r="M1623" s="15">
        <f t="shared" ca="1" si="323"/>
        <v>260.8</v>
      </c>
      <c r="N1623" s="16">
        <f ca="1">SUM($M$9:M1623)/A1623</f>
        <v>336.23219814241486</v>
      </c>
    </row>
    <row r="1624" spans="1:14" x14ac:dyDescent="0.25">
      <c r="A1624" s="8">
        <v>1616</v>
      </c>
      <c r="B1624" s="9">
        <f t="shared" ca="1" si="315"/>
        <v>1304</v>
      </c>
      <c r="C1624" s="10">
        <f t="shared" ca="1" si="316"/>
        <v>0</v>
      </c>
      <c r="D1624" s="11">
        <f t="shared" ca="1" si="324"/>
        <v>0.75215546737079086</v>
      </c>
      <c r="E1624" s="9">
        <f t="shared" ca="1" si="325"/>
        <v>434</v>
      </c>
      <c r="F1624" s="9">
        <f t="shared" ca="1" si="317"/>
        <v>870</v>
      </c>
      <c r="G1624" s="12" t="str">
        <f t="shared" ca="1" si="318"/>
        <v>Yes</v>
      </c>
      <c r="H1624" s="12">
        <f t="shared" ca="1" si="326"/>
        <v>2.2985765067942032E-2</v>
      </c>
      <c r="I1624" s="10">
        <f t="shared" ca="1" si="319"/>
        <v>1</v>
      </c>
      <c r="J1624" s="13">
        <f t="shared" ca="1" si="320"/>
        <v>300</v>
      </c>
      <c r="K1624" s="14">
        <f t="shared" ca="1" si="321"/>
        <v>174</v>
      </c>
      <c r="L1624" s="14">
        <f t="shared" ca="1" si="322"/>
        <v>0</v>
      </c>
      <c r="M1624" s="15">
        <f t="shared" ca="1" si="323"/>
        <v>474</v>
      </c>
      <c r="N1624" s="16">
        <f ca="1">SUM($M$9:M1624)/A1624</f>
        <v>336.31745049504951</v>
      </c>
    </row>
    <row r="1625" spans="1:14" x14ac:dyDescent="0.25">
      <c r="A1625" s="8">
        <v>1617</v>
      </c>
      <c r="B1625" s="9">
        <f t="shared" ca="1" si="315"/>
        <v>2670</v>
      </c>
      <c r="C1625" s="10">
        <f t="shared" ca="1" si="316"/>
        <v>1800</v>
      </c>
      <c r="D1625" s="11">
        <f t="shared" ca="1" si="324"/>
        <v>0.31626458847195593</v>
      </c>
      <c r="E1625" s="9">
        <f t="shared" ca="1" si="325"/>
        <v>376</v>
      </c>
      <c r="F1625" s="9">
        <f t="shared" ca="1" si="317"/>
        <v>2294</v>
      </c>
      <c r="G1625" s="12" t="str">
        <f t="shared" ca="1" si="318"/>
        <v>No</v>
      </c>
      <c r="H1625" s="12">
        <f t="shared" ca="1" si="326"/>
        <v>0</v>
      </c>
      <c r="I1625" s="10">
        <f t="shared" ca="1" si="319"/>
        <v>0</v>
      </c>
      <c r="J1625" s="13">
        <f t="shared" ca="1" si="320"/>
        <v>0</v>
      </c>
      <c r="K1625" s="14">
        <f t="shared" ca="1" si="321"/>
        <v>458.8</v>
      </c>
      <c r="L1625" s="14">
        <f t="shared" ca="1" si="322"/>
        <v>0</v>
      </c>
      <c r="M1625" s="15">
        <f t="shared" ca="1" si="323"/>
        <v>458.8</v>
      </c>
      <c r="N1625" s="16">
        <f ca="1">SUM($M$9:M1625)/A1625</f>
        <v>336.3931972789116</v>
      </c>
    </row>
    <row r="1626" spans="1:14" x14ac:dyDescent="0.25">
      <c r="A1626" s="8">
        <v>1618</v>
      </c>
      <c r="B1626" s="9">
        <f t="shared" ca="1" si="315"/>
        <v>2294</v>
      </c>
      <c r="C1626" s="10">
        <f t="shared" ca="1" si="316"/>
        <v>0</v>
      </c>
      <c r="D1626" s="11">
        <f t="shared" ca="1" si="324"/>
        <v>0.8992607622004829</v>
      </c>
      <c r="E1626" s="9">
        <f t="shared" ca="1" si="325"/>
        <v>463</v>
      </c>
      <c r="F1626" s="9">
        <f t="shared" ca="1" si="317"/>
        <v>1831</v>
      </c>
      <c r="G1626" s="12" t="str">
        <f t="shared" ca="1" si="318"/>
        <v>No</v>
      </c>
      <c r="H1626" s="12">
        <f t="shared" ca="1" si="326"/>
        <v>0</v>
      </c>
      <c r="I1626" s="10">
        <f t="shared" ca="1" si="319"/>
        <v>0</v>
      </c>
      <c r="J1626" s="13">
        <f t="shared" ca="1" si="320"/>
        <v>0</v>
      </c>
      <c r="K1626" s="14">
        <f t="shared" ca="1" si="321"/>
        <v>366.20000000000005</v>
      </c>
      <c r="L1626" s="14">
        <f t="shared" ca="1" si="322"/>
        <v>0</v>
      </c>
      <c r="M1626" s="15">
        <f t="shared" ca="1" si="323"/>
        <v>366.20000000000005</v>
      </c>
      <c r="N1626" s="16">
        <f ca="1">SUM($M$9:M1626)/A1626</f>
        <v>336.41161928306553</v>
      </c>
    </row>
    <row r="1627" spans="1:14" x14ac:dyDescent="0.25">
      <c r="A1627" s="8">
        <v>1619</v>
      </c>
      <c r="B1627" s="9">
        <f t="shared" ca="1" si="315"/>
        <v>1831</v>
      </c>
      <c r="C1627" s="10">
        <f t="shared" ca="1" si="316"/>
        <v>0</v>
      </c>
      <c r="D1627" s="11">
        <f t="shared" ca="1" si="324"/>
        <v>0.16887829343972649</v>
      </c>
      <c r="E1627" s="9">
        <f t="shared" ca="1" si="325"/>
        <v>352</v>
      </c>
      <c r="F1627" s="9">
        <f t="shared" ca="1" si="317"/>
        <v>1479</v>
      </c>
      <c r="G1627" s="12" t="str">
        <f t="shared" ca="1" si="318"/>
        <v>No</v>
      </c>
      <c r="H1627" s="12">
        <f t="shared" ca="1" si="326"/>
        <v>0</v>
      </c>
      <c r="I1627" s="10">
        <f t="shared" ca="1" si="319"/>
        <v>0</v>
      </c>
      <c r="J1627" s="13">
        <f t="shared" ca="1" si="320"/>
        <v>0</v>
      </c>
      <c r="K1627" s="14">
        <f t="shared" ca="1" si="321"/>
        <v>295.8</v>
      </c>
      <c r="L1627" s="14">
        <f t="shared" ca="1" si="322"/>
        <v>0</v>
      </c>
      <c r="M1627" s="15">
        <f t="shared" ca="1" si="323"/>
        <v>295.8</v>
      </c>
      <c r="N1627" s="16">
        <f ca="1">SUM($M$9:M1627)/A1627</f>
        <v>336.38653489808524</v>
      </c>
    </row>
    <row r="1628" spans="1:14" x14ac:dyDescent="0.25">
      <c r="A1628" s="8">
        <v>1620</v>
      </c>
      <c r="B1628" s="9">
        <f t="shared" ca="1" si="315"/>
        <v>1479</v>
      </c>
      <c r="C1628" s="10">
        <f t="shared" ca="1" si="316"/>
        <v>0</v>
      </c>
      <c r="D1628" s="11">
        <f t="shared" ca="1" si="324"/>
        <v>8.0483723745504832E-2</v>
      </c>
      <c r="E1628" s="9">
        <f t="shared" ca="1" si="325"/>
        <v>329</v>
      </c>
      <c r="F1628" s="9">
        <f t="shared" ca="1" si="317"/>
        <v>1150</v>
      </c>
      <c r="G1628" s="12" t="str">
        <f t="shared" ca="1" si="318"/>
        <v>No</v>
      </c>
      <c r="H1628" s="12">
        <f t="shared" ca="1" si="326"/>
        <v>0</v>
      </c>
      <c r="I1628" s="10">
        <f t="shared" ca="1" si="319"/>
        <v>0</v>
      </c>
      <c r="J1628" s="13">
        <f t="shared" ca="1" si="320"/>
        <v>0</v>
      </c>
      <c r="K1628" s="14">
        <f t="shared" ca="1" si="321"/>
        <v>230</v>
      </c>
      <c r="L1628" s="14">
        <f t="shared" ca="1" si="322"/>
        <v>0</v>
      </c>
      <c r="M1628" s="15">
        <f t="shared" ca="1" si="323"/>
        <v>230</v>
      </c>
      <c r="N1628" s="16">
        <f ca="1">SUM($M$9:M1628)/A1628</f>
        <v>336.32086419753091</v>
      </c>
    </row>
    <row r="1629" spans="1:14" x14ac:dyDescent="0.25">
      <c r="A1629" s="8">
        <v>1621</v>
      </c>
      <c r="B1629" s="9">
        <f t="shared" ca="1" si="315"/>
        <v>1150</v>
      </c>
      <c r="C1629" s="10">
        <f t="shared" ca="1" si="316"/>
        <v>0</v>
      </c>
      <c r="D1629" s="11">
        <f t="shared" ca="1" si="324"/>
        <v>0.46769261167835252</v>
      </c>
      <c r="E1629" s="9">
        <f t="shared" ca="1" si="325"/>
        <v>395</v>
      </c>
      <c r="F1629" s="9">
        <f t="shared" ca="1" si="317"/>
        <v>755</v>
      </c>
      <c r="G1629" s="12" t="str">
        <f t="shared" ca="1" si="318"/>
        <v>Yes</v>
      </c>
      <c r="H1629" s="12">
        <f t="shared" ca="1" si="326"/>
        <v>0.95500641187779312</v>
      </c>
      <c r="I1629" s="10">
        <f t="shared" ca="1" si="319"/>
        <v>3</v>
      </c>
      <c r="J1629" s="13">
        <f t="shared" ca="1" si="320"/>
        <v>300</v>
      </c>
      <c r="K1629" s="14">
        <f t="shared" ca="1" si="321"/>
        <v>151</v>
      </c>
      <c r="L1629" s="14">
        <f t="shared" ca="1" si="322"/>
        <v>0</v>
      </c>
      <c r="M1629" s="15">
        <f t="shared" ca="1" si="323"/>
        <v>451</v>
      </c>
      <c r="N1629" s="16">
        <f ca="1">SUM($M$9:M1629)/A1629</f>
        <v>336.3916101172116</v>
      </c>
    </row>
    <row r="1630" spans="1:14" x14ac:dyDescent="0.25">
      <c r="A1630" s="8">
        <v>1622</v>
      </c>
      <c r="B1630" s="9">
        <f t="shared" ca="1" si="315"/>
        <v>755</v>
      </c>
      <c r="C1630" s="10">
        <f t="shared" ca="1" si="316"/>
        <v>0</v>
      </c>
      <c r="D1630" s="11">
        <f t="shared" ca="1" si="324"/>
        <v>8.8798054767169399E-2</v>
      </c>
      <c r="E1630" s="9">
        <f t="shared" ca="1" si="325"/>
        <v>332</v>
      </c>
      <c r="F1630" s="9">
        <f t="shared" ca="1" si="317"/>
        <v>423</v>
      </c>
      <c r="G1630" s="12" t="str">
        <f t="shared" ca="1" si="318"/>
        <v>No</v>
      </c>
      <c r="H1630" s="12">
        <f t="shared" ca="1" si="326"/>
        <v>0</v>
      </c>
      <c r="I1630" s="10">
        <f t="shared" ca="1" si="319"/>
        <v>2</v>
      </c>
      <c r="J1630" s="13">
        <f t="shared" ca="1" si="320"/>
        <v>0</v>
      </c>
      <c r="K1630" s="14">
        <f t="shared" ca="1" si="321"/>
        <v>84.600000000000009</v>
      </c>
      <c r="L1630" s="14">
        <f t="shared" ca="1" si="322"/>
        <v>0</v>
      </c>
      <c r="M1630" s="15">
        <f t="shared" ca="1" si="323"/>
        <v>84.600000000000009</v>
      </c>
      <c r="N1630" s="16">
        <f ca="1">SUM($M$9:M1630)/A1630</f>
        <v>336.23637484586931</v>
      </c>
    </row>
    <row r="1631" spans="1:14" x14ac:dyDescent="0.25">
      <c r="A1631" s="8">
        <v>1623</v>
      </c>
      <c r="B1631" s="9">
        <f t="shared" ca="1" si="315"/>
        <v>423</v>
      </c>
      <c r="C1631" s="10">
        <f t="shared" ca="1" si="316"/>
        <v>0</v>
      </c>
      <c r="D1631" s="11">
        <f t="shared" ca="1" si="324"/>
        <v>0.19126022972125989</v>
      </c>
      <c r="E1631" s="9">
        <f t="shared" ca="1" si="325"/>
        <v>356</v>
      </c>
      <c r="F1631" s="9">
        <f t="shared" ca="1" si="317"/>
        <v>67</v>
      </c>
      <c r="G1631" s="12" t="str">
        <f t="shared" ca="1" si="318"/>
        <v>No</v>
      </c>
      <c r="H1631" s="12">
        <f t="shared" ca="1" si="326"/>
        <v>0</v>
      </c>
      <c r="I1631" s="10">
        <f t="shared" ca="1" si="319"/>
        <v>1</v>
      </c>
      <c r="J1631" s="13">
        <f t="shared" ca="1" si="320"/>
        <v>0</v>
      </c>
      <c r="K1631" s="14">
        <f t="shared" ca="1" si="321"/>
        <v>13.4</v>
      </c>
      <c r="L1631" s="14">
        <f t="shared" ca="1" si="322"/>
        <v>0</v>
      </c>
      <c r="M1631" s="15">
        <f t="shared" ca="1" si="323"/>
        <v>13.4</v>
      </c>
      <c r="N1631" s="16">
        <f ca="1">SUM($M$9:M1631)/A1631</f>
        <v>336.03746149106598</v>
      </c>
    </row>
    <row r="1632" spans="1:14" x14ac:dyDescent="0.25">
      <c r="A1632" s="8">
        <v>1624</v>
      </c>
      <c r="B1632" s="9">
        <f t="shared" ca="1" si="315"/>
        <v>1867</v>
      </c>
      <c r="C1632" s="10">
        <f t="shared" ca="1" si="316"/>
        <v>1800</v>
      </c>
      <c r="D1632" s="11">
        <f t="shared" ca="1" si="324"/>
        <v>4.5408662087032203E-2</v>
      </c>
      <c r="E1632" s="9">
        <f t="shared" ca="1" si="325"/>
        <v>315</v>
      </c>
      <c r="F1632" s="9">
        <f t="shared" ca="1" si="317"/>
        <v>1552</v>
      </c>
      <c r="G1632" s="12" t="str">
        <f t="shared" ca="1" si="318"/>
        <v>No</v>
      </c>
      <c r="H1632" s="12">
        <f t="shared" ca="1" si="326"/>
        <v>0</v>
      </c>
      <c r="I1632" s="10">
        <f t="shared" ca="1" si="319"/>
        <v>0</v>
      </c>
      <c r="J1632" s="13">
        <f t="shared" ca="1" si="320"/>
        <v>0</v>
      </c>
      <c r="K1632" s="14">
        <f t="shared" ca="1" si="321"/>
        <v>310.40000000000003</v>
      </c>
      <c r="L1632" s="14">
        <f t="shared" ca="1" si="322"/>
        <v>0</v>
      </c>
      <c r="M1632" s="15">
        <f t="shared" ca="1" si="323"/>
        <v>310.40000000000003</v>
      </c>
      <c r="N1632" s="16">
        <f ca="1">SUM($M$9:M1632)/A1632</f>
        <v>336.02167487684733</v>
      </c>
    </row>
    <row r="1633" spans="1:14" x14ac:dyDescent="0.25">
      <c r="A1633" s="8">
        <v>1625</v>
      </c>
      <c r="B1633" s="9">
        <f t="shared" ca="1" si="315"/>
        <v>1552</v>
      </c>
      <c r="C1633" s="10">
        <f t="shared" ca="1" si="316"/>
        <v>0</v>
      </c>
      <c r="D1633" s="11">
        <f t="shared" ca="1" si="324"/>
        <v>0.23155918474906589</v>
      </c>
      <c r="E1633" s="9">
        <f t="shared" ca="1" si="325"/>
        <v>363</v>
      </c>
      <c r="F1633" s="9">
        <f t="shared" ca="1" si="317"/>
        <v>1189</v>
      </c>
      <c r="G1633" s="12" t="str">
        <f t="shared" ca="1" si="318"/>
        <v>No</v>
      </c>
      <c r="H1633" s="12">
        <f t="shared" ca="1" si="326"/>
        <v>0</v>
      </c>
      <c r="I1633" s="10">
        <f t="shared" ca="1" si="319"/>
        <v>0</v>
      </c>
      <c r="J1633" s="13">
        <f t="shared" ca="1" si="320"/>
        <v>0</v>
      </c>
      <c r="K1633" s="14">
        <f t="shared" ca="1" si="321"/>
        <v>237.8</v>
      </c>
      <c r="L1633" s="14">
        <f t="shared" ca="1" si="322"/>
        <v>0</v>
      </c>
      <c r="M1633" s="15">
        <f t="shared" ca="1" si="323"/>
        <v>237.8</v>
      </c>
      <c r="N1633" s="16">
        <f ca="1">SUM($M$9:M1633)/A1633</f>
        <v>335.96123076923084</v>
      </c>
    </row>
    <row r="1634" spans="1:14" x14ac:dyDescent="0.25">
      <c r="A1634" s="8">
        <v>1626</v>
      </c>
      <c r="B1634" s="9">
        <f t="shared" ca="1" si="315"/>
        <v>1189</v>
      </c>
      <c r="C1634" s="10">
        <f t="shared" ca="1" si="316"/>
        <v>0</v>
      </c>
      <c r="D1634" s="11">
        <f t="shared" ca="1" si="324"/>
        <v>0.12402766519660835</v>
      </c>
      <c r="E1634" s="9">
        <f t="shared" ca="1" si="325"/>
        <v>342</v>
      </c>
      <c r="F1634" s="9">
        <f t="shared" ca="1" si="317"/>
        <v>847</v>
      </c>
      <c r="G1634" s="12" t="str">
        <f t="shared" ca="1" si="318"/>
        <v>Yes</v>
      </c>
      <c r="H1634" s="12">
        <f t="shared" ca="1" si="326"/>
        <v>3.9549611242357119E-2</v>
      </c>
      <c r="I1634" s="10">
        <f t="shared" ca="1" si="319"/>
        <v>1</v>
      </c>
      <c r="J1634" s="13">
        <f t="shared" ca="1" si="320"/>
        <v>300</v>
      </c>
      <c r="K1634" s="14">
        <f t="shared" ca="1" si="321"/>
        <v>169.4</v>
      </c>
      <c r="L1634" s="14">
        <f t="shared" ca="1" si="322"/>
        <v>0</v>
      </c>
      <c r="M1634" s="15">
        <f t="shared" ca="1" si="323"/>
        <v>469.4</v>
      </c>
      <c r="N1634" s="16">
        <f ca="1">SUM($M$9:M1634)/A1634</f>
        <v>336.04329643296444</v>
      </c>
    </row>
    <row r="1635" spans="1:14" x14ac:dyDescent="0.25">
      <c r="A1635" s="8">
        <v>1627</v>
      </c>
      <c r="B1635" s="9">
        <f t="shared" ca="1" si="315"/>
        <v>2647</v>
      </c>
      <c r="C1635" s="10">
        <f t="shared" ca="1" si="316"/>
        <v>1800</v>
      </c>
      <c r="D1635" s="11">
        <f t="shared" ca="1" si="324"/>
        <v>0.23030387587023637</v>
      </c>
      <c r="E1635" s="9">
        <f t="shared" ca="1" si="325"/>
        <v>363</v>
      </c>
      <c r="F1635" s="9">
        <f t="shared" ca="1" si="317"/>
        <v>2284</v>
      </c>
      <c r="G1635" s="12" t="str">
        <f t="shared" ca="1" si="318"/>
        <v>No</v>
      </c>
      <c r="H1635" s="12">
        <f t="shared" ca="1" si="326"/>
        <v>0</v>
      </c>
      <c r="I1635" s="10">
        <f t="shared" ca="1" si="319"/>
        <v>0</v>
      </c>
      <c r="J1635" s="13">
        <f t="shared" ca="1" si="320"/>
        <v>0</v>
      </c>
      <c r="K1635" s="14">
        <f t="shared" ca="1" si="321"/>
        <v>456.8</v>
      </c>
      <c r="L1635" s="14">
        <f t="shared" ca="1" si="322"/>
        <v>0</v>
      </c>
      <c r="M1635" s="15">
        <f t="shared" ca="1" si="323"/>
        <v>456.8</v>
      </c>
      <c r="N1635" s="16">
        <f ca="1">SUM($M$9:M1635)/A1635</f>
        <v>336.11751690227425</v>
      </c>
    </row>
    <row r="1636" spans="1:14" x14ac:dyDescent="0.25">
      <c r="A1636" s="8">
        <v>1628</v>
      </c>
      <c r="B1636" s="9">
        <f t="shared" ca="1" si="315"/>
        <v>2284</v>
      </c>
      <c r="C1636" s="10">
        <f t="shared" ca="1" si="316"/>
        <v>0</v>
      </c>
      <c r="D1636" s="11">
        <f t="shared" ca="1" si="324"/>
        <v>0.81885382641896232</v>
      </c>
      <c r="E1636" s="9">
        <f t="shared" ca="1" si="325"/>
        <v>445</v>
      </c>
      <c r="F1636" s="9">
        <f t="shared" ca="1" si="317"/>
        <v>1839</v>
      </c>
      <c r="G1636" s="12" t="str">
        <f t="shared" ca="1" si="318"/>
        <v>No</v>
      </c>
      <c r="H1636" s="12">
        <f t="shared" ca="1" si="326"/>
        <v>0</v>
      </c>
      <c r="I1636" s="10">
        <f t="shared" ca="1" si="319"/>
        <v>0</v>
      </c>
      <c r="J1636" s="13">
        <f t="shared" ca="1" si="320"/>
        <v>0</v>
      </c>
      <c r="K1636" s="14">
        <f t="shared" ca="1" si="321"/>
        <v>367.8</v>
      </c>
      <c r="L1636" s="14">
        <f t="shared" ca="1" si="322"/>
        <v>0</v>
      </c>
      <c r="M1636" s="15">
        <f t="shared" ca="1" si="323"/>
        <v>367.8</v>
      </c>
      <c r="N1636" s="16">
        <f ca="1">SUM($M$9:M1636)/A1636</f>
        <v>336.136977886978</v>
      </c>
    </row>
    <row r="1637" spans="1:14" x14ac:dyDescent="0.25">
      <c r="A1637" s="8">
        <v>1629</v>
      </c>
      <c r="B1637" s="9">
        <f t="shared" ca="1" si="315"/>
        <v>1839</v>
      </c>
      <c r="C1637" s="10">
        <f t="shared" ca="1" si="316"/>
        <v>0</v>
      </c>
      <c r="D1637" s="11">
        <f t="shared" ca="1" si="324"/>
        <v>0.79170750746506857</v>
      </c>
      <c r="E1637" s="9">
        <f t="shared" ca="1" si="325"/>
        <v>440</v>
      </c>
      <c r="F1637" s="9">
        <f t="shared" ca="1" si="317"/>
        <v>1399</v>
      </c>
      <c r="G1637" s="12" t="str">
        <f t="shared" ca="1" si="318"/>
        <v>No</v>
      </c>
      <c r="H1637" s="12">
        <f t="shared" ca="1" si="326"/>
        <v>0</v>
      </c>
      <c r="I1637" s="10">
        <f t="shared" ca="1" si="319"/>
        <v>0</v>
      </c>
      <c r="J1637" s="13">
        <f t="shared" ca="1" si="320"/>
        <v>0</v>
      </c>
      <c r="K1637" s="14">
        <f t="shared" ca="1" si="321"/>
        <v>279.8</v>
      </c>
      <c r="L1637" s="14">
        <f t="shared" ca="1" si="322"/>
        <v>0</v>
      </c>
      <c r="M1637" s="15">
        <f t="shared" ca="1" si="323"/>
        <v>279.8</v>
      </c>
      <c r="N1637" s="16">
        <f ca="1">SUM($M$9:M1637)/A1637</f>
        <v>336.10239410681419</v>
      </c>
    </row>
    <row r="1638" spans="1:14" x14ac:dyDescent="0.25">
      <c r="A1638" s="8">
        <v>1630</v>
      </c>
      <c r="B1638" s="9">
        <f t="shared" ca="1" si="315"/>
        <v>1399</v>
      </c>
      <c r="C1638" s="10">
        <f t="shared" ca="1" si="316"/>
        <v>0</v>
      </c>
      <c r="D1638" s="11">
        <f t="shared" ca="1" si="324"/>
        <v>0.22127902504418762</v>
      </c>
      <c r="E1638" s="9">
        <f t="shared" ca="1" si="325"/>
        <v>361</v>
      </c>
      <c r="F1638" s="9">
        <f t="shared" ca="1" si="317"/>
        <v>1038</v>
      </c>
      <c r="G1638" s="12" t="str">
        <f t="shared" ca="1" si="318"/>
        <v>Yes</v>
      </c>
      <c r="H1638" s="12">
        <f t="shared" ca="1" si="326"/>
        <v>0.44380922271314061</v>
      </c>
      <c r="I1638" s="10">
        <f t="shared" ca="1" si="319"/>
        <v>1</v>
      </c>
      <c r="J1638" s="13">
        <f t="shared" ca="1" si="320"/>
        <v>300</v>
      </c>
      <c r="K1638" s="14">
        <f t="shared" ca="1" si="321"/>
        <v>207.60000000000002</v>
      </c>
      <c r="L1638" s="14">
        <f t="shared" ca="1" si="322"/>
        <v>0</v>
      </c>
      <c r="M1638" s="15">
        <f t="shared" ca="1" si="323"/>
        <v>507.6</v>
      </c>
      <c r="N1638" s="16">
        <f ca="1">SUM($M$9:M1638)/A1638</f>
        <v>336.20760736196337</v>
      </c>
    </row>
    <row r="1639" spans="1:14" x14ac:dyDescent="0.25">
      <c r="A1639" s="8">
        <v>1631</v>
      </c>
      <c r="B1639" s="9">
        <f t="shared" ca="1" si="315"/>
        <v>2838</v>
      </c>
      <c r="C1639" s="10">
        <f t="shared" ca="1" si="316"/>
        <v>1800</v>
      </c>
      <c r="D1639" s="11">
        <f t="shared" ca="1" si="324"/>
        <v>0.86464946526682895</v>
      </c>
      <c r="E1639" s="9">
        <f t="shared" ca="1" si="325"/>
        <v>455</v>
      </c>
      <c r="F1639" s="9">
        <f t="shared" ca="1" si="317"/>
        <v>2383</v>
      </c>
      <c r="G1639" s="12" t="str">
        <f t="shared" ca="1" si="318"/>
        <v>No</v>
      </c>
      <c r="H1639" s="12">
        <f t="shared" ca="1" si="326"/>
        <v>0</v>
      </c>
      <c r="I1639" s="10">
        <f t="shared" ca="1" si="319"/>
        <v>0</v>
      </c>
      <c r="J1639" s="13">
        <f t="shared" ca="1" si="320"/>
        <v>0</v>
      </c>
      <c r="K1639" s="14">
        <f t="shared" ca="1" si="321"/>
        <v>476.6</v>
      </c>
      <c r="L1639" s="14">
        <f t="shared" ca="1" si="322"/>
        <v>0</v>
      </c>
      <c r="M1639" s="15">
        <f t="shared" ca="1" si="323"/>
        <v>476.6</v>
      </c>
      <c r="N1639" s="16">
        <f ca="1">SUM($M$9:M1639)/A1639</f>
        <v>336.29368485591675</v>
      </c>
    </row>
    <row r="1640" spans="1:14" x14ac:dyDescent="0.25">
      <c r="A1640" s="8">
        <v>1632</v>
      </c>
      <c r="B1640" s="9">
        <f t="shared" ca="1" si="315"/>
        <v>2383</v>
      </c>
      <c r="C1640" s="10">
        <f t="shared" ca="1" si="316"/>
        <v>0</v>
      </c>
      <c r="D1640" s="11">
        <f t="shared" ca="1" si="324"/>
        <v>0.50151133149872862</v>
      </c>
      <c r="E1640" s="9">
        <f t="shared" ca="1" si="325"/>
        <v>400</v>
      </c>
      <c r="F1640" s="9">
        <f t="shared" ca="1" si="317"/>
        <v>1983</v>
      </c>
      <c r="G1640" s="12" t="str">
        <f t="shared" ca="1" si="318"/>
        <v>No</v>
      </c>
      <c r="H1640" s="12">
        <f t="shared" ca="1" si="326"/>
        <v>0</v>
      </c>
      <c r="I1640" s="10">
        <f t="shared" ca="1" si="319"/>
        <v>0</v>
      </c>
      <c r="J1640" s="13">
        <f t="shared" ca="1" si="320"/>
        <v>0</v>
      </c>
      <c r="K1640" s="14">
        <f t="shared" ca="1" si="321"/>
        <v>396.6</v>
      </c>
      <c r="L1640" s="14">
        <f t="shared" ca="1" si="322"/>
        <v>0</v>
      </c>
      <c r="M1640" s="15">
        <f t="shared" ca="1" si="323"/>
        <v>396.6</v>
      </c>
      <c r="N1640" s="16">
        <f ca="1">SUM($M$9:M1640)/A1640</f>
        <v>336.33063725490211</v>
      </c>
    </row>
    <row r="1641" spans="1:14" x14ac:dyDescent="0.25">
      <c r="A1641" s="8">
        <v>1633</v>
      </c>
      <c r="B1641" s="9">
        <f t="shared" ca="1" si="315"/>
        <v>1983</v>
      </c>
      <c r="C1641" s="10">
        <f t="shared" ca="1" si="316"/>
        <v>0</v>
      </c>
      <c r="D1641" s="11">
        <f t="shared" ca="1" si="324"/>
        <v>0.30274586649792101</v>
      </c>
      <c r="E1641" s="9">
        <f t="shared" ca="1" si="325"/>
        <v>374</v>
      </c>
      <c r="F1641" s="9">
        <f t="shared" ca="1" si="317"/>
        <v>1609</v>
      </c>
      <c r="G1641" s="12" t="str">
        <f t="shared" ca="1" si="318"/>
        <v>No</v>
      </c>
      <c r="H1641" s="12">
        <f t="shared" ca="1" si="326"/>
        <v>0</v>
      </c>
      <c r="I1641" s="10">
        <f t="shared" ca="1" si="319"/>
        <v>0</v>
      </c>
      <c r="J1641" s="13">
        <f t="shared" ca="1" si="320"/>
        <v>0</v>
      </c>
      <c r="K1641" s="14">
        <f t="shared" ca="1" si="321"/>
        <v>321.8</v>
      </c>
      <c r="L1641" s="14">
        <f t="shared" ca="1" si="322"/>
        <v>0</v>
      </c>
      <c r="M1641" s="15">
        <f t="shared" ca="1" si="323"/>
        <v>321.8</v>
      </c>
      <c r="N1641" s="16">
        <f ca="1">SUM($M$9:M1641)/A1641</f>
        <v>336.32173913043493</v>
      </c>
    </row>
    <row r="1642" spans="1:14" x14ac:dyDescent="0.25">
      <c r="A1642" s="8">
        <v>1634</v>
      </c>
      <c r="B1642" s="9">
        <f t="shared" ca="1" si="315"/>
        <v>1609</v>
      </c>
      <c r="C1642" s="10">
        <f t="shared" ca="1" si="316"/>
        <v>0</v>
      </c>
      <c r="D1642" s="11">
        <f t="shared" ca="1" si="324"/>
        <v>0.67766796580602484</v>
      </c>
      <c r="E1642" s="9">
        <f t="shared" ca="1" si="325"/>
        <v>423</v>
      </c>
      <c r="F1642" s="9">
        <f t="shared" ca="1" si="317"/>
        <v>1186</v>
      </c>
      <c r="G1642" s="12" t="str">
        <f t="shared" ca="1" si="318"/>
        <v>No</v>
      </c>
      <c r="H1642" s="12">
        <f t="shared" ca="1" si="326"/>
        <v>0</v>
      </c>
      <c r="I1642" s="10">
        <f t="shared" ca="1" si="319"/>
        <v>0</v>
      </c>
      <c r="J1642" s="13">
        <f t="shared" ca="1" si="320"/>
        <v>0</v>
      </c>
      <c r="K1642" s="14">
        <f t="shared" ca="1" si="321"/>
        <v>237.20000000000002</v>
      </c>
      <c r="L1642" s="14">
        <f t="shared" ca="1" si="322"/>
        <v>0</v>
      </c>
      <c r="M1642" s="15">
        <f t="shared" ca="1" si="323"/>
        <v>237.20000000000002</v>
      </c>
      <c r="N1642" s="16">
        <f ca="1">SUM($M$9:M1642)/A1642</f>
        <v>336.26107711138326</v>
      </c>
    </row>
    <row r="1643" spans="1:14" x14ac:dyDescent="0.25">
      <c r="A1643" s="8">
        <v>1635</v>
      </c>
      <c r="B1643" s="9">
        <f t="shared" ca="1" si="315"/>
        <v>1186</v>
      </c>
      <c r="C1643" s="10">
        <f t="shared" ca="1" si="316"/>
        <v>0</v>
      </c>
      <c r="D1643" s="11">
        <f t="shared" ca="1" si="324"/>
        <v>0.15405574716876069</v>
      </c>
      <c r="E1643" s="9">
        <f t="shared" ca="1" si="325"/>
        <v>349</v>
      </c>
      <c r="F1643" s="9">
        <f t="shared" ca="1" si="317"/>
        <v>837</v>
      </c>
      <c r="G1643" s="12" t="str">
        <f t="shared" ca="1" si="318"/>
        <v>Yes</v>
      </c>
      <c r="H1643" s="12">
        <f t="shared" ca="1" si="326"/>
        <v>0.63515351372213136</v>
      </c>
      <c r="I1643" s="10">
        <f t="shared" ca="1" si="319"/>
        <v>1</v>
      </c>
      <c r="J1643" s="13">
        <f t="shared" ca="1" si="320"/>
        <v>300</v>
      </c>
      <c r="K1643" s="14">
        <f t="shared" ca="1" si="321"/>
        <v>167.4</v>
      </c>
      <c r="L1643" s="14">
        <f t="shared" ca="1" si="322"/>
        <v>0</v>
      </c>
      <c r="M1643" s="15">
        <f t="shared" ca="1" si="323"/>
        <v>467.4</v>
      </c>
      <c r="N1643" s="16">
        <f ca="1">SUM($M$9:M1643)/A1643</f>
        <v>336.34128440366987</v>
      </c>
    </row>
    <row r="1644" spans="1:14" x14ac:dyDescent="0.25">
      <c r="A1644" s="8">
        <v>1636</v>
      </c>
      <c r="B1644" s="9">
        <f t="shared" ca="1" si="315"/>
        <v>2637</v>
      </c>
      <c r="C1644" s="10">
        <f t="shared" ca="1" si="316"/>
        <v>1800</v>
      </c>
      <c r="D1644" s="11">
        <f t="shared" ca="1" si="324"/>
        <v>0.44968312191529769</v>
      </c>
      <c r="E1644" s="9">
        <f t="shared" ca="1" si="325"/>
        <v>393</v>
      </c>
      <c r="F1644" s="9">
        <f t="shared" ca="1" si="317"/>
        <v>2244</v>
      </c>
      <c r="G1644" s="12" t="str">
        <f t="shared" ca="1" si="318"/>
        <v>No</v>
      </c>
      <c r="H1644" s="12">
        <f t="shared" ca="1" si="326"/>
        <v>0</v>
      </c>
      <c r="I1644" s="10">
        <f t="shared" ca="1" si="319"/>
        <v>0</v>
      </c>
      <c r="J1644" s="13">
        <f t="shared" ca="1" si="320"/>
        <v>0</v>
      </c>
      <c r="K1644" s="14">
        <f t="shared" ca="1" si="321"/>
        <v>448.8</v>
      </c>
      <c r="L1644" s="14">
        <f t="shared" ca="1" si="322"/>
        <v>0</v>
      </c>
      <c r="M1644" s="15">
        <f t="shared" ca="1" si="323"/>
        <v>448.8</v>
      </c>
      <c r="N1644" s="16">
        <f ca="1">SUM($M$9:M1644)/A1644</f>
        <v>336.41002444987794</v>
      </c>
    </row>
    <row r="1645" spans="1:14" x14ac:dyDescent="0.25">
      <c r="A1645" s="8">
        <v>1637</v>
      </c>
      <c r="B1645" s="9">
        <f t="shared" ca="1" si="315"/>
        <v>2244</v>
      </c>
      <c r="C1645" s="10">
        <f t="shared" ca="1" si="316"/>
        <v>0</v>
      </c>
      <c r="D1645" s="11">
        <f t="shared" ca="1" si="324"/>
        <v>0.64888318963137037</v>
      </c>
      <c r="E1645" s="9">
        <f t="shared" ca="1" si="325"/>
        <v>419</v>
      </c>
      <c r="F1645" s="9">
        <f t="shared" ca="1" si="317"/>
        <v>1825</v>
      </c>
      <c r="G1645" s="12" t="str">
        <f t="shared" ca="1" si="318"/>
        <v>No</v>
      </c>
      <c r="H1645" s="12">
        <f t="shared" ca="1" si="326"/>
        <v>0</v>
      </c>
      <c r="I1645" s="10">
        <f t="shared" ca="1" si="319"/>
        <v>0</v>
      </c>
      <c r="J1645" s="13">
        <f t="shared" ca="1" si="320"/>
        <v>0</v>
      </c>
      <c r="K1645" s="14">
        <f t="shared" ca="1" si="321"/>
        <v>365</v>
      </c>
      <c r="L1645" s="14">
        <f t="shared" ca="1" si="322"/>
        <v>0</v>
      </c>
      <c r="M1645" s="15">
        <f t="shared" ca="1" si="323"/>
        <v>365</v>
      </c>
      <c r="N1645" s="16">
        <f ca="1">SUM($M$9:M1645)/A1645</f>
        <v>336.42748930971305</v>
      </c>
    </row>
    <row r="1646" spans="1:14" x14ac:dyDescent="0.25">
      <c r="A1646" s="8">
        <v>1638</v>
      </c>
      <c r="B1646" s="9">
        <f t="shared" ca="1" si="315"/>
        <v>1825</v>
      </c>
      <c r="C1646" s="10">
        <f t="shared" ca="1" si="316"/>
        <v>0</v>
      </c>
      <c r="D1646" s="11">
        <f t="shared" ca="1" si="324"/>
        <v>0.88015851881761054</v>
      </c>
      <c r="E1646" s="9">
        <f t="shared" ca="1" si="325"/>
        <v>458</v>
      </c>
      <c r="F1646" s="9">
        <f t="shared" ca="1" si="317"/>
        <v>1367</v>
      </c>
      <c r="G1646" s="12" t="str">
        <f t="shared" ca="1" si="318"/>
        <v>No</v>
      </c>
      <c r="H1646" s="12">
        <f t="shared" ca="1" si="326"/>
        <v>0</v>
      </c>
      <c r="I1646" s="10">
        <f t="shared" ca="1" si="319"/>
        <v>0</v>
      </c>
      <c r="J1646" s="13">
        <f t="shared" ca="1" si="320"/>
        <v>0</v>
      </c>
      <c r="K1646" s="14">
        <f t="shared" ca="1" si="321"/>
        <v>273.40000000000003</v>
      </c>
      <c r="L1646" s="14">
        <f t="shared" ca="1" si="322"/>
        <v>0</v>
      </c>
      <c r="M1646" s="15">
        <f t="shared" ca="1" si="323"/>
        <v>273.40000000000003</v>
      </c>
      <c r="N1646" s="16">
        <f ca="1">SUM($M$9:M1646)/A1646</f>
        <v>336.38901098901118</v>
      </c>
    </row>
    <row r="1647" spans="1:14" x14ac:dyDescent="0.25">
      <c r="A1647" s="8">
        <v>1639</v>
      </c>
      <c r="B1647" s="9">
        <f t="shared" ca="1" si="315"/>
        <v>1367</v>
      </c>
      <c r="C1647" s="10">
        <f t="shared" ca="1" si="316"/>
        <v>0</v>
      </c>
      <c r="D1647" s="11">
        <f t="shared" ca="1" si="324"/>
        <v>0.27072835825443009</v>
      </c>
      <c r="E1647" s="9">
        <f t="shared" ca="1" si="325"/>
        <v>369</v>
      </c>
      <c r="F1647" s="9">
        <f t="shared" ca="1" si="317"/>
        <v>998</v>
      </c>
      <c r="G1647" s="12" t="str">
        <f t="shared" ca="1" si="318"/>
        <v>Yes</v>
      </c>
      <c r="H1647" s="12">
        <f t="shared" ca="1" si="326"/>
        <v>0.63736329152645632</v>
      </c>
      <c r="I1647" s="10">
        <f t="shared" ca="1" si="319"/>
        <v>1</v>
      </c>
      <c r="J1647" s="13">
        <f t="shared" ca="1" si="320"/>
        <v>300</v>
      </c>
      <c r="K1647" s="14">
        <f t="shared" ca="1" si="321"/>
        <v>199.60000000000002</v>
      </c>
      <c r="L1647" s="14">
        <f t="shared" ca="1" si="322"/>
        <v>0</v>
      </c>
      <c r="M1647" s="15">
        <f t="shared" ca="1" si="323"/>
        <v>499.6</v>
      </c>
      <c r="N1647" s="16">
        <f ca="1">SUM($M$9:M1647)/A1647</f>
        <v>336.48859060402702</v>
      </c>
    </row>
    <row r="1648" spans="1:14" x14ac:dyDescent="0.25">
      <c r="A1648" s="8">
        <v>1640</v>
      </c>
      <c r="B1648" s="9">
        <f t="shared" ca="1" si="315"/>
        <v>2798</v>
      </c>
      <c r="C1648" s="10">
        <f t="shared" ca="1" si="316"/>
        <v>1800</v>
      </c>
      <c r="D1648" s="11">
        <f t="shared" ca="1" si="324"/>
        <v>0.36067464343127298</v>
      </c>
      <c r="E1648" s="9">
        <f t="shared" ca="1" si="325"/>
        <v>382</v>
      </c>
      <c r="F1648" s="9">
        <f t="shared" ca="1" si="317"/>
        <v>2416</v>
      </c>
      <c r="G1648" s="12" t="str">
        <f t="shared" ca="1" si="318"/>
        <v>No</v>
      </c>
      <c r="H1648" s="12">
        <f t="shared" ca="1" si="326"/>
        <v>0</v>
      </c>
      <c r="I1648" s="10">
        <f t="shared" ca="1" si="319"/>
        <v>0</v>
      </c>
      <c r="J1648" s="13">
        <f t="shared" ca="1" si="320"/>
        <v>0</v>
      </c>
      <c r="K1648" s="14">
        <f t="shared" ca="1" si="321"/>
        <v>483.20000000000005</v>
      </c>
      <c r="L1648" s="14">
        <f t="shared" ca="1" si="322"/>
        <v>0</v>
      </c>
      <c r="M1648" s="15">
        <f t="shared" ca="1" si="323"/>
        <v>483.20000000000005</v>
      </c>
      <c r="N1648" s="16">
        <f ca="1">SUM($M$9:M1648)/A1648</f>
        <v>336.57804878048796</v>
      </c>
    </row>
    <row r="1649" spans="1:14" x14ac:dyDescent="0.25">
      <c r="A1649" s="8">
        <v>1641</v>
      </c>
      <c r="B1649" s="9">
        <f t="shared" ca="1" si="315"/>
        <v>2416</v>
      </c>
      <c r="C1649" s="10">
        <f t="shared" ca="1" si="316"/>
        <v>0</v>
      </c>
      <c r="D1649" s="11">
        <f t="shared" ca="1" si="324"/>
        <v>5.5671403685397247E-2</v>
      </c>
      <c r="E1649" s="9">
        <f t="shared" ca="1" si="325"/>
        <v>320</v>
      </c>
      <c r="F1649" s="9">
        <f t="shared" ca="1" si="317"/>
        <v>2096</v>
      </c>
      <c r="G1649" s="12" t="str">
        <f t="shared" ca="1" si="318"/>
        <v>No</v>
      </c>
      <c r="H1649" s="12">
        <f t="shared" ca="1" si="326"/>
        <v>0</v>
      </c>
      <c r="I1649" s="10">
        <f t="shared" ca="1" si="319"/>
        <v>0</v>
      </c>
      <c r="J1649" s="13">
        <f t="shared" ca="1" si="320"/>
        <v>0</v>
      </c>
      <c r="K1649" s="14">
        <f t="shared" ca="1" si="321"/>
        <v>419.20000000000005</v>
      </c>
      <c r="L1649" s="14">
        <f t="shared" ca="1" si="322"/>
        <v>0</v>
      </c>
      <c r="M1649" s="15">
        <f t="shared" ca="1" si="323"/>
        <v>419.20000000000005</v>
      </c>
      <c r="N1649" s="16">
        <f ca="1">SUM($M$9:M1649)/A1649</f>
        <v>336.62839731870821</v>
      </c>
    </row>
    <row r="1650" spans="1:14" x14ac:dyDescent="0.25">
      <c r="A1650" s="8">
        <v>1642</v>
      </c>
      <c r="B1650" s="9">
        <f t="shared" ca="1" si="315"/>
        <v>2096</v>
      </c>
      <c r="C1650" s="10">
        <f t="shared" ca="1" si="316"/>
        <v>0</v>
      </c>
      <c r="D1650" s="11">
        <f t="shared" ca="1" si="324"/>
        <v>1.4597442107787018E-2</v>
      </c>
      <c r="E1650" s="9">
        <f t="shared" ca="1" si="325"/>
        <v>290</v>
      </c>
      <c r="F1650" s="9">
        <f t="shared" ca="1" si="317"/>
        <v>1806</v>
      </c>
      <c r="G1650" s="12" t="str">
        <f t="shared" ca="1" si="318"/>
        <v>No</v>
      </c>
      <c r="H1650" s="12">
        <f t="shared" ca="1" si="326"/>
        <v>0</v>
      </c>
      <c r="I1650" s="10">
        <f t="shared" ca="1" si="319"/>
        <v>0</v>
      </c>
      <c r="J1650" s="13">
        <f t="shared" ca="1" si="320"/>
        <v>0</v>
      </c>
      <c r="K1650" s="14">
        <f t="shared" ca="1" si="321"/>
        <v>361.20000000000005</v>
      </c>
      <c r="L1650" s="14">
        <f t="shared" ca="1" si="322"/>
        <v>0</v>
      </c>
      <c r="M1650" s="15">
        <f t="shared" ca="1" si="323"/>
        <v>361.20000000000005</v>
      </c>
      <c r="N1650" s="16">
        <f ca="1">SUM($M$9:M1650)/A1650</f>
        <v>336.64336175395869</v>
      </c>
    </row>
    <row r="1651" spans="1:14" x14ac:dyDescent="0.25">
      <c r="A1651" s="8">
        <v>1643</v>
      </c>
      <c r="B1651" s="9">
        <f t="shared" ca="1" si="315"/>
        <v>1806</v>
      </c>
      <c r="C1651" s="10">
        <f t="shared" ca="1" si="316"/>
        <v>0</v>
      </c>
      <c r="D1651" s="11">
        <f t="shared" ca="1" si="324"/>
        <v>0.66452976598785318</v>
      </c>
      <c r="E1651" s="9">
        <f t="shared" ca="1" si="325"/>
        <v>421</v>
      </c>
      <c r="F1651" s="9">
        <f t="shared" ca="1" si="317"/>
        <v>1385</v>
      </c>
      <c r="G1651" s="12" t="str">
        <f t="shared" ca="1" si="318"/>
        <v>No</v>
      </c>
      <c r="H1651" s="12">
        <f t="shared" ca="1" si="326"/>
        <v>0</v>
      </c>
      <c r="I1651" s="10">
        <f t="shared" ca="1" si="319"/>
        <v>0</v>
      </c>
      <c r="J1651" s="13">
        <f t="shared" ca="1" si="320"/>
        <v>0</v>
      </c>
      <c r="K1651" s="14">
        <f t="shared" ca="1" si="321"/>
        <v>277</v>
      </c>
      <c r="L1651" s="14">
        <f t="shared" ca="1" si="322"/>
        <v>0</v>
      </c>
      <c r="M1651" s="15">
        <f t="shared" ca="1" si="323"/>
        <v>277</v>
      </c>
      <c r="N1651" s="16">
        <f ca="1">SUM($M$9:M1651)/A1651</f>
        <v>336.60706025563002</v>
      </c>
    </row>
    <row r="1652" spans="1:14" x14ac:dyDescent="0.25">
      <c r="A1652" s="8">
        <v>1644</v>
      </c>
      <c r="B1652" s="9">
        <f t="shared" ca="1" si="315"/>
        <v>1385</v>
      </c>
      <c r="C1652" s="10">
        <f t="shared" ca="1" si="316"/>
        <v>0</v>
      </c>
      <c r="D1652" s="11">
        <f t="shared" ca="1" si="324"/>
        <v>0.94268081248745617</v>
      </c>
      <c r="E1652" s="9">
        <f t="shared" ca="1" si="325"/>
        <v>478</v>
      </c>
      <c r="F1652" s="9">
        <f t="shared" ca="1" si="317"/>
        <v>907</v>
      </c>
      <c r="G1652" s="12" t="str">
        <f t="shared" ca="1" si="318"/>
        <v>Yes</v>
      </c>
      <c r="H1652" s="12">
        <f t="shared" ca="1" si="326"/>
        <v>0.5599540048317202</v>
      </c>
      <c r="I1652" s="10">
        <f t="shared" ca="1" si="319"/>
        <v>1</v>
      </c>
      <c r="J1652" s="13">
        <f t="shared" ca="1" si="320"/>
        <v>300</v>
      </c>
      <c r="K1652" s="14">
        <f t="shared" ca="1" si="321"/>
        <v>181.4</v>
      </c>
      <c r="L1652" s="14">
        <f t="shared" ca="1" si="322"/>
        <v>0</v>
      </c>
      <c r="M1652" s="15">
        <f t="shared" ca="1" si="323"/>
        <v>481.4</v>
      </c>
      <c r="N1652" s="16">
        <f ca="1">SUM($M$9:M1652)/A1652</f>
        <v>336.69513381995142</v>
      </c>
    </row>
    <row r="1653" spans="1:14" x14ac:dyDescent="0.25">
      <c r="A1653" s="8">
        <v>1645</v>
      </c>
      <c r="B1653" s="9">
        <f t="shared" ca="1" si="315"/>
        <v>2707</v>
      </c>
      <c r="C1653" s="10">
        <f t="shared" ca="1" si="316"/>
        <v>1800</v>
      </c>
      <c r="D1653" s="11">
        <f t="shared" ca="1" si="324"/>
        <v>0.64437802980555059</v>
      </c>
      <c r="E1653" s="9">
        <f t="shared" ca="1" si="325"/>
        <v>418</v>
      </c>
      <c r="F1653" s="9">
        <f t="shared" ca="1" si="317"/>
        <v>2289</v>
      </c>
      <c r="G1653" s="12" t="str">
        <f t="shared" ca="1" si="318"/>
        <v>No</v>
      </c>
      <c r="H1653" s="12">
        <f t="shared" ca="1" si="326"/>
        <v>0</v>
      </c>
      <c r="I1653" s="10">
        <f t="shared" ca="1" si="319"/>
        <v>0</v>
      </c>
      <c r="J1653" s="13">
        <f t="shared" ca="1" si="320"/>
        <v>0</v>
      </c>
      <c r="K1653" s="14">
        <f t="shared" ca="1" si="321"/>
        <v>457.8</v>
      </c>
      <c r="L1653" s="14">
        <f t="shared" ca="1" si="322"/>
        <v>0</v>
      </c>
      <c r="M1653" s="15">
        <f t="shared" ca="1" si="323"/>
        <v>457.8</v>
      </c>
      <c r="N1653" s="16">
        <f ca="1">SUM($M$9:M1653)/A1653</f>
        <v>336.76875379939224</v>
      </c>
    </row>
    <row r="1654" spans="1:14" x14ac:dyDescent="0.25">
      <c r="A1654" s="8">
        <v>1646</v>
      </c>
      <c r="B1654" s="9">
        <f t="shared" ca="1" si="315"/>
        <v>2289</v>
      </c>
      <c r="C1654" s="10">
        <f t="shared" ca="1" si="316"/>
        <v>0</v>
      </c>
      <c r="D1654" s="11">
        <f t="shared" ca="1" si="324"/>
        <v>0.87870226353566228</v>
      </c>
      <c r="E1654" s="9">
        <f t="shared" ca="1" si="325"/>
        <v>458</v>
      </c>
      <c r="F1654" s="9">
        <f t="shared" ca="1" si="317"/>
        <v>1831</v>
      </c>
      <c r="G1654" s="12" t="str">
        <f t="shared" ca="1" si="318"/>
        <v>No</v>
      </c>
      <c r="H1654" s="12">
        <f t="shared" ca="1" si="326"/>
        <v>0</v>
      </c>
      <c r="I1654" s="10">
        <f t="shared" ca="1" si="319"/>
        <v>0</v>
      </c>
      <c r="J1654" s="13">
        <f t="shared" ca="1" si="320"/>
        <v>0</v>
      </c>
      <c r="K1654" s="14">
        <f t="shared" ca="1" si="321"/>
        <v>366.20000000000005</v>
      </c>
      <c r="L1654" s="14">
        <f t="shared" ca="1" si="322"/>
        <v>0</v>
      </c>
      <c r="M1654" s="15">
        <f t="shared" ca="1" si="323"/>
        <v>366.20000000000005</v>
      </c>
      <c r="N1654" s="16">
        <f ca="1">SUM($M$9:M1654)/A1654</f>
        <v>336.78663426488464</v>
      </c>
    </row>
    <row r="1655" spans="1:14" x14ac:dyDescent="0.25">
      <c r="A1655" s="8">
        <v>1647</v>
      </c>
      <c r="B1655" s="9">
        <f t="shared" ca="1" si="315"/>
        <v>1831</v>
      </c>
      <c r="C1655" s="10">
        <f t="shared" ca="1" si="316"/>
        <v>0</v>
      </c>
      <c r="D1655" s="11">
        <f t="shared" ca="1" si="324"/>
        <v>0.37861726082527969</v>
      </c>
      <c r="E1655" s="9">
        <f t="shared" ca="1" si="325"/>
        <v>384</v>
      </c>
      <c r="F1655" s="9">
        <f t="shared" ca="1" si="317"/>
        <v>1447</v>
      </c>
      <c r="G1655" s="12" t="str">
        <f t="shared" ca="1" si="318"/>
        <v>No</v>
      </c>
      <c r="H1655" s="12">
        <f t="shared" ca="1" si="326"/>
        <v>0</v>
      </c>
      <c r="I1655" s="10">
        <f t="shared" ca="1" si="319"/>
        <v>0</v>
      </c>
      <c r="J1655" s="13">
        <f t="shared" ca="1" si="320"/>
        <v>0</v>
      </c>
      <c r="K1655" s="14">
        <f t="shared" ca="1" si="321"/>
        <v>289.40000000000003</v>
      </c>
      <c r="L1655" s="14">
        <f t="shared" ca="1" si="322"/>
        <v>0</v>
      </c>
      <c r="M1655" s="15">
        <f t="shared" ca="1" si="323"/>
        <v>289.40000000000003</v>
      </c>
      <c r="N1655" s="16">
        <f ca="1">SUM($M$9:M1655)/A1655</f>
        <v>336.7578627808137</v>
      </c>
    </row>
    <row r="1656" spans="1:14" x14ac:dyDescent="0.25">
      <c r="A1656" s="8">
        <v>1648</v>
      </c>
      <c r="B1656" s="9">
        <f t="shared" ca="1" si="315"/>
        <v>1447</v>
      </c>
      <c r="C1656" s="10">
        <f t="shared" ca="1" si="316"/>
        <v>0</v>
      </c>
      <c r="D1656" s="11">
        <f t="shared" ca="1" si="324"/>
        <v>0.46223210649553981</v>
      </c>
      <c r="E1656" s="9">
        <f t="shared" ca="1" si="325"/>
        <v>395</v>
      </c>
      <c r="F1656" s="9">
        <f t="shared" ca="1" si="317"/>
        <v>1052</v>
      </c>
      <c r="G1656" s="12" t="str">
        <f t="shared" ca="1" si="318"/>
        <v>No</v>
      </c>
      <c r="H1656" s="12">
        <f t="shared" ca="1" si="326"/>
        <v>0</v>
      </c>
      <c r="I1656" s="10">
        <f t="shared" ca="1" si="319"/>
        <v>0</v>
      </c>
      <c r="J1656" s="13">
        <f t="shared" ca="1" si="320"/>
        <v>0</v>
      </c>
      <c r="K1656" s="14">
        <f t="shared" ca="1" si="321"/>
        <v>210.4</v>
      </c>
      <c r="L1656" s="14">
        <f t="shared" ca="1" si="322"/>
        <v>0</v>
      </c>
      <c r="M1656" s="15">
        <f t="shared" ca="1" si="323"/>
        <v>210.4</v>
      </c>
      <c r="N1656" s="16">
        <f ca="1">SUM($M$9:M1656)/A1656</f>
        <v>336.68118932038846</v>
      </c>
    </row>
    <row r="1657" spans="1:14" x14ac:dyDescent="0.25">
      <c r="A1657" s="8">
        <v>1649</v>
      </c>
      <c r="B1657" s="9">
        <f t="shared" ca="1" si="315"/>
        <v>1052</v>
      </c>
      <c r="C1657" s="10">
        <f t="shared" ca="1" si="316"/>
        <v>0</v>
      </c>
      <c r="D1657" s="11">
        <f t="shared" ca="1" si="324"/>
        <v>0.5561630909170947</v>
      </c>
      <c r="E1657" s="9">
        <f t="shared" ca="1" si="325"/>
        <v>407</v>
      </c>
      <c r="F1657" s="9">
        <f t="shared" ca="1" si="317"/>
        <v>645</v>
      </c>
      <c r="G1657" s="12" t="str">
        <f t="shared" ca="1" si="318"/>
        <v>Yes</v>
      </c>
      <c r="H1657" s="12">
        <f t="shared" ca="1" si="326"/>
        <v>0.67638368003540261</v>
      </c>
      <c r="I1657" s="10">
        <f t="shared" ca="1" si="319"/>
        <v>1</v>
      </c>
      <c r="J1657" s="13">
        <f t="shared" ca="1" si="320"/>
        <v>300</v>
      </c>
      <c r="K1657" s="14">
        <f t="shared" ca="1" si="321"/>
        <v>129</v>
      </c>
      <c r="L1657" s="14">
        <f t="shared" ca="1" si="322"/>
        <v>0</v>
      </c>
      <c r="M1657" s="15">
        <f t="shared" ca="1" si="323"/>
        <v>429</v>
      </c>
      <c r="N1657" s="16">
        <f ca="1">SUM($M$9:M1657)/A1657</f>
        <v>336.73717404487581</v>
      </c>
    </row>
    <row r="1658" spans="1:14" x14ac:dyDescent="0.25">
      <c r="A1658" s="8">
        <v>1650</v>
      </c>
      <c r="B1658" s="9">
        <f t="shared" ca="1" si="315"/>
        <v>2445</v>
      </c>
      <c r="C1658" s="10">
        <f t="shared" ca="1" si="316"/>
        <v>1800</v>
      </c>
      <c r="D1658" s="11">
        <f t="shared" ca="1" si="324"/>
        <v>0.8115125298669621</v>
      </c>
      <c r="E1658" s="9">
        <f t="shared" ca="1" si="325"/>
        <v>444</v>
      </c>
      <c r="F1658" s="9">
        <f t="shared" ca="1" si="317"/>
        <v>2001</v>
      </c>
      <c r="G1658" s="12" t="str">
        <f t="shared" ca="1" si="318"/>
        <v>No</v>
      </c>
      <c r="H1658" s="12">
        <f t="shared" ca="1" si="326"/>
        <v>0</v>
      </c>
      <c r="I1658" s="10">
        <f t="shared" ca="1" si="319"/>
        <v>0</v>
      </c>
      <c r="J1658" s="13">
        <f t="shared" ca="1" si="320"/>
        <v>0</v>
      </c>
      <c r="K1658" s="14">
        <f t="shared" ca="1" si="321"/>
        <v>400.20000000000005</v>
      </c>
      <c r="L1658" s="14">
        <f t="shared" ca="1" si="322"/>
        <v>0</v>
      </c>
      <c r="M1658" s="15">
        <f t="shared" ca="1" si="323"/>
        <v>400.20000000000005</v>
      </c>
      <c r="N1658" s="16">
        <f ca="1">SUM($M$9:M1658)/A1658</f>
        <v>336.77563636363647</v>
      </c>
    </row>
    <row r="1659" spans="1:14" x14ac:dyDescent="0.25">
      <c r="A1659" s="8">
        <v>1651</v>
      </c>
      <c r="B1659" s="9">
        <f t="shared" ca="1" si="315"/>
        <v>2001</v>
      </c>
      <c r="C1659" s="10">
        <f t="shared" ca="1" si="316"/>
        <v>0</v>
      </c>
      <c r="D1659" s="11">
        <f t="shared" ca="1" si="324"/>
        <v>0.64045523116975778</v>
      </c>
      <c r="E1659" s="9">
        <f t="shared" ca="1" si="325"/>
        <v>417</v>
      </c>
      <c r="F1659" s="9">
        <f t="shared" ca="1" si="317"/>
        <v>1584</v>
      </c>
      <c r="G1659" s="12" t="str">
        <f t="shared" ca="1" si="318"/>
        <v>No</v>
      </c>
      <c r="H1659" s="12">
        <f t="shared" ca="1" si="326"/>
        <v>0</v>
      </c>
      <c r="I1659" s="10">
        <f t="shared" ca="1" si="319"/>
        <v>0</v>
      </c>
      <c r="J1659" s="13">
        <f t="shared" ca="1" si="320"/>
        <v>0</v>
      </c>
      <c r="K1659" s="14">
        <f t="shared" ca="1" si="321"/>
        <v>316.8</v>
      </c>
      <c r="L1659" s="14">
        <f t="shared" ca="1" si="322"/>
        <v>0</v>
      </c>
      <c r="M1659" s="15">
        <f t="shared" ca="1" si="323"/>
        <v>316.8</v>
      </c>
      <c r="N1659" s="16">
        <f ca="1">SUM($M$9:M1659)/A1659</f>
        <v>336.76353725015156</v>
      </c>
    </row>
    <row r="1660" spans="1:14" x14ac:dyDescent="0.25">
      <c r="A1660" s="8">
        <v>1652</v>
      </c>
      <c r="B1660" s="9">
        <f t="shared" ca="1" si="315"/>
        <v>1584</v>
      </c>
      <c r="C1660" s="10">
        <f t="shared" ca="1" si="316"/>
        <v>0</v>
      </c>
      <c r="D1660" s="11">
        <f t="shared" ca="1" si="324"/>
        <v>0.71561137147014742</v>
      </c>
      <c r="E1660" s="9">
        <f t="shared" ca="1" si="325"/>
        <v>428</v>
      </c>
      <c r="F1660" s="9">
        <f t="shared" ca="1" si="317"/>
        <v>1156</v>
      </c>
      <c r="G1660" s="12" t="str">
        <f t="shared" ca="1" si="318"/>
        <v>No</v>
      </c>
      <c r="H1660" s="12">
        <f t="shared" ca="1" si="326"/>
        <v>0</v>
      </c>
      <c r="I1660" s="10">
        <f t="shared" ca="1" si="319"/>
        <v>0</v>
      </c>
      <c r="J1660" s="13">
        <f t="shared" ca="1" si="320"/>
        <v>0</v>
      </c>
      <c r="K1660" s="14">
        <f t="shared" ca="1" si="321"/>
        <v>231.20000000000002</v>
      </c>
      <c r="L1660" s="14">
        <f t="shared" ca="1" si="322"/>
        <v>0</v>
      </c>
      <c r="M1660" s="15">
        <f t="shared" ca="1" si="323"/>
        <v>231.20000000000002</v>
      </c>
      <c r="N1660" s="16">
        <f ca="1">SUM($M$9:M1660)/A1660</f>
        <v>336.69963680387417</v>
      </c>
    </row>
    <row r="1661" spans="1:14" x14ac:dyDescent="0.25">
      <c r="A1661" s="8">
        <v>1653</v>
      </c>
      <c r="B1661" s="9">
        <f t="shared" ref="B1661:B1724" ca="1" si="327">IF(I1660=1,F1660+Quantity,F1660)</f>
        <v>1156</v>
      </c>
      <c r="C1661" s="10">
        <f t="shared" ref="C1661:C1724" ca="1" si="328">IF(I1660=1,Quantity,0)</f>
        <v>0</v>
      </c>
      <c r="D1661" s="11">
        <f t="shared" ca="1" si="324"/>
        <v>0.28154607469120585</v>
      </c>
      <c r="E1661" s="9">
        <f t="shared" ca="1" si="325"/>
        <v>371</v>
      </c>
      <c r="F1661" s="9">
        <f t="shared" ref="F1661:F1724" ca="1" si="329">IF(B1661+C1661-E1661&lt;0,0,B1661-E1661)</f>
        <v>785</v>
      </c>
      <c r="G1661" s="12" t="str">
        <f t="shared" ref="G1661:G1724" ca="1" si="330">IF(B1661&lt;Point,IF(I1660=0,"Yes","No"),"No")</f>
        <v>Yes</v>
      </c>
      <c r="H1661" s="12">
        <f t="shared" ca="1" si="326"/>
        <v>0.91534671956384162</v>
      </c>
      <c r="I1661" s="10">
        <f t="shared" ref="I1661:I1724" ca="1" si="331">IF(I1660&gt;0,I1660-1,(IF(G1661="Yes",(VLOOKUP(H1661,LTD,3)),0)))</f>
        <v>3</v>
      </c>
      <c r="J1661" s="13">
        <f t="shared" ref="J1661:J1724" ca="1" si="332">IF(G1661="Yes",Order_Cost,0)</f>
        <v>300</v>
      </c>
      <c r="K1661" s="14">
        <f t="shared" ref="K1661:K1724" ca="1" si="333">F1661*Holding_Cost</f>
        <v>157</v>
      </c>
      <c r="L1661" s="14">
        <f t="shared" ref="L1661:L1724" ca="1" si="334">IF(B1661+C1661&lt;E1661,Shortage_Cost*(E1661-B1661-C1661),0)</f>
        <v>0</v>
      </c>
      <c r="M1661" s="15">
        <f t="shared" ref="M1661:M1724" ca="1" si="335">SUM(J1661:L1661)</f>
        <v>457</v>
      </c>
      <c r="N1661" s="16">
        <f ca="1">SUM($M$9:M1661)/A1661</f>
        <v>336.77241379310357</v>
      </c>
    </row>
    <row r="1662" spans="1:14" x14ac:dyDescent="0.25">
      <c r="A1662" s="8">
        <v>1654</v>
      </c>
      <c r="B1662" s="9">
        <f t="shared" ca="1" si="327"/>
        <v>785</v>
      </c>
      <c r="C1662" s="10">
        <f t="shared" ca="1" si="328"/>
        <v>0</v>
      </c>
      <c r="D1662" s="11">
        <f t="shared" ca="1" si="324"/>
        <v>0.29229879922607638</v>
      </c>
      <c r="E1662" s="9">
        <f t="shared" ca="1" si="325"/>
        <v>372</v>
      </c>
      <c r="F1662" s="9">
        <f t="shared" ca="1" si="329"/>
        <v>413</v>
      </c>
      <c r="G1662" s="12" t="str">
        <f t="shared" ca="1" si="330"/>
        <v>No</v>
      </c>
      <c r="H1662" s="12">
        <f t="shared" ca="1" si="326"/>
        <v>0</v>
      </c>
      <c r="I1662" s="10">
        <f t="shared" ca="1" si="331"/>
        <v>2</v>
      </c>
      <c r="J1662" s="13">
        <f t="shared" ca="1" si="332"/>
        <v>0</v>
      </c>
      <c r="K1662" s="14">
        <f t="shared" ca="1" si="333"/>
        <v>82.600000000000009</v>
      </c>
      <c r="L1662" s="14">
        <f t="shared" ca="1" si="334"/>
        <v>0</v>
      </c>
      <c r="M1662" s="15">
        <f t="shared" ca="1" si="335"/>
        <v>82.600000000000009</v>
      </c>
      <c r="N1662" s="16">
        <f ca="1">SUM($M$9:M1662)/A1662</f>
        <v>336.61874244256359</v>
      </c>
    </row>
    <row r="1663" spans="1:14" x14ac:dyDescent="0.25">
      <c r="A1663" s="8">
        <v>1655</v>
      </c>
      <c r="B1663" s="9">
        <f t="shared" ca="1" si="327"/>
        <v>413</v>
      </c>
      <c r="C1663" s="10">
        <f t="shared" ca="1" si="328"/>
        <v>0</v>
      </c>
      <c r="D1663" s="11">
        <f t="shared" ca="1" si="324"/>
        <v>0.75871369579343284</v>
      </c>
      <c r="E1663" s="9">
        <f t="shared" ca="1" si="325"/>
        <v>435</v>
      </c>
      <c r="F1663" s="9">
        <f t="shared" ca="1" si="329"/>
        <v>0</v>
      </c>
      <c r="G1663" s="12" t="str">
        <f t="shared" ca="1" si="330"/>
        <v>No</v>
      </c>
      <c r="H1663" s="12">
        <f t="shared" ca="1" si="326"/>
        <v>0</v>
      </c>
      <c r="I1663" s="10">
        <f t="shared" ca="1" si="331"/>
        <v>1</v>
      </c>
      <c r="J1663" s="13">
        <f t="shared" ca="1" si="332"/>
        <v>0</v>
      </c>
      <c r="K1663" s="14">
        <f t="shared" ca="1" si="333"/>
        <v>0</v>
      </c>
      <c r="L1663" s="14">
        <f t="shared" ca="1" si="334"/>
        <v>44</v>
      </c>
      <c r="M1663" s="15">
        <f t="shared" ca="1" si="335"/>
        <v>44</v>
      </c>
      <c r="N1663" s="16">
        <f ca="1">SUM($M$9:M1663)/A1663</f>
        <v>336.44193353474327</v>
      </c>
    </row>
    <row r="1664" spans="1:14" x14ac:dyDescent="0.25">
      <c r="A1664" s="8">
        <v>1656</v>
      </c>
      <c r="B1664" s="9">
        <f t="shared" ca="1" si="327"/>
        <v>1800</v>
      </c>
      <c r="C1664" s="10">
        <f t="shared" ca="1" si="328"/>
        <v>1800</v>
      </c>
      <c r="D1664" s="11">
        <f t="shared" ca="1" si="324"/>
        <v>0.93131190769338845</v>
      </c>
      <c r="E1664" s="9">
        <f t="shared" ca="1" si="325"/>
        <v>474</v>
      </c>
      <c r="F1664" s="9">
        <f t="shared" ca="1" si="329"/>
        <v>1326</v>
      </c>
      <c r="G1664" s="12" t="str">
        <f t="shared" ca="1" si="330"/>
        <v>No</v>
      </c>
      <c r="H1664" s="12">
        <f t="shared" ca="1" si="326"/>
        <v>0</v>
      </c>
      <c r="I1664" s="10">
        <f t="shared" ca="1" si="331"/>
        <v>0</v>
      </c>
      <c r="J1664" s="13">
        <f t="shared" ca="1" si="332"/>
        <v>0</v>
      </c>
      <c r="K1664" s="14">
        <f t="shared" ca="1" si="333"/>
        <v>265.2</v>
      </c>
      <c r="L1664" s="14">
        <f t="shared" ca="1" si="334"/>
        <v>0</v>
      </c>
      <c r="M1664" s="15">
        <f t="shared" ca="1" si="335"/>
        <v>265.2</v>
      </c>
      <c r="N1664" s="16">
        <f ca="1">SUM($M$9:M1664)/A1664</f>
        <v>336.39891304347833</v>
      </c>
    </row>
    <row r="1665" spans="1:14" x14ac:dyDescent="0.25">
      <c r="A1665" s="8">
        <v>1657</v>
      </c>
      <c r="B1665" s="9">
        <f t="shared" ca="1" si="327"/>
        <v>1326</v>
      </c>
      <c r="C1665" s="10">
        <f t="shared" ca="1" si="328"/>
        <v>0</v>
      </c>
      <c r="D1665" s="11">
        <f t="shared" ca="1" si="324"/>
        <v>0.77798055801580079</v>
      </c>
      <c r="E1665" s="9">
        <f t="shared" ca="1" si="325"/>
        <v>438</v>
      </c>
      <c r="F1665" s="9">
        <f t="shared" ca="1" si="329"/>
        <v>888</v>
      </c>
      <c r="G1665" s="12" t="str">
        <f t="shared" ca="1" si="330"/>
        <v>Yes</v>
      </c>
      <c r="H1665" s="12">
        <f t="shared" ca="1" si="326"/>
        <v>0.55461714274693197</v>
      </c>
      <c r="I1665" s="10">
        <f t="shared" ca="1" si="331"/>
        <v>1</v>
      </c>
      <c r="J1665" s="13">
        <f t="shared" ca="1" si="332"/>
        <v>300</v>
      </c>
      <c r="K1665" s="14">
        <f t="shared" ca="1" si="333"/>
        <v>177.60000000000002</v>
      </c>
      <c r="L1665" s="14">
        <f t="shared" ca="1" si="334"/>
        <v>0</v>
      </c>
      <c r="M1665" s="15">
        <f t="shared" ca="1" si="335"/>
        <v>477.6</v>
      </c>
      <c r="N1665" s="16">
        <f ca="1">SUM($M$9:M1665)/A1665</f>
        <v>336.48412794206399</v>
      </c>
    </row>
    <row r="1666" spans="1:14" x14ac:dyDescent="0.25">
      <c r="A1666" s="8">
        <v>1658</v>
      </c>
      <c r="B1666" s="9">
        <f t="shared" ca="1" si="327"/>
        <v>2688</v>
      </c>
      <c r="C1666" s="10">
        <f t="shared" ca="1" si="328"/>
        <v>1800</v>
      </c>
      <c r="D1666" s="11">
        <f t="shared" ca="1" si="324"/>
        <v>0.64671438322032859</v>
      </c>
      <c r="E1666" s="9">
        <f t="shared" ca="1" si="325"/>
        <v>418</v>
      </c>
      <c r="F1666" s="9">
        <f t="shared" ca="1" si="329"/>
        <v>2270</v>
      </c>
      <c r="G1666" s="12" t="str">
        <f t="shared" ca="1" si="330"/>
        <v>No</v>
      </c>
      <c r="H1666" s="12">
        <f t="shared" ca="1" si="326"/>
        <v>0</v>
      </c>
      <c r="I1666" s="10">
        <f t="shared" ca="1" si="331"/>
        <v>0</v>
      </c>
      <c r="J1666" s="13">
        <f t="shared" ca="1" si="332"/>
        <v>0</v>
      </c>
      <c r="K1666" s="14">
        <f t="shared" ca="1" si="333"/>
        <v>454</v>
      </c>
      <c r="L1666" s="14">
        <f t="shared" ca="1" si="334"/>
        <v>0</v>
      </c>
      <c r="M1666" s="15">
        <f t="shared" ca="1" si="335"/>
        <v>454</v>
      </c>
      <c r="N1666" s="16">
        <f ca="1">SUM($M$9:M1666)/A1666</f>
        <v>336.55500603136312</v>
      </c>
    </row>
    <row r="1667" spans="1:14" x14ac:dyDescent="0.25">
      <c r="A1667" s="8">
        <v>1659</v>
      </c>
      <c r="B1667" s="9">
        <f t="shared" ca="1" si="327"/>
        <v>2270</v>
      </c>
      <c r="C1667" s="10">
        <f t="shared" ca="1" si="328"/>
        <v>0</v>
      </c>
      <c r="D1667" s="11">
        <f t="shared" ca="1" si="324"/>
        <v>0.30983358486803614</v>
      </c>
      <c r="E1667" s="9">
        <f t="shared" ca="1" si="325"/>
        <v>375</v>
      </c>
      <c r="F1667" s="9">
        <f t="shared" ca="1" si="329"/>
        <v>1895</v>
      </c>
      <c r="G1667" s="12" t="str">
        <f t="shared" ca="1" si="330"/>
        <v>No</v>
      </c>
      <c r="H1667" s="12">
        <f t="shared" ca="1" si="326"/>
        <v>0</v>
      </c>
      <c r="I1667" s="10">
        <f t="shared" ca="1" si="331"/>
        <v>0</v>
      </c>
      <c r="J1667" s="13">
        <f t="shared" ca="1" si="332"/>
        <v>0</v>
      </c>
      <c r="K1667" s="14">
        <f t="shared" ca="1" si="333"/>
        <v>379</v>
      </c>
      <c r="L1667" s="14">
        <f t="shared" ca="1" si="334"/>
        <v>0</v>
      </c>
      <c r="M1667" s="15">
        <f t="shared" ca="1" si="335"/>
        <v>379</v>
      </c>
      <c r="N1667" s="16">
        <f ca="1">SUM($M$9:M1667)/A1667</f>
        <v>336.58059071729963</v>
      </c>
    </row>
    <row r="1668" spans="1:14" x14ac:dyDescent="0.25">
      <c r="A1668" s="8">
        <v>1660</v>
      </c>
      <c r="B1668" s="9">
        <f t="shared" ca="1" si="327"/>
        <v>1895</v>
      </c>
      <c r="C1668" s="10">
        <f t="shared" ca="1" si="328"/>
        <v>0</v>
      </c>
      <c r="D1668" s="11">
        <f t="shared" ca="1" si="324"/>
        <v>0.73618070088883247</v>
      </c>
      <c r="E1668" s="9">
        <f t="shared" ca="1" si="325"/>
        <v>431</v>
      </c>
      <c r="F1668" s="9">
        <f t="shared" ca="1" si="329"/>
        <v>1464</v>
      </c>
      <c r="G1668" s="12" t="str">
        <f t="shared" ca="1" si="330"/>
        <v>No</v>
      </c>
      <c r="H1668" s="12">
        <f t="shared" ca="1" si="326"/>
        <v>0</v>
      </c>
      <c r="I1668" s="10">
        <f t="shared" ca="1" si="331"/>
        <v>0</v>
      </c>
      <c r="J1668" s="13">
        <f t="shared" ca="1" si="332"/>
        <v>0</v>
      </c>
      <c r="K1668" s="14">
        <f t="shared" ca="1" si="333"/>
        <v>292.8</v>
      </c>
      <c r="L1668" s="14">
        <f t="shared" ca="1" si="334"/>
        <v>0</v>
      </c>
      <c r="M1668" s="15">
        <f t="shared" ca="1" si="335"/>
        <v>292.8</v>
      </c>
      <c r="N1668" s="16">
        <f ca="1">SUM($M$9:M1668)/A1668</f>
        <v>336.55421686746996</v>
      </c>
    </row>
    <row r="1669" spans="1:14" x14ac:dyDescent="0.25">
      <c r="A1669" s="8">
        <v>1661</v>
      </c>
      <c r="B1669" s="9">
        <f t="shared" ca="1" si="327"/>
        <v>1464</v>
      </c>
      <c r="C1669" s="10">
        <f t="shared" ca="1" si="328"/>
        <v>0</v>
      </c>
      <c r="D1669" s="11">
        <f t="shared" ca="1" si="324"/>
        <v>0.15387560256324817</v>
      </c>
      <c r="E1669" s="9">
        <f t="shared" ca="1" si="325"/>
        <v>349</v>
      </c>
      <c r="F1669" s="9">
        <f t="shared" ca="1" si="329"/>
        <v>1115</v>
      </c>
      <c r="G1669" s="12" t="str">
        <f t="shared" ca="1" si="330"/>
        <v>No</v>
      </c>
      <c r="H1669" s="12">
        <f t="shared" ca="1" si="326"/>
        <v>0</v>
      </c>
      <c r="I1669" s="10">
        <f t="shared" ca="1" si="331"/>
        <v>0</v>
      </c>
      <c r="J1669" s="13">
        <f t="shared" ca="1" si="332"/>
        <v>0</v>
      </c>
      <c r="K1669" s="14">
        <f t="shared" ca="1" si="333"/>
        <v>223</v>
      </c>
      <c r="L1669" s="14">
        <f t="shared" ca="1" si="334"/>
        <v>0</v>
      </c>
      <c r="M1669" s="15">
        <f t="shared" ca="1" si="335"/>
        <v>223</v>
      </c>
      <c r="N1669" s="16">
        <f ca="1">SUM($M$9:M1669)/A1669</f>
        <v>336.48585189644797</v>
      </c>
    </row>
    <row r="1670" spans="1:14" x14ac:dyDescent="0.25">
      <c r="A1670" s="8">
        <v>1662</v>
      </c>
      <c r="B1670" s="9">
        <f t="shared" ca="1" si="327"/>
        <v>1115</v>
      </c>
      <c r="C1670" s="10">
        <f t="shared" ca="1" si="328"/>
        <v>0</v>
      </c>
      <c r="D1670" s="11">
        <f t="shared" ca="1" si="324"/>
        <v>0.53327844566383298</v>
      </c>
      <c r="E1670" s="9">
        <f t="shared" ca="1" si="325"/>
        <v>404</v>
      </c>
      <c r="F1670" s="9">
        <f t="shared" ca="1" si="329"/>
        <v>711</v>
      </c>
      <c r="G1670" s="12" t="str">
        <f t="shared" ca="1" si="330"/>
        <v>Yes</v>
      </c>
      <c r="H1670" s="12">
        <f t="shared" ca="1" si="326"/>
        <v>5.1549713683276543E-2</v>
      </c>
      <c r="I1670" s="10">
        <f t="shared" ca="1" si="331"/>
        <v>1</v>
      </c>
      <c r="J1670" s="13">
        <f t="shared" ca="1" si="332"/>
        <v>300</v>
      </c>
      <c r="K1670" s="14">
        <f t="shared" ca="1" si="333"/>
        <v>142.20000000000002</v>
      </c>
      <c r="L1670" s="14">
        <f t="shared" ca="1" si="334"/>
        <v>0</v>
      </c>
      <c r="M1670" s="15">
        <f t="shared" ca="1" si="335"/>
        <v>442.20000000000005</v>
      </c>
      <c r="N1670" s="16">
        <f ca="1">SUM($M$9:M1670)/A1670</f>
        <v>336.54945848375456</v>
      </c>
    </row>
    <row r="1671" spans="1:14" x14ac:dyDescent="0.25">
      <c r="A1671" s="8">
        <v>1663</v>
      </c>
      <c r="B1671" s="9">
        <f t="shared" ca="1" si="327"/>
        <v>2511</v>
      </c>
      <c r="C1671" s="10">
        <f t="shared" ca="1" si="328"/>
        <v>1800</v>
      </c>
      <c r="D1671" s="11">
        <f t="shared" ca="1" si="324"/>
        <v>7.8963261030632337E-3</v>
      </c>
      <c r="E1671" s="9">
        <f t="shared" ca="1" si="325"/>
        <v>279</v>
      </c>
      <c r="F1671" s="9">
        <f t="shared" ca="1" si="329"/>
        <v>2232</v>
      </c>
      <c r="G1671" s="12" t="str">
        <f t="shared" ca="1" si="330"/>
        <v>No</v>
      </c>
      <c r="H1671" s="12">
        <f t="shared" ca="1" si="326"/>
        <v>0</v>
      </c>
      <c r="I1671" s="10">
        <f t="shared" ca="1" si="331"/>
        <v>0</v>
      </c>
      <c r="J1671" s="13">
        <f t="shared" ca="1" si="332"/>
        <v>0</v>
      </c>
      <c r="K1671" s="14">
        <f t="shared" ca="1" si="333"/>
        <v>446.40000000000003</v>
      </c>
      <c r="L1671" s="14">
        <f t="shared" ca="1" si="334"/>
        <v>0</v>
      </c>
      <c r="M1671" s="15">
        <f t="shared" ca="1" si="335"/>
        <v>446.40000000000003</v>
      </c>
      <c r="N1671" s="16">
        <f ca="1">SUM($M$9:M1671)/A1671</f>
        <v>336.61551413108845</v>
      </c>
    </row>
    <row r="1672" spans="1:14" x14ac:dyDescent="0.25">
      <c r="A1672" s="8">
        <v>1664</v>
      </c>
      <c r="B1672" s="9">
        <f t="shared" ca="1" si="327"/>
        <v>2232</v>
      </c>
      <c r="C1672" s="10">
        <f t="shared" ca="1" si="328"/>
        <v>0</v>
      </c>
      <c r="D1672" s="11">
        <f t="shared" ca="1" si="324"/>
        <v>0.10314366684094467</v>
      </c>
      <c r="E1672" s="9">
        <f t="shared" ca="1" si="325"/>
        <v>336</v>
      </c>
      <c r="F1672" s="9">
        <f t="shared" ca="1" si="329"/>
        <v>1896</v>
      </c>
      <c r="G1672" s="12" t="str">
        <f t="shared" ca="1" si="330"/>
        <v>No</v>
      </c>
      <c r="H1672" s="12">
        <f t="shared" ca="1" si="326"/>
        <v>0</v>
      </c>
      <c r="I1672" s="10">
        <f t="shared" ca="1" si="331"/>
        <v>0</v>
      </c>
      <c r="J1672" s="13">
        <f t="shared" ca="1" si="332"/>
        <v>0</v>
      </c>
      <c r="K1672" s="14">
        <f t="shared" ca="1" si="333"/>
        <v>379.20000000000005</v>
      </c>
      <c r="L1672" s="14">
        <f t="shared" ca="1" si="334"/>
        <v>0</v>
      </c>
      <c r="M1672" s="15">
        <f t="shared" ca="1" si="335"/>
        <v>379.20000000000005</v>
      </c>
      <c r="N1672" s="16">
        <f ca="1">SUM($M$9:M1672)/A1672</f>
        <v>336.64110576923082</v>
      </c>
    </row>
    <row r="1673" spans="1:14" x14ac:dyDescent="0.25">
      <c r="A1673" s="8">
        <v>1665</v>
      </c>
      <c r="B1673" s="9">
        <f t="shared" ca="1" si="327"/>
        <v>1896</v>
      </c>
      <c r="C1673" s="10">
        <f t="shared" ca="1" si="328"/>
        <v>0</v>
      </c>
      <c r="D1673" s="11">
        <f t="shared" ca="1" si="324"/>
        <v>0.87606474421559666</v>
      </c>
      <c r="E1673" s="9">
        <f t="shared" ca="1" si="325"/>
        <v>457</v>
      </c>
      <c r="F1673" s="9">
        <f t="shared" ca="1" si="329"/>
        <v>1439</v>
      </c>
      <c r="G1673" s="12" t="str">
        <f t="shared" ca="1" si="330"/>
        <v>No</v>
      </c>
      <c r="H1673" s="12">
        <f t="shared" ca="1" si="326"/>
        <v>0</v>
      </c>
      <c r="I1673" s="10">
        <f t="shared" ca="1" si="331"/>
        <v>0</v>
      </c>
      <c r="J1673" s="13">
        <f t="shared" ca="1" si="332"/>
        <v>0</v>
      </c>
      <c r="K1673" s="14">
        <f t="shared" ca="1" si="333"/>
        <v>287.8</v>
      </c>
      <c r="L1673" s="14">
        <f t="shared" ca="1" si="334"/>
        <v>0</v>
      </c>
      <c r="M1673" s="15">
        <f t="shared" ca="1" si="335"/>
        <v>287.8</v>
      </c>
      <c r="N1673" s="16">
        <f ca="1">SUM($M$9:M1673)/A1673</f>
        <v>336.61177177177183</v>
      </c>
    </row>
    <row r="1674" spans="1:14" x14ac:dyDescent="0.25">
      <c r="A1674" s="8">
        <v>1666</v>
      </c>
      <c r="B1674" s="9">
        <f t="shared" ca="1" si="327"/>
        <v>1439</v>
      </c>
      <c r="C1674" s="10">
        <f t="shared" ca="1" si="328"/>
        <v>0</v>
      </c>
      <c r="D1674" s="11">
        <f t="shared" ref="D1674:D1737" ca="1" si="336">RAND()</f>
        <v>0.40843307322450961</v>
      </c>
      <c r="E1674" s="9">
        <f t="shared" ref="E1674:E1737" ca="1" si="337">INT(NORMINV(D1674,D_Mean,D_StdDev))</f>
        <v>388</v>
      </c>
      <c r="F1674" s="9">
        <f t="shared" ca="1" si="329"/>
        <v>1051</v>
      </c>
      <c r="G1674" s="12" t="str">
        <f t="shared" ca="1" si="330"/>
        <v>No</v>
      </c>
      <c r="H1674" s="12">
        <f t="shared" ref="H1674:H1737" ca="1" si="338">IF(G1674="Yes",RAND(),0)</f>
        <v>0</v>
      </c>
      <c r="I1674" s="10">
        <f t="shared" ca="1" si="331"/>
        <v>0</v>
      </c>
      <c r="J1674" s="13">
        <f t="shared" ca="1" si="332"/>
        <v>0</v>
      </c>
      <c r="K1674" s="14">
        <f t="shared" ca="1" si="333"/>
        <v>210.20000000000002</v>
      </c>
      <c r="L1674" s="14">
        <f t="shared" ca="1" si="334"/>
        <v>0</v>
      </c>
      <c r="M1674" s="15">
        <f t="shared" ca="1" si="335"/>
        <v>210.20000000000002</v>
      </c>
      <c r="N1674" s="16">
        <f ca="1">SUM($M$9:M1674)/A1674</f>
        <v>336.53589435774313</v>
      </c>
    </row>
    <row r="1675" spans="1:14" x14ac:dyDescent="0.25">
      <c r="A1675" s="8">
        <v>1667</v>
      </c>
      <c r="B1675" s="9">
        <f t="shared" ca="1" si="327"/>
        <v>1051</v>
      </c>
      <c r="C1675" s="10">
        <f t="shared" ca="1" si="328"/>
        <v>0</v>
      </c>
      <c r="D1675" s="11">
        <f t="shared" ca="1" si="336"/>
        <v>0.61457104499223192</v>
      </c>
      <c r="E1675" s="9">
        <f t="shared" ca="1" si="337"/>
        <v>414</v>
      </c>
      <c r="F1675" s="9">
        <f t="shared" ca="1" si="329"/>
        <v>637</v>
      </c>
      <c r="G1675" s="12" t="str">
        <f t="shared" ca="1" si="330"/>
        <v>Yes</v>
      </c>
      <c r="H1675" s="12">
        <f t="shared" ca="1" si="338"/>
        <v>0.61224982062115951</v>
      </c>
      <c r="I1675" s="10">
        <f t="shared" ca="1" si="331"/>
        <v>1</v>
      </c>
      <c r="J1675" s="13">
        <f t="shared" ca="1" si="332"/>
        <v>300</v>
      </c>
      <c r="K1675" s="14">
        <f t="shared" ca="1" si="333"/>
        <v>127.4</v>
      </c>
      <c r="L1675" s="14">
        <f t="shared" ca="1" si="334"/>
        <v>0</v>
      </c>
      <c r="M1675" s="15">
        <f t="shared" ca="1" si="335"/>
        <v>427.4</v>
      </c>
      <c r="N1675" s="16">
        <f ca="1">SUM($M$9:M1675)/A1675</f>
        <v>336.59040191961611</v>
      </c>
    </row>
    <row r="1676" spans="1:14" x14ac:dyDescent="0.25">
      <c r="A1676" s="8">
        <v>1668</v>
      </c>
      <c r="B1676" s="9">
        <f t="shared" ca="1" si="327"/>
        <v>2437</v>
      </c>
      <c r="C1676" s="10">
        <f t="shared" ca="1" si="328"/>
        <v>1800</v>
      </c>
      <c r="D1676" s="11">
        <f t="shared" ca="1" si="336"/>
        <v>0.14641874685762357</v>
      </c>
      <c r="E1676" s="9">
        <f t="shared" ca="1" si="337"/>
        <v>347</v>
      </c>
      <c r="F1676" s="9">
        <f t="shared" ca="1" si="329"/>
        <v>2090</v>
      </c>
      <c r="G1676" s="12" t="str">
        <f t="shared" ca="1" si="330"/>
        <v>No</v>
      </c>
      <c r="H1676" s="12">
        <f t="shared" ca="1" si="338"/>
        <v>0</v>
      </c>
      <c r="I1676" s="10">
        <f t="shared" ca="1" si="331"/>
        <v>0</v>
      </c>
      <c r="J1676" s="13">
        <f t="shared" ca="1" si="332"/>
        <v>0</v>
      </c>
      <c r="K1676" s="14">
        <f t="shared" ca="1" si="333"/>
        <v>418</v>
      </c>
      <c r="L1676" s="14">
        <f t="shared" ca="1" si="334"/>
        <v>0</v>
      </c>
      <c r="M1676" s="15">
        <f t="shared" ca="1" si="335"/>
        <v>418</v>
      </c>
      <c r="N1676" s="16">
        <f ca="1">SUM($M$9:M1676)/A1676</f>
        <v>336.63920863309357</v>
      </c>
    </row>
    <row r="1677" spans="1:14" x14ac:dyDescent="0.25">
      <c r="A1677" s="8">
        <v>1669</v>
      </c>
      <c r="B1677" s="9">
        <f t="shared" ca="1" si="327"/>
        <v>2090</v>
      </c>
      <c r="C1677" s="10">
        <f t="shared" ca="1" si="328"/>
        <v>0</v>
      </c>
      <c r="D1677" s="11">
        <f t="shared" ca="1" si="336"/>
        <v>0.65459943413641797</v>
      </c>
      <c r="E1677" s="9">
        <f t="shared" ca="1" si="337"/>
        <v>419</v>
      </c>
      <c r="F1677" s="9">
        <f t="shared" ca="1" si="329"/>
        <v>1671</v>
      </c>
      <c r="G1677" s="12" t="str">
        <f t="shared" ca="1" si="330"/>
        <v>No</v>
      </c>
      <c r="H1677" s="12">
        <f t="shared" ca="1" si="338"/>
        <v>0</v>
      </c>
      <c r="I1677" s="10">
        <f t="shared" ca="1" si="331"/>
        <v>0</v>
      </c>
      <c r="J1677" s="13">
        <f t="shared" ca="1" si="332"/>
        <v>0</v>
      </c>
      <c r="K1677" s="14">
        <f t="shared" ca="1" si="333"/>
        <v>334.20000000000005</v>
      </c>
      <c r="L1677" s="14">
        <f t="shared" ca="1" si="334"/>
        <v>0</v>
      </c>
      <c r="M1677" s="15">
        <f t="shared" ca="1" si="335"/>
        <v>334.20000000000005</v>
      </c>
      <c r="N1677" s="16">
        <f ca="1">SUM($M$9:M1677)/A1677</f>
        <v>336.63774715398444</v>
      </c>
    </row>
    <row r="1678" spans="1:14" x14ac:dyDescent="0.25">
      <c r="A1678" s="8">
        <v>1670</v>
      </c>
      <c r="B1678" s="9">
        <f t="shared" ca="1" si="327"/>
        <v>1671</v>
      </c>
      <c r="C1678" s="10">
        <f t="shared" ca="1" si="328"/>
        <v>0</v>
      </c>
      <c r="D1678" s="11">
        <f t="shared" ca="1" si="336"/>
        <v>0.45091970340229648</v>
      </c>
      <c r="E1678" s="9">
        <f t="shared" ca="1" si="337"/>
        <v>393</v>
      </c>
      <c r="F1678" s="9">
        <f t="shared" ca="1" si="329"/>
        <v>1278</v>
      </c>
      <c r="G1678" s="12" t="str">
        <f t="shared" ca="1" si="330"/>
        <v>No</v>
      </c>
      <c r="H1678" s="12">
        <f t="shared" ca="1" si="338"/>
        <v>0</v>
      </c>
      <c r="I1678" s="10">
        <f t="shared" ca="1" si="331"/>
        <v>0</v>
      </c>
      <c r="J1678" s="13">
        <f t="shared" ca="1" si="332"/>
        <v>0</v>
      </c>
      <c r="K1678" s="14">
        <f t="shared" ca="1" si="333"/>
        <v>255.60000000000002</v>
      </c>
      <c r="L1678" s="14">
        <f t="shared" ca="1" si="334"/>
        <v>0</v>
      </c>
      <c r="M1678" s="15">
        <f t="shared" ca="1" si="335"/>
        <v>255.60000000000002</v>
      </c>
      <c r="N1678" s="16">
        <f ca="1">SUM($M$9:M1678)/A1678</f>
        <v>336.58922155688623</v>
      </c>
    </row>
    <row r="1679" spans="1:14" x14ac:dyDescent="0.25">
      <c r="A1679" s="8">
        <v>1671</v>
      </c>
      <c r="B1679" s="9">
        <f t="shared" ca="1" si="327"/>
        <v>1278</v>
      </c>
      <c r="C1679" s="10">
        <f t="shared" ca="1" si="328"/>
        <v>0</v>
      </c>
      <c r="D1679" s="11">
        <f t="shared" ca="1" si="336"/>
        <v>0.95299341132921889</v>
      </c>
      <c r="E1679" s="9">
        <f t="shared" ca="1" si="337"/>
        <v>483</v>
      </c>
      <c r="F1679" s="9">
        <f t="shared" ca="1" si="329"/>
        <v>795</v>
      </c>
      <c r="G1679" s="12" t="str">
        <f t="shared" ca="1" si="330"/>
        <v>Yes</v>
      </c>
      <c r="H1679" s="12">
        <f t="shared" ca="1" si="338"/>
        <v>0.51620466750835658</v>
      </c>
      <c r="I1679" s="10">
        <f t="shared" ca="1" si="331"/>
        <v>1</v>
      </c>
      <c r="J1679" s="13">
        <f t="shared" ca="1" si="332"/>
        <v>300</v>
      </c>
      <c r="K1679" s="14">
        <f t="shared" ca="1" si="333"/>
        <v>159</v>
      </c>
      <c r="L1679" s="14">
        <f t="shared" ca="1" si="334"/>
        <v>0</v>
      </c>
      <c r="M1679" s="15">
        <f t="shared" ca="1" si="335"/>
        <v>459</v>
      </c>
      <c r="N1679" s="16">
        <f ca="1">SUM($M$9:M1679)/A1679</f>
        <v>336.66247755834831</v>
      </c>
    </row>
    <row r="1680" spans="1:14" x14ac:dyDescent="0.25">
      <c r="A1680" s="8">
        <v>1672</v>
      </c>
      <c r="B1680" s="9">
        <f t="shared" ca="1" si="327"/>
        <v>2595</v>
      </c>
      <c r="C1680" s="10">
        <f t="shared" ca="1" si="328"/>
        <v>1800</v>
      </c>
      <c r="D1680" s="11">
        <f t="shared" ca="1" si="336"/>
        <v>0.7395603276725079</v>
      </c>
      <c r="E1680" s="9">
        <f t="shared" ca="1" si="337"/>
        <v>432</v>
      </c>
      <c r="F1680" s="9">
        <f t="shared" ca="1" si="329"/>
        <v>2163</v>
      </c>
      <c r="G1680" s="12" t="str">
        <f t="shared" ca="1" si="330"/>
        <v>No</v>
      </c>
      <c r="H1680" s="12">
        <f t="shared" ca="1" si="338"/>
        <v>0</v>
      </c>
      <c r="I1680" s="10">
        <f t="shared" ca="1" si="331"/>
        <v>0</v>
      </c>
      <c r="J1680" s="13">
        <f t="shared" ca="1" si="332"/>
        <v>0</v>
      </c>
      <c r="K1680" s="14">
        <f t="shared" ca="1" si="333"/>
        <v>432.6</v>
      </c>
      <c r="L1680" s="14">
        <f t="shared" ca="1" si="334"/>
        <v>0</v>
      </c>
      <c r="M1680" s="15">
        <f t="shared" ca="1" si="335"/>
        <v>432.6</v>
      </c>
      <c r="N1680" s="16">
        <f ca="1">SUM($M$9:M1680)/A1680</f>
        <v>336.71985645933012</v>
      </c>
    </row>
    <row r="1681" spans="1:14" x14ac:dyDescent="0.25">
      <c r="A1681" s="8">
        <v>1673</v>
      </c>
      <c r="B1681" s="9">
        <f t="shared" ca="1" si="327"/>
        <v>2163</v>
      </c>
      <c r="C1681" s="10">
        <f t="shared" ca="1" si="328"/>
        <v>0</v>
      </c>
      <c r="D1681" s="11">
        <f t="shared" ca="1" si="336"/>
        <v>0.62008093517513796</v>
      </c>
      <c r="E1681" s="9">
        <f t="shared" ca="1" si="337"/>
        <v>415</v>
      </c>
      <c r="F1681" s="9">
        <f t="shared" ca="1" si="329"/>
        <v>1748</v>
      </c>
      <c r="G1681" s="12" t="str">
        <f t="shared" ca="1" si="330"/>
        <v>No</v>
      </c>
      <c r="H1681" s="12">
        <f t="shared" ca="1" si="338"/>
        <v>0</v>
      </c>
      <c r="I1681" s="10">
        <f t="shared" ca="1" si="331"/>
        <v>0</v>
      </c>
      <c r="J1681" s="13">
        <f t="shared" ca="1" si="332"/>
        <v>0</v>
      </c>
      <c r="K1681" s="14">
        <f t="shared" ca="1" si="333"/>
        <v>349.6</v>
      </c>
      <c r="L1681" s="14">
        <f t="shared" ca="1" si="334"/>
        <v>0</v>
      </c>
      <c r="M1681" s="15">
        <f t="shared" ca="1" si="335"/>
        <v>349.6</v>
      </c>
      <c r="N1681" s="16">
        <f ca="1">SUM($M$9:M1681)/A1681</f>
        <v>336.72755528989836</v>
      </c>
    </row>
    <row r="1682" spans="1:14" x14ac:dyDescent="0.25">
      <c r="A1682" s="8">
        <v>1674</v>
      </c>
      <c r="B1682" s="9">
        <f t="shared" ca="1" si="327"/>
        <v>1748</v>
      </c>
      <c r="C1682" s="10">
        <f t="shared" ca="1" si="328"/>
        <v>0</v>
      </c>
      <c r="D1682" s="11">
        <f t="shared" ca="1" si="336"/>
        <v>0.41494831767887475</v>
      </c>
      <c r="E1682" s="9">
        <f t="shared" ca="1" si="337"/>
        <v>389</v>
      </c>
      <c r="F1682" s="9">
        <f t="shared" ca="1" si="329"/>
        <v>1359</v>
      </c>
      <c r="G1682" s="12" t="str">
        <f t="shared" ca="1" si="330"/>
        <v>No</v>
      </c>
      <c r="H1682" s="12">
        <f t="shared" ca="1" si="338"/>
        <v>0</v>
      </c>
      <c r="I1682" s="10">
        <f t="shared" ca="1" si="331"/>
        <v>0</v>
      </c>
      <c r="J1682" s="13">
        <f t="shared" ca="1" si="332"/>
        <v>0</v>
      </c>
      <c r="K1682" s="14">
        <f t="shared" ca="1" si="333"/>
        <v>271.8</v>
      </c>
      <c r="L1682" s="14">
        <f t="shared" ca="1" si="334"/>
        <v>0</v>
      </c>
      <c r="M1682" s="15">
        <f t="shared" ca="1" si="335"/>
        <v>271.8</v>
      </c>
      <c r="N1682" s="16">
        <f ca="1">SUM($M$9:M1682)/A1682</f>
        <v>336.68876941457586</v>
      </c>
    </row>
    <row r="1683" spans="1:14" x14ac:dyDescent="0.25">
      <c r="A1683" s="8">
        <v>1675</v>
      </c>
      <c r="B1683" s="9">
        <f t="shared" ca="1" si="327"/>
        <v>1359</v>
      </c>
      <c r="C1683" s="10">
        <f t="shared" ca="1" si="328"/>
        <v>0</v>
      </c>
      <c r="D1683" s="11">
        <f t="shared" ca="1" si="336"/>
        <v>0.36558757276551834</v>
      </c>
      <c r="E1683" s="9">
        <f t="shared" ca="1" si="337"/>
        <v>382</v>
      </c>
      <c r="F1683" s="9">
        <f t="shared" ca="1" si="329"/>
        <v>977</v>
      </c>
      <c r="G1683" s="12" t="str">
        <f t="shared" ca="1" si="330"/>
        <v>Yes</v>
      </c>
      <c r="H1683" s="12">
        <f t="shared" ca="1" si="338"/>
        <v>0.96721532945363342</v>
      </c>
      <c r="I1683" s="10">
        <f t="shared" ca="1" si="331"/>
        <v>3</v>
      </c>
      <c r="J1683" s="13">
        <f t="shared" ca="1" si="332"/>
        <v>300</v>
      </c>
      <c r="K1683" s="14">
        <f t="shared" ca="1" si="333"/>
        <v>195.4</v>
      </c>
      <c r="L1683" s="14">
        <f t="shared" ca="1" si="334"/>
        <v>0</v>
      </c>
      <c r="M1683" s="15">
        <f t="shared" ca="1" si="335"/>
        <v>495.4</v>
      </c>
      <c r="N1683" s="16">
        <f ca="1">SUM($M$9:M1683)/A1683</f>
        <v>336.78352238805974</v>
      </c>
    </row>
    <row r="1684" spans="1:14" x14ac:dyDescent="0.25">
      <c r="A1684" s="8">
        <v>1676</v>
      </c>
      <c r="B1684" s="9">
        <f t="shared" ca="1" si="327"/>
        <v>977</v>
      </c>
      <c r="C1684" s="10">
        <f t="shared" ca="1" si="328"/>
        <v>0</v>
      </c>
      <c r="D1684" s="11">
        <f t="shared" ca="1" si="336"/>
        <v>0.30856082788376782</v>
      </c>
      <c r="E1684" s="9">
        <f t="shared" ca="1" si="337"/>
        <v>375</v>
      </c>
      <c r="F1684" s="9">
        <f t="shared" ca="1" si="329"/>
        <v>602</v>
      </c>
      <c r="G1684" s="12" t="str">
        <f t="shared" ca="1" si="330"/>
        <v>No</v>
      </c>
      <c r="H1684" s="12">
        <f t="shared" ca="1" si="338"/>
        <v>0</v>
      </c>
      <c r="I1684" s="10">
        <f t="shared" ca="1" si="331"/>
        <v>2</v>
      </c>
      <c r="J1684" s="13">
        <f t="shared" ca="1" si="332"/>
        <v>0</v>
      </c>
      <c r="K1684" s="14">
        <f t="shared" ca="1" si="333"/>
        <v>120.4</v>
      </c>
      <c r="L1684" s="14">
        <f t="shared" ca="1" si="334"/>
        <v>0</v>
      </c>
      <c r="M1684" s="15">
        <f t="shared" ca="1" si="335"/>
        <v>120.4</v>
      </c>
      <c r="N1684" s="16">
        <f ca="1">SUM($M$9:M1684)/A1684</f>
        <v>336.65441527446302</v>
      </c>
    </row>
    <row r="1685" spans="1:14" x14ac:dyDescent="0.25">
      <c r="A1685" s="8">
        <v>1677</v>
      </c>
      <c r="B1685" s="9">
        <f t="shared" ca="1" si="327"/>
        <v>602</v>
      </c>
      <c r="C1685" s="10">
        <f t="shared" ca="1" si="328"/>
        <v>0</v>
      </c>
      <c r="D1685" s="11">
        <f t="shared" ca="1" si="336"/>
        <v>0.77933831633837003</v>
      </c>
      <c r="E1685" s="9">
        <f t="shared" ca="1" si="337"/>
        <v>438</v>
      </c>
      <c r="F1685" s="9">
        <f t="shared" ca="1" si="329"/>
        <v>164</v>
      </c>
      <c r="G1685" s="12" t="str">
        <f t="shared" ca="1" si="330"/>
        <v>No</v>
      </c>
      <c r="H1685" s="12">
        <f t="shared" ca="1" si="338"/>
        <v>0</v>
      </c>
      <c r="I1685" s="10">
        <f t="shared" ca="1" si="331"/>
        <v>1</v>
      </c>
      <c r="J1685" s="13">
        <f t="shared" ca="1" si="332"/>
        <v>0</v>
      </c>
      <c r="K1685" s="14">
        <f t="shared" ca="1" si="333"/>
        <v>32.800000000000004</v>
      </c>
      <c r="L1685" s="14">
        <f t="shared" ca="1" si="334"/>
        <v>0</v>
      </c>
      <c r="M1685" s="15">
        <f t="shared" ca="1" si="335"/>
        <v>32.800000000000004</v>
      </c>
      <c r="N1685" s="16">
        <f ca="1">SUM($M$9:M1685)/A1685</f>
        <v>336.47322599880744</v>
      </c>
    </row>
    <row r="1686" spans="1:14" x14ac:dyDescent="0.25">
      <c r="A1686" s="8">
        <v>1678</v>
      </c>
      <c r="B1686" s="9">
        <f t="shared" ca="1" si="327"/>
        <v>1964</v>
      </c>
      <c r="C1686" s="10">
        <f t="shared" ca="1" si="328"/>
        <v>1800</v>
      </c>
      <c r="D1686" s="11">
        <f t="shared" ca="1" si="336"/>
        <v>0.16386446581737202</v>
      </c>
      <c r="E1686" s="9">
        <f t="shared" ca="1" si="337"/>
        <v>351</v>
      </c>
      <c r="F1686" s="9">
        <f t="shared" ca="1" si="329"/>
        <v>1613</v>
      </c>
      <c r="G1686" s="12" t="str">
        <f t="shared" ca="1" si="330"/>
        <v>No</v>
      </c>
      <c r="H1686" s="12">
        <f t="shared" ca="1" si="338"/>
        <v>0</v>
      </c>
      <c r="I1686" s="10">
        <f t="shared" ca="1" si="331"/>
        <v>0</v>
      </c>
      <c r="J1686" s="13">
        <f t="shared" ca="1" si="332"/>
        <v>0</v>
      </c>
      <c r="K1686" s="14">
        <f t="shared" ca="1" si="333"/>
        <v>322.60000000000002</v>
      </c>
      <c r="L1686" s="14">
        <f t="shared" ca="1" si="334"/>
        <v>0</v>
      </c>
      <c r="M1686" s="15">
        <f t="shared" ca="1" si="335"/>
        <v>322.60000000000002</v>
      </c>
      <c r="N1686" s="16">
        <f ca="1">SUM($M$9:M1686)/A1686</f>
        <v>336.46495828367108</v>
      </c>
    </row>
    <row r="1687" spans="1:14" x14ac:dyDescent="0.25">
      <c r="A1687" s="8">
        <v>1679</v>
      </c>
      <c r="B1687" s="9">
        <f t="shared" ca="1" si="327"/>
        <v>1613</v>
      </c>
      <c r="C1687" s="10">
        <f t="shared" ca="1" si="328"/>
        <v>0</v>
      </c>
      <c r="D1687" s="11">
        <f t="shared" ca="1" si="336"/>
        <v>0.15003547104904402</v>
      </c>
      <c r="E1687" s="9">
        <f t="shared" ca="1" si="337"/>
        <v>348</v>
      </c>
      <c r="F1687" s="9">
        <f t="shared" ca="1" si="329"/>
        <v>1265</v>
      </c>
      <c r="G1687" s="12" t="str">
        <f t="shared" ca="1" si="330"/>
        <v>No</v>
      </c>
      <c r="H1687" s="12">
        <f t="shared" ca="1" si="338"/>
        <v>0</v>
      </c>
      <c r="I1687" s="10">
        <f t="shared" ca="1" si="331"/>
        <v>0</v>
      </c>
      <c r="J1687" s="13">
        <f t="shared" ca="1" si="332"/>
        <v>0</v>
      </c>
      <c r="K1687" s="14">
        <f t="shared" ca="1" si="333"/>
        <v>253</v>
      </c>
      <c r="L1687" s="14">
        <f t="shared" ca="1" si="334"/>
        <v>0</v>
      </c>
      <c r="M1687" s="15">
        <f t="shared" ca="1" si="335"/>
        <v>253</v>
      </c>
      <c r="N1687" s="16">
        <f ca="1">SUM($M$9:M1687)/A1687</f>
        <v>336.41524717093512</v>
      </c>
    </row>
    <row r="1688" spans="1:14" x14ac:dyDescent="0.25">
      <c r="A1688" s="8">
        <v>1680</v>
      </c>
      <c r="B1688" s="9">
        <f t="shared" ca="1" si="327"/>
        <v>1265</v>
      </c>
      <c r="C1688" s="10">
        <f t="shared" ca="1" si="328"/>
        <v>0</v>
      </c>
      <c r="D1688" s="11">
        <f t="shared" ca="1" si="336"/>
        <v>0.92765675085808685</v>
      </c>
      <c r="E1688" s="9">
        <f t="shared" ca="1" si="337"/>
        <v>472</v>
      </c>
      <c r="F1688" s="9">
        <f t="shared" ca="1" si="329"/>
        <v>793</v>
      </c>
      <c r="G1688" s="12" t="str">
        <f t="shared" ca="1" si="330"/>
        <v>Yes</v>
      </c>
      <c r="H1688" s="12">
        <f t="shared" ca="1" si="338"/>
        <v>0.68454164062891221</v>
      </c>
      <c r="I1688" s="10">
        <f t="shared" ca="1" si="331"/>
        <v>1</v>
      </c>
      <c r="J1688" s="13">
        <f t="shared" ca="1" si="332"/>
        <v>300</v>
      </c>
      <c r="K1688" s="14">
        <f t="shared" ca="1" si="333"/>
        <v>158.60000000000002</v>
      </c>
      <c r="L1688" s="14">
        <f t="shared" ca="1" si="334"/>
        <v>0</v>
      </c>
      <c r="M1688" s="15">
        <f t="shared" ca="1" si="335"/>
        <v>458.6</v>
      </c>
      <c r="N1688" s="16">
        <f ca="1">SUM($M$9:M1688)/A1688</f>
        <v>336.48797619047622</v>
      </c>
    </row>
    <row r="1689" spans="1:14" x14ac:dyDescent="0.25">
      <c r="A1689" s="8">
        <v>1681</v>
      </c>
      <c r="B1689" s="9">
        <f t="shared" ca="1" si="327"/>
        <v>2593</v>
      </c>
      <c r="C1689" s="10">
        <f t="shared" ca="1" si="328"/>
        <v>1800</v>
      </c>
      <c r="D1689" s="11">
        <f t="shared" ca="1" si="336"/>
        <v>0.96203875297706354</v>
      </c>
      <c r="E1689" s="9">
        <f t="shared" ca="1" si="337"/>
        <v>488</v>
      </c>
      <c r="F1689" s="9">
        <f t="shared" ca="1" si="329"/>
        <v>2105</v>
      </c>
      <c r="G1689" s="12" t="str">
        <f t="shared" ca="1" si="330"/>
        <v>No</v>
      </c>
      <c r="H1689" s="12">
        <f t="shared" ca="1" si="338"/>
        <v>0</v>
      </c>
      <c r="I1689" s="10">
        <f t="shared" ca="1" si="331"/>
        <v>0</v>
      </c>
      <c r="J1689" s="13">
        <f t="shared" ca="1" si="332"/>
        <v>0</v>
      </c>
      <c r="K1689" s="14">
        <f t="shared" ca="1" si="333"/>
        <v>421</v>
      </c>
      <c r="L1689" s="14">
        <f t="shared" ca="1" si="334"/>
        <v>0</v>
      </c>
      <c r="M1689" s="15">
        <f t="shared" ca="1" si="335"/>
        <v>421</v>
      </c>
      <c r="N1689" s="16">
        <f ca="1">SUM($M$9:M1689)/A1689</f>
        <v>336.53825104104703</v>
      </c>
    </row>
    <row r="1690" spans="1:14" x14ac:dyDescent="0.25">
      <c r="A1690" s="8">
        <v>1682</v>
      </c>
      <c r="B1690" s="9">
        <f t="shared" ca="1" si="327"/>
        <v>2105</v>
      </c>
      <c r="C1690" s="10">
        <f t="shared" ca="1" si="328"/>
        <v>0</v>
      </c>
      <c r="D1690" s="11">
        <f t="shared" ca="1" si="336"/>
        <v>0.66342317839606368</v>
      </c>
      <c r="E1690" s="9">
        <f t="shared" ca="1" si="337"/>
        <v>421</v>
      </c>
      <c r="F1690" s="9">
        <f t="shared" ca="1" si="329"/>
        <v>1684</v>
      </c>
      <c r="G1690" s="12" t="str">
        <f t="shared" ca="1" si="330"/>
        <v>No</v>
      </c>
      <c r="H1690" s="12">
        <f t="shared" ca="1" si="338"/>
        <v>0</v>
      </c>
      <c r="I1690" s="10">
        <f t="shared" ca="1" si="331"/>
        <v>0</v>
      </c>
      <c r="J1690" s="13">
        <f t="shared" ca="1" si="332"/>
        <v>0</v>
      </c>
      <c r="K1690" s="14">
        <f t="shared" ca="1" si="333"/>
        <v>336.8</v>
      </c>
      <c r="L1690" s="14">
        <f t="shared" ca="1" si="334"/>
        <v>0</v>
      </c>
      <c r="M1690" s="15">
        <f t="shared" ca="1" si="335"/>
        <v>336.8</v>
      </c>
      <c r="N1690" s="16">
        <f ca="1">SUM($M$9:M1690)/A1690</f>
        <v>336.53840665873963</v>
      </c>
    </row>
    <row r="1691" spans="1:14" x14ac:dyDescent="0.25">
      <c r="A1691" s="8">
        <v>1683</v>
      </c>
      <c r="B1691" s="9">
        <f t="shared" ca="1" si="327"/>
        <v>1684</v>
      </c>
      <c r="C1691" s="10">
        <f t="shared" ca="1" si="328"/>
        <v>0</v>
      </c>
      <c r="D1691" s="11">
        <f t="shared" ca="1" si="336"/>
        <v>0.15162649785303328</v>
      </c>
      <c r="E1691" s="9">
        <f t="shared" ca="1" si="337"/>
        <v>348</v>
      </c>
      <c r="F1691" s="9">
        <f t="shared" ca="1" si="329"/>
        <v>1336</v>
      </c>
      <c r="G1691" s="12" t="str">
        <f t="shared" ca="1" si="330"/>
        <v>No</v>
      </c>
      <c r="H1691" s="12">
        <f t="shared" ca="1" si="338"/>
        <v>0</v>
      </c>
      <c r="I1691" s="10">
        <f t="shared" ca="1" si="331"/>
        <v>0</v>
      </c>
      <c r="J1691" s="13">
        <f t="shared" ca="1" si="332"/>
        <v>0</v>
      </c>
      <c r="K1691" s="14">
        <f t="shared" ca="1" si="333"/>
        <v>267.2</v>
      </c>
      <c r="L1691" s="14">
        <f t="shared" ca="1" si="334"/>
        <v>0</v>
      </c>
      <c r="M1691" s="15">
        <f t="shared" ca="1" si="335"/>
        <v>267.2</v>
      </c>
      <c r="N1691" s="16">
        <f ca="1">SUM($M$9:M1691)/A1691</f>
        <v>336.49720736779562</v>
      </c>
    </row>
    <row r="1692" spans="1:14" x14ac:dyDescent="0.25">
      <c r="A1692" s="8">
        <v>1684</v>
      </c>
      <c r="B1692" s="9">
        <f t="shared" ca="1" si="327"/>
        <v>1336</v>
      </c>
      <c r="C1692" s="10">
        <f t="shared" ca="1" si="328"/>
        <v>0</v>
      </c>
      <c r="D1692" s="11">
        <f t="shared" ca="1" si="336"/>
        <v>0.64364116059823884</v>
      </c>
      <c r="E1692" s="9">
        <f t="shared" ca="1" si="337"/>
        <v>418</v>
      </c>
      <c r="F1692" s="9">
        <f t="shared" ca="1" si="329"/>
        <v>918</v>
      </c>
      <c r="G1692" s="12" t="str">
        <f t="shared" ca="1" si="330"/>
        <v>Yes</v>
      </c>
      <c r="H1692" s="12">
        <f t="shared" ca="1" si="338"/>
        <v>0.43040370924379046</v>
      </c>
      <c r="I1692" s="10">
        <f t="shared" ca="1" si="331"/>
        <v>1</v>
      </c>
      <c r="J1692" s="13">
        <f t="shared" ca="1" si="332"/>
        <v>300</v>
      </c>
      <c r="K1692" s="14">
        <f t="shared" ca="1" si="333"/>
        <v>183.60000000000002</v>
      </c>
      <c r="L1692" s="14">
        <f t="shared" ca="1" si="334"/>
        <v>0</v>
      </c>
      <c r="M1692" s="15">
        <f t="shared" ca="1" si="335"/>
        <v>483.6</v>
      </c>
      <c r="N1692" s="16">
        <f ca="1">SUM($M$9:M1692)/A1692</f>
        <v>336.58456057007129</v>
      </c>
    </row>
    <row r="1693" spans="1:14" x14ac:dyDescent="0.25">
      <c r="A1693" s="8">
        <v>1685</v>
      </c>
      <c r="B1693" s="9">
        <f t="shared" ca="1" si="327"/>
        <v>2718</v>
      </c>
      <c r="C1693" s="10">
        <f t="shared" ca="1" si="328"/>
        <v>1800</v>
      </c>
      <c r="D1693" s="11">
        <f t="shared" ca="1" si="336"/>
        <v>0.97655182930278206</v>
      </c>
      <c r="E1693" s="9">
        <f t="shared" ca="1" si="337"/>
        <v>499</v>
      </c>
      <c r="F1693" s="9">
        <f t="shared" ca="1" si="329"/>
        <v>2219</v>
      </c>
      <c r="G1693" s="12" t="str">
        <f t="shared" ca="1" si="330"/>
        <v>No</v>
      </c>
      <c r="H1693" s="12">
        <f t="shared" ca="1" si="338"/>
        <v>0</v>
      </c>
      <c r="I1693" s="10">
        <f t="shared" ca="1" si="331"/>
        <v>0</v>
      </c>
      <c r="J1693" s="13">
        <f t="shared" ca="1" si="332"/>
        <v>0</v>
      </c>
      <c r="K1693" s="14">
        <f t="shared" ca="1" si="333"/>
        <v>443.8</v>
      </c>
      <c r="L1693" s="14">
        <f t="shared" ca="1" si="334"/>
        <v>0</v>
      </c>
      <c r="M1693" s="15">
        <f t="shared" ca="1" si="335"/>
        <v>443.8</v>
      </c>
      <c r="N1693" s="16">
        <f ca="1">SUM($M$9:M1693)/A1693</f>
        <v>336.64818991097928</v>
      </c>
    </row>
    <row r="1694" spans="1:14" x14ac:dyDescent="0.25">
      <c r="A1694" s="8">
        <v>1686</v>
      </c>
      <c r="B1694" s="9">
        <f t="shared" ca="1" si="327"/>
        <v>2219</v>
      </c>
      <c r="C1694" s="10">
        <f t="shared" ca="1" si="328"/>
        <v>0</v>
      </c>
      <c r="D1694" s="11">
        <f t="shared" ca="1" si="336"/>
        <v>0.43074403008250839</v>
      </c>
      <c r="E1694" s="9">
        <f t="shared" ca="1" si="337"/>
        <v>391</v>
      </c>
      <c r="F1694" s="9">
        <f t="shared" ca="1" si="329"/>
        <v>1828</v>
      </c>
      <c r="G1694" s="12" t="str">
        <f t="shared" ca="1" si="330"/>
        <v>No</v>
      </c>
      <c r="H1694" s="12">
        <f t="shared" ca="1" si="338"/>
        <v>0</v>
      </c>
      <c r="I1694" s="10">
        <f t="shared" ca="1" si="331"/>
        <v>0</v>
      </c>
      <c r="J1694" s="13">
        <f t="shared" ca="1" si="332"/>
        <v>0</v>
      </c>
      <c r="K1694" s="14">
        <f t="shared" ca="1" si="333"/>
        <v>365.6</v>
      </c>
      <c r="L1694" s="14">
        <f t="shared" ca="1" si="334"/>
        <v>0</v>
      </c>
      <c r="M1694" s="15">
        <f t="shared" ca="1" si="335"/>
        <v>365.6</v>
      </c>
      <c r="N1694" s="16">
        <f ca="1">SUM($M$9:M1694)/A1694</f>
        <v>336.66536180308424</v>
      </c>
    </row>
    <row r="1695" spans="1:14" x14ac:dyDescent="0.25">
      <c r="A1695" s="8">
        <v>1687</v>
      </c>
      <c r="B1695" s="9">
        <f t="shared" ca="1" si="327"/>
        <v>1828</v>
      </c>
      <c r="C1695" s="10">
        <f t="shared" ca="1" si="328"/>
        <v>0</v>
      </c>
      <c r="D1695" s="11">
        <f t="shared" ca="1" si="336"/>
        <v>0.46328980825595611</v>
      </c>
      <c r="E1695" s="9">
        <f t="shared" ca="1" si="337"/>
        <v>395</v>
      </c>
      <c r="F1695" s="9">
        <f t="shared" ca="1" si="329"/>
        <v>1433</v>
      </c>
      <c r="G1695" s="12" t="str">
        <f t="shared" ca="1" si="330"/>
        <v>No</v>
      </c>
      <c r="H1695" s="12">
        <f t="shared" ca="1" si="338"/>
        <v>0</v>
      </c>
      <c r="I1695" s="10">
        <f t="shared" ca="1" si="331"/>
        <v>0</v>
      </c>
      <c r="J1695" s="13">
        <f t="shared" ca="1" si="332"/>
        <v>0</v>
      </c>
      <c r="K1695" s="14">
        <f t="shared" ca="1" si="333"/>
        <v>286.60000000000002</v>
      </c>
      <c r="L1695" s="14">
        <f t="shared" ca="1" si="334"/>
        <v>0</v>
      </c>
      <c r="M1695" s="15">
        <f t="shared" ca="1" si="335"/>
        <v>286.60000000000002</v>
      </c>
      <c r="N1695" s="16">
        <f ca="1">SUM($M$9:M1695)/A1695</f>
        <v>336.63568464730292</v>
      </c>
    </row>
    <row r="1696" spans="1:14" x14ac:dyDescent="0.25">
      <c r="A1696" s="8">
        <v>1688</v>
      </c>
      <c r="B1696" s="9">
        <f t="shared" ca="1" si="327"/>
        <v>1433</v>
      </c>
      <c r="C1696" s="10">
        <f t="shared" ca="1" si="328"/>
        <v>0</v>
      </c>
      <c r="D1696" s="11">
        <f t="shared" ca="1" si="336"/>
        <v>0.63425839140388696</v>
      </c>
      <c r="E1696" s="9">
        <f t="shared" ca="1" si="337"/>
        <v>417</v>
      </c>
      <c r="F1696" s="9">
        <f t="shared" ca="1" si="329"/>
        <v>1016</v>
      </c>
      <c r="G1696" s="12" t="str">
        <f t="shared" ca="1" si="330"/>
        <v>No</v>
      </c>
      <c r="H1696" s="12">
        <f t="shared" ca="1" si="338"/>
        <v>0</v>
      </c>
      <c r="I1696" s="10">
        <f t="shared" ca="1" si="331"/>
        <v>0</v>
      </c>
      <c r="J1696" s="13">
        <f t="shared" ca="1" si="332"/>
        <v>0</v>
      </c>
      <c r="K1696" s="14">
        <f t="shared" ca="1" si="333"/>
        <v>203.20000000000002</v>
      </c>
      <c r="L1696" s="14">
        <f t="shared" ca="1" si="334"/>
        <v>0</v>
      </c>
      <c r="M1696" s="15">
        <f t="shared" ca="1" si="335"/>
        <v>203.20000000000002</v>
      </c>
      <c r="N1696" s="16">
        <f ca="1">SUM($M$9:M1696)/A1696</f>
        <v>336.55663507109006</v>
      </c>
    </row>
    <row r="1697" spans="1:14" x14ac:dyDescent="0.25">
      <c r="A1697" s="8">
        <v>1689</v>
      </c>
      <c r="B1697" s="9">
        <f t="shared" ca="1" si="327"/>
        <v>1016</v>
      </c>
      <c r="C1697" s="10">
        <f t="shared" ca="1" si="328"/>
        <v>0</v>
      </c>
      <c r="D1697" s="11">
        <f t="shared" ca="1" si="336"/>
        <v>0.98728044580136909</v>
      </c>
      <c r="E1697" s="9">
        <f t="shared" ca="1" si="337"/>
        <v>511</v>
      </c>
      <c r="F1697" s="9">
        <f t="shared" ca="1" si="329"/>
        <v>505</v>
      </c>
      <c r="G1697" s="12" t="str">
        <f t="shared" ca="1" si="330"/>
        <v>Yes</v>
      </c>
      <c r="H1697" s="12">
        <f t="shared" ca="1" si="338"/>
        <v>0.32611348386538497</v>
      </c>
      <c r="I1697" s="10">
        <f t="shared" ca="1" si="331"/>
        <v>1</v>
      </c>
      <c r="J1697" s="13">
        <f t="shared" ca="1" si="332"/>
        <v>300</v>
      </c>
      <c r="K1697" s="14">
        <f t="shared" ca="1" si="333"/>
        <v>101</v>
      </c>
      <c r="L1697" s="14">
        <f t="shared" ca="1" si="334"/>
        <v>0</v>
      </c>
      <c r="M1697" s="15">
        <f t="shared" ca="1" si="335"/>
        <v>401</v>
      </c>
      <c r="N1697" s="16">
        <f ca="1">SUM($M$9:M1697)/A1697</f>
        <v>336.59478981645941</v>
      </c>
    </row>
    <row r="1698" spans="1:14" x14ac:dyDescent="0.25">
      <c r="A1698" s="8">
        <v>1690</v>
      </c>
      <c r="B1698" s="9">
        <f t="shared" ca="1" si="327"/>
        <v>2305</v>
      </c>
      <c r="C1698" s="10">
        <f t="shared" ca="1" si="328"/>
        <v>1800</v>
      </c>
      <c r="D1698" s="11">
        <f t="shared" ca="1" si="336"/>
        <v>0.48086202365639263</v>
      </c>
      <c r="E1698" s="9">
        <f t="shared" ca="1" si="337"/>
        <v>397</v>
      </c>
      <c r="F1698" s="9">
        <f t="shared" ca="1" si="329"/>
        <v>1908</v>
      </c>
      <c r="G1698" s="12" t="str">
        <f t="shared" ca="1" si="330"/>
        <v>No</v>
      </c>
      <c r="H1698" s="12">
        <f t="shared" ca="1" si="338"/>
        <v>0</v>
      </c>
      <c r="I1698" s="10">
        <f t="shared" ca="1" si="331"/>
        <v>0</v>
      </c>
      <c r="J1698" s="13">
        <f t="shared" ca="1" si="332"/>
        <v>0</v>
      </c>
      <c r="K1698" s="14">
        <f t="shared" ca="1" si="333"/>
        <v>381.6</v>
      </c>
      <c r="L1698" s="14">
        <f t="shared" ca="1" si="334"/>
        <v>0</v>
      </c>
      <c r="M1698" s="15">
        <f t="shared" ca="1" si="335"/>
        <v>381.6</v>
      </c>
      <c r="N1698" s="16">
        <f ca="1">SUM($M$9:M1698)/A1698</f>
        <v>336.62142011834317</v>
      </c>
    </row>
    <row r="1699" spans="1:14" x14ac:dyDescent="0.25">
      <c r="A1699" s="8">
        <v>1691</v>
      </c>
      <c r="B1699" s="9">
        <f t="shared" ca="1" si="327"/>
        <v>1908</v>
      </c>
      <c r="C1699" s="10">
        <f t="shared" ca="1" si="328"/>
        <v>0</v>
      </c>
      <c r="D1699" s="11">
        <f t="shared" ca="1" si="336"/>
        <v>0.38429354399478666</v>
      </c>
      <c r="E1699" s="9">
        <f t="shared" ca="1" si="337"/>
        <v>385</v>
      </c>
      <c r="F1699" s="9">
        <f t="shared" ca="1" si="329"/>
        <v>1523</v>
      </c>
      <c r="G1699" s="12" t="str">
        <f t="shared" ca="1" si="330"/>
        <v>No</v>
      </c>
      <c r="H1699" s="12">
        <f t="shared" ca="1" si="338"/>
        <v>0</v>
      </c>
      <c r="I1699" s="10">
        <f t="shared" ca="1" si="331"/>
        <v>0</v>
      </c>
      <c r="J1699" s="13">
        <f t="shared" ca="1" si="332"/>
        <v>0</v>
      </c>
      <c r="K1699" s="14">
        <f t="shared" ca="1" si="333"/>
        <v>304.60000000000002</v>
      </c>
      <c r="L1699" s="14">
        <f t="shared" ca="1" si="334"/>
        <v>0</v>
      </c>
      <c r="M1699" s="15">
        <f t="shared" ca="1" si="335"/>
        <v>304.60000000000002</v>
      </c>
      <c r="N1699" s="16">
        <f ca="1">SUM($M$9:M1699)/A1699</f>
        <v>336.60248373743343</v>
      </c>
    </row>
    <row r="1700" spans="1:14" x14ac:dyDescent="0.25">
      <c r="A1700" s="8">
        <v>1692</v>
      </c>
      <c r="B1700" s="9">
        <f t="shared" ca="1" si="327"/>
        <v>1523</v>
      </c>
      <c r="C1700" s="10">
        <f t="shared" ca="1" si="328"/>
        <v>0</v>
      </c>
      <c r="D1700" s="11">
        <f t="shared" ca="1" si="336"/>
        <v>0.93914705156624778</v>
      </c>
      <c r="E1700" s="9">
        <f t="shared" ca="1" si="337"/>
        <v>477</v>
      </c>
      <c r="F1700" s="9">
        <f t="shared" ca="1" si="329"/>
        <v>1046</v>
      </c>
      <c r="G1700" s="12" t="str">
        <f t="shared" ca="1" si="330"/>
        <v>No</v>
      </c>
      <c r="H1700" s="12">
        <f t="shared" ca="1" si="338"/>
        <v>0</v>
      </c>
      <c r="I1700" s="10">
        <f t="shared" ca="1" si="331"/>
        <v>0</v>
      </c>
      <c r="J1700" s="13">
        <f t="shared" ca="1" si="332"/>
        <v>0</v>
      </c>
      <c r="K1700" s="14">
        <f t="shared" ca="1" si="333"/>
        <v>209.20000000000002</v>
      </c>
      <c r="L1700" s="14">
        <f t="shared" ca="1" si="334"/>
        <v>0</v>
      </c>
      <c r="M1700" s="15">
        <f t="shared" ca="1" si="335"/>
        <v>209.20000000000002</v>
      </c>
      <c r="N1700" s="16">
        <f ca="1">SUM($M$9:M1700)/A1700</f>
        <v>336.52718676122925</v>
      </c>
    </row>
    <row r="1701" spans="1:14" x14ac:dyDescent="0.25">
      <c r="A1701" s="8">
        <v>1693</v>
      </c>
      <c r="B1701" s="9">
        <f t="shared" ca="1" si="327"/>
        <v>1046</v>
      </c>
      <c r="C1701" s="10">
        <f t="shared" ca="1" si="328"/>
        <v>0</v>
      </c>
      <c r="D1701" s="11">
        <f t="shared" ca="1" si="336"/>
        <v>0.1868175028131378</v>
      </c>
      <c r="E1701" s="9">
        <f t="shared" ca="1" si="337"/>
        <v>355</v>
      </c>
      <c r="F1701" s="9">
        <f t="shared" ca="1" si="329"/>
        <v>691</v>
      </c>
      <c r="G1701" s="12" t="str">
        <f t="shared" ca="1" si="330"/>
        <v>Yes</v>
      </c>
      <c r="H1701" s="12">
        <f t="shared" ca="1" si="338"/>
        <v>1.0315762210263313E-2</v>
      </c>
      <c r="I1701" s="10">
        <f t="shared" ca="1" si="331"/>
        <v>1</v>
      </c>
      <c r="J1701" s="13">
        <f t="shared" ca="1" si="332"/>
        <v>300</v>
      </c>
      <c r="K1701" s="14">
        <f t="shared" ca="1" si="333"/>
        <v>138.20000000000002</v>
      </c>
      <c r="L1701" s="14">
        <f t="shared" ca="1" si="334"/>
        <v>0</v>
      </c>
      <c r="M1701" s="15">
        <f t="shared" ca="1" si="335"/>
        <v>438.20000000000005</v>
      </c>
      <c r="N1701" s="16">
        <f ca="1">SUM($M$9:M1701)/A1701</f>
        <v>336.58724158298867</v>
      </c>
    </row>
    <row r="1702" spans="1:14" x14ac:dyDescent="0.25">
      <c r="A1702" s="8">
        <v>1694</v>
      </c>
      <c r="B1702" s="9">
        <f t="shared" ca="1" si="327"/>
        <v>2491</v>
      </c>
      <c r="C1702" s="10">
        <f t="shared" ca="1" si="328"/>
        <v>1800</v>
      </c>
      <c r="D1702" s="11">
        <f t="shared" ca="1" si="336"/>
        <v>0.31293823911331242</v>
      </c>
      <c r="E1702" s="9">
        <f t="shared" ca="1" si="337"/>
        <v>375</v>
      </c>
      <c r="F1702" s="9">
        <f t="shared" ca="1" si="329"/>
        <v>2116</v>
      </c>
      <c r="G1702" s="12" t="str">
        <f t="shared" ca="1" si="330"/>
        <v>No</v>
      </c>
      <c r="H1702" s="12">
        <f t="shared" ca="1" si="338"/>
        <v>0</v>
      </c>
      <c r="I1702" s="10">
        <f t="shared" ca="1" si="331"/>
        <v>0</v>
      </c>
      <c r="J1702" s="13">
        <f t="shared" ca="1" si="332"/>
        <v>0</v>
      </c>
      <c r="K1702" s="14">
        <f t="shared" ca="1" si="333"/>
        <v>423.20000000000005</v>
      </c>
      <c r="L1702" s="14">
        <f t="shared" ca="1" si="334"/>
        <v>0</v>
      </c>
      <c r="M1702" s="15">
        <f t="shared" ca="1" si="335"/>
        <v>423.20000000000005</v>
      </c>
      <c r="N1702" s="16">
        <f ca="1">SUM($M$9:M1702)/A1702</f>
        <v>336.63837072018879</v>
      </c>
    </row>
    <row r="1703" spans="1:14" x14ac:dyDescent="0.25">
      <c r="A1703" s="8">
        <v>1695</v>
      </c>
      <c r="B1703" s="9">
        <f t="shared" ca="1" si="327"/>
        <v>2116</v>
      </c>
      <c r="C1703" s="10">
        <f t="shared" ca="1" si="328"/>
        <v>0</v>
      </c>
      <c r="D1703" s="11">
        <f t="shared" ca="1" si="336"/>
        <v>0.40808362790136865</v>
      </c>
      <c r="E1703" s="9">
        <f t="shared" ca="1" si="337"/>
        <v>388</v>
      </c>
      <c r="F1703" s="9">
        <f t="shared" ca="1" si="329"/>
        <v>1728</v>
      </c>
      <c r="G1703" s="12" t="str">
        <f t="shared" ca="1" si="330"/>
        <v>No</v>
      </c>
      <c r="H1703" s="12">
        <f t="shared" ca="1" si="338"/>
        <v>0</v>
      </c>
      <c r="I1703" s="10">
        <f t="shared" ca="1" si="331"/>
        <v>0</v>
      </c>
      <c r="J1703" s="13">
        <f t="shared" ca="1" si="332"/>
        <v>0</v>
      </c>
      <c r="K1703" s="14">
        <f t="shared" ca="1" si="333"/>
        <v>345.6</v>
      </c>
      <c r="L1703" s="14">
        <f t="shared" ca="1" si="334"/>
        <v>0</v>
      </c>
      <c r="M1703" s="15">
        <f t="shared" ca="1" si="335"/>
        <v>345.6</v>
      </c>
      <c r="N1703" s="16">
        <f ca="1">SUM($M$9:M1703)/A1703</f>
        <v>336.64365781710899</v>
      </c>
    </row>
    <row r="1704" spans="1:14" x14ac:dyDescent="0.25">
      <c r="A1704" s="8">
        <v>1696</v>
      </c>
      <c r="B1704" s="9">
        <f t="shared" ca="1" si="327"/>
        <v>1728</v>
      </c>
      <c r="C1704" s="10">
        <f t="shared" ca="1" si="328"/>
        <v>0</v>
      </c>
      <c r="D1704" s="11">
        <f t="shared" ca="1" si="336"/>
        <v>0.75101174720592856</v>
      </c>
      <c r="E1704" s="9">
        <f t="shared" ca="1" si="337"/>
        <v>433</v>
      </c>
      <c r="F1704" s="9">
        <f t="shared" ca="1" si="329"/>
        <v>1295</v>
      </c>
      <c r="G1704" s="12" t="str">
        <f t="shared" ca="1" si="330"/>
        <v>No</v>
      </c>
      <c r="H1704" s="12">
        <f t="shared" ca="1" si="338"/>
        <v>0</v>
      </c>
      <c r="I1704" s="10">
        <f t="shared" ca="1" si="331"/>
        <v>0</v>
      </c>
      <c r="J1704" s="13">
        <f t="shared" ca="1" si="332"/>
        <v>0</v>
      </c>
      <c r="K1704" s="14">
        <f t="shared" ca="1" si="333"/>
        <v>259</v>
      </c>
      <c r="L1704" s="14">
        <f t="shared" ca="1" si="334"/>
        <v>0</v>
      </c>
      <c r="M1704" s="15">
        <f t="shared" ca="1" si="335"/>
        <v>259</v>
      </c>
      <c r="N1704" s="16">
        <f ca="1">SUM($M$9:M1704)/A1704</f>
        <v>336.59787735849045</v>
      </c>
    </row>
    <row r="1705" spans="1:14" x14ac:dyDescent="0.25">
      <c r="A1705" s="8">
        <v>1697</v>
      </c>
      <c r="B1705" s="9">
        <f t="shared" ca="1" si="327"/>
        <v>1295</v>
      </c>
      <c r="C1705" s="10">
        <f t="shared" ca="1" si="328"/>
        <v>0</v>
      </c>
      <c r="D1705" s="11">
        <f t="shared" ca="1" si="336"/>
        <v>0.79343705948490251</v>
      </c>
      <c r="E1705" s="9">
        <f t="shared" ca="1" si="337"/>
        <v>440</v>
      </c>
      <c r="F1705" s="9">
        <f t="shared" ca="1" si="329"/>
        <v>855</v>
      </c>
      <c r="G1705" s="12" t="str">
        <f t="shared" ca="1" si="330"/>
        <v>Yes</v>
      </c>
      <c r="H1705" s="12">
        <f t="shared" ca="1" si="338"/>
        <v>2.9298520122308269E-2</v>
      </c>
      <c r="I1705" s="10">
        <f t="shared" ca="1" si="331"/>
        <v>1</v>
      </c>
      <c r="J1705" s="13">
        <f t="shared" ca="1" si="332"/>
        <v>300</v>
      </c>
      <c r="K1705" s="14">
        <f t="shared" ca="1" si="333"/>
        <v>171</v>
      </c>
      <c r="L1705" s="14">
        <f t="shared" ca="1" si="334"/>
        <v>0</v>
      </c>
      <c r="M1705" s="15">
        <f t="shared" ca="1" si="335"/>
        <v>471</v>
      </c>
      <c r="N1705" s="16">
        <f ca="1">SUM($M$9:M1705)/A1705</f>
        <v>336.67707719504995</v>
      </c>
    </row>
    <row r="1706" spans="1:14" x14ac:dyDescent="0.25">
      <c r="A1706" s="8">
        <v>1698</v>
      </c>
      <c r="B1706" s="9">
        <f t="shared" ca="1" si="327"/>
        <v>2655</v>
      </c>
      <c r="C1706" s="10">
        <f t="shared" ca="1" si="328"/>
        <v>1800</v>
      </c>
      <c r="D1706" s="11">
        <f t="shared" ca="1" si="336"/>
        <v>0.10164102507041783</v>
      </c>
      <c r="E1706" s="9">
        <f t="shared" ca="1" si="337"/>
        <v>336</v>
      </c>
      <c r="F1706" s="9">
        <f t="shared" ca="1" si="329"/>
        <v>2319</v>
      </c>
      <c r="G1706" s="12" t="str">
        <f t="shared" ca="1" si="330"/>
        <v>No</v>
      </c>
      <c r="H1706" s="12">
        <f t="shared" ca="1" si="338"/>
        <v>0</v>
      </c>
      <c r="I1706" s="10">
        <f t="shared" ca="1" si="331"/>
        <v>0</v>
      </c>
      <c r="J1706" s="13">
        <f t="shared" ca="1" si="332"/>
        <v>0</v>
      </c>
      <c r="K1706" s="14">
        <f t="shared" ca="1" si="333"/>
        <v>463.8</v>
      </c>
      <c r="L1706" s="14">
        <f t="shared" ca="1" si="334"/>
        <v>0</v>
      </c>
      <c r="M1706" s="15">
        <f t="shared" ca="1" si="335"/>
        <v>463.8</v>
      </c>
      <c r="N1706" s="16">
        <f ca="1">SUM($M$9:M1706)/A1706</f>
        <v>336.75194346289743</v>
      </c>
    </row>
    <row r="1707" spans="1:14" x14ac:dyDescent="0.25">
      <c r="A1707" s="8">
        <v>1699</v>
      </c>
      <c r="B1707" s="9">
        <f t="shared" ca="1" si="327"/>
        <v>2319</v>
      </c>
      <c r="C1707" s="10">
        <f t="shared" ca="1" si="328"/>
        <v>0</v>
      </c>
      <c r="D1707" s="11">
        <f t="shared" ca="1" si="336"/>
        <v>5.0073799339519609E-2</v>
      </c>
      <c r="E1707" s="9">
        <f t="shared" ca="1" si="337"/>
        <v>317</v>
      </c>
      <c r="F1707" s="9">
        <f t="shared" ca="1" si="329"/>
        <v>2002</v>
      </c>
      <c r="G1707" s="12" t="str">
        <f t="shared" ca="1" si="330"/>
        <v>No</v>
      </c>
      <c r="H1707" s="12">
        <f t="shared" ca="1" si="338"/>
        <v>0</v>
      </c>
      <c r="I1707" s="10">
        <f t="shared" ca="1" si="331"/>
        <v>0</v>
      </c>
      <c r="J1707" s="13">
        <f t="shared" ca="1" si="332"/>
        <v>0</v>
      </c>
      <c r="K1707" s="14">
        <f t="shared" ca="1" si="333"/>
        <v>400.40000000000003</v>
      </c>
      <c r="L1707" s="14">
        <f t="shared" ca="1" si="334"/>
        <v>0</v>
      </c>
      <c r="M1707" s="15">
        <f t="shared" ca="1" si="335"/>
        <v>400.40000000000003</v>
      </c>
      <c r="N1707" s="16">
        <f ca="1">SUM($M$9:M1707)/A1707</f>
        <v>336.78940553266619</v>
      </c>
    </row>
    <row r="1708" spans="1:14" x14ac:dyDescent="0.25">
      <c r="A1708" s="8">
        <v>1700</v>
      </c>
      <c r="B1708" s="9">
        <f t="shared" ca="1" si="327"/>
        <v>2002</v>
      </c>
      <c r="C1708" s="10">
        <f t="shared" ca="1" si="328"/>
        <v>0</v>
      </c>
      <c r="D1708" s="11">
        <f t="shared" ca="1" si="336"/>
        <v>0.36737862523928522</v>
      </c>
      <c r="E1708" s="9">
        <f t="shared" ca="1" si="337"/>
        <v>383</v>
      </c>
      <c r="F1708" s="9">
        <f t="shared" ca="1" si="329"/>
        <v>1619</v>
      </c>
      <c r="G1708" s="12" t="str">
        <f t="shared" ca="1" si="330"/>
        <v>No</v>
      </c>
      <c r="H1708" s="12">
        <f t="shared" ca="1" si="338"/>
        <v>0</v>
      </c>
      <c r="I1708" s="10">
        <f t="shared" ca="1" si="331"/>
        <v>0</v>
      </c>
      <c r="J1708" s="13">
        <f t="shared" ca="1" si="332"/>
        <v>0</v>
      </c>
      <c r="K1708" s="14">
        <f t="shared" ca="1" si="333"/>
        <v>323.8</v>
      </c>
      <c r="L1708" s="14">
        <f t="shared" ca="1" si="334"/>
        <v>0</v>
      </c>
      <c r="M1708" s="15">
        <f t="shared" ca="1" si="335"/>
        <v>323.8</v>
      </c>
      <c r="N1708" s="16">
        <f ca="1">SUM($M$9:M1708)/A1708</f>
        <v>336.78176470588227</v>
      </c>
    </row>
    <row r="1709" spans="1:14" x14ac:dyDescent="0.25">
      <c r="A1709" s="8">
        <v>1701</v>
      </c>
      <c r="B1709" s="9">
        <f t="shared" ca="1" si="327"/>
        <v>1619</v>
      </c>
      <c r="C1709" s="10">
        <f t="shared" ca="1" si="328"/>
        <v>0</v>
      </c>
      <c r="D1709" s="11">
        <f t="shared" ca="1" si="336"/>
        <v>8.9022096268468021E-2</v>
      </c>
      <c r="E1709" s="9">
        <f t="shared" ca="1" si="337"/>
        <v>332</v>
      </c>
      <c r="F1709" s="9">
        <f t="shared" ca="1" si="329"/>
        <v>1287</v>
      </c>
      <c r="G1709" s="12" t="str">
        <f t="shared" ca="1" si="330"/>
        <v>No</v>
      </c>
      <c r="H1709" s="12">
        <f t="shared" ca="1" si="338"/>
        <v>0</v>
      </c>
      <c r="I1709" s="10">
        <f t="shared" ca="1" si="331"/>
        <v>0</v>
      </c>
      <c r="J1709" s="13">
        <f t="shared" ca="1" si="332"/>
        <v>0</v>
      </c>
      <c r="K1709" s="14">
        <f t="shared" ca="1" si="333"/>
        <v>257.40000000000003</v>
      </c>
      <c r="L1709" s="14">
        <f t="shared" ca="1" si="334"/>
        <v>0</v>
      </c>
      <c r="M1709" s="15">
        <f t="shared" ca="1" si="335"/>
        <v>257.40000000000003</v>
      </c>
      <c r="N1709" s="16">
        <f ca="1">SUM($M$9:M1709)/A1709</f>
        <v>336.73509700176362</v>
      </c>
    </row>
    <row r="1710" spans="1:14" x14ac:dyDescent="0.25">
      <c r="A1710" s="8">
        <v>1702</v>
      </c>
      <c r="B1710" s="9">
        <f t="shared" ca="1" si="327"/>
        <v>1287</v>
      </c>
      <c r="C1710" s="10">
        <f t="shared" ca="1" si="328"/>
        <v>0</v>
      </c>
      <c r="D1710" s="11">
        <f t="shared" ca="1" si="336"/>
        <v>0.75271408273294638</v>
      </c>
      <c r="E1710" s="9">
        <f t="shared" ca="1" si="337"/>
        <v>434</v>
      </c>
      <c r="F1710" s="9">
        <f t="shared" ca="1" si="329"/>
        <v>853</v>
      </c>
      <c r="G1710" s="12" t="str">
        <f t="shared" ca="1" si="330"/>
        <v>Yes</v>
      </c>
      <c r="H1710" s="12">
        <f t="shared" ca="1" si="338"/>
        <v>0.49942588810220034</v>
      </c>
      <c r="I1710" s="10">
        <f t="shared" ca="1" si="331"/>
        <v>1</v>
      </c>
      <c r="J1710" s="13">
        <f t="shared" ca="1" si="332"/>
        <v>300</v>
      </c>
      <c r="K1710" s="14">
        <f t="shared" ca="1" si="333"/>
        <v>170.60000000000002</v>
      </c>
      <c r="L1710" s="14">
        <f t="shared" ca="1" si="334"/>
        <v>0</v>
      </c>
      <c r="M1710" s="15">
        <f t="shared" ca="1" si="335"/>
        <v>470.6</v>
      </c>
      <c r="N1710" s="16">
        <f ca="1">SUM($M$9:M1710)/A1710</f>
        <v>336.81374853113977</v>
      </c>
    </row>
    <row r="1711" spans="1:14" x14ac:dyDescent="0.25">
      <c r="A1711" s="8">
        <v>1703</v>
      </c>
      <c r="B1711" s="9">
        <f t="shared" ca="1" si="327"/>
        <v>2653</v>
      </c>
      <c r="C1711" s="10">
        <f t="shared" ca="1" si="328"/>
        <v>1800</v>
      </c>
      <c r="D1711" s="11">
        <f t="shared" ca="1" si="336"/>
        <v>0.98060648090936819</v>
      </c>
      <c r="E1711" s="9">
        <f t="shared" ca="1" si="337"/>
        <v>503</v>
      </c>
      <c r="F1711" s="9">
        <f t="shared" ca="1" si="329"/>
        <v>2150</v>
      </c>
      <c r="G1711" s="12" t="str">
        <f t="shared" ca="1" si="330"/>
        <v>No</v>
      </c>
      <c r="H1711" s="12">
        <f t="shared" ca="1" si="338"/>
        <v>0</v>
      </c>
      <c r="I1711" s="10">
        <f t="shared" ca="1" si="331"/>
        <v>0</v>
      </c>
      <c r="J1711" s="13">
        <f t="shared" ca="1" si="332"/>
        <v>0</v>
      </c>
      <c r="K1711" s="14">
        <f t="shared" ca="1" si="333"/>
        <v>430</v>
      </c>
      <c r="L1711" s="14">
        <f t="shared" ca="1" si="334"/>
        <v>0</v>
      </c>
      <c r="M1711" s="15">
        <f t="shared" ca="1" si="335"/>
        <v>430</v>
      </c>
      <c r="N1711" s="16">
        <f ca="1">SUM($M$9:M1711)/A1711</f>
        <v>336.86846741045207</v>
      </c>
    </row>
    <row r="1712" spans="1:14" x14ac:dyDescent="0.25">
      <c r="A1712" s="8">
        <v>1704</v>
      </c>
      <c r="B1712" s="9">
        <f t="shared" ca="1" si="327"/>
        <v>2150</v>
      </c>
      <c r="C1712" s="10">
        <f t="shared" ca="1" si="328"/>
        <v>0</v>
      </c>
      <c r="D1712" s="11">
        <f t="shared" ca="1" si="336"/>
        <v>0.86560149953618537</v>
      </c>
      <c r="E1712" s="9">
        <f t="shared" ca="1" si="337"/>
        <v>455</v>
      </c>
      <c r="F1712" s="9">
        <f t="shared" ca="1" si="329"/>
        <v>1695</v>
      </c>
      <c r="G1712" s="12" t="str">
        <f t="shared" ca="1" si="330"/>
        <v>No</v>
      </c>
      <c r="H1712" s="12">
        <f t="shared" ca="1" si="338"/>
        <v>0</v>
      </c>
      <c r="I1712" s="10">
        <f t="shared" ca="1" si="331"/>
        <v>0</v>
      </c>
      <c r="J1712" s="13">
        <f t="shared" ca="1" si="332"/>
        <v>0</v>
      </c>
      <c r="K1712" s="14">
        <f t="shared" ca="1" si="333"/>
        <v>339</v>
      </c>
      <c r="L1712" s="14">
        <f t="shared" ca="1" si="334"/>
        <v>0</v>
      </c>
      <c r="M1712" s="15">
        <f t="shared" ca="1" si="335"/>
        <v>339</v>
      </c>
      <c r="N1712" s="16">
        <f ca="1">SUM($M$9:M1712)/A1712</f>
        <v>336.86971830985908</v>
      </c>
    </row>
    <row r="1713" spans="1:14" x14ac:dyDescent="0.25">
      <c r="A1713" s="8">
        <v>1705</v>
      </c>
      <c r="B1713" s="9">
        <f t="shared" ca="1" si="327"/>
        <v>1695</v>
      </c>
      <c r="C1713" s="10">
        <f t="shared" ca="1" si="328"/>
        <v>0</v>
      </c>
      <c r="D1713" s="11">
        <f t="shared" ca="1" si="336"/>
        <v>0.15277273003201053</v>
      </c>
      <c r="E1713" s="9">
        <f t="shared" ca="1" si="337"/>
        <v>348</v>
      </c>
      <c r="F1713" s="9">
        <f t="shared" ca="1" si="329"/>
        <v>1347</v>
      </c>
      <c r="G1713" s="12" t="str">
        <f t="shared" ca="1" si="330"/>
        <v>No</v>
      </c>
      <c r="H1713" s="12">
        <f t="shared" ca="1" si="338"/>
        <v>0</v>
      </c>
      <c r="I1713" s="10">
        <f t="shared" ca="1" si="331"/>
        <v>0</v>
      </c>
      <c r="J1713" s="13">
        <f t="shared" ca="1" si="332"/>
        <v>0</v>
      </c>
      <c r="K1713" s="14">
        <f t="shared" ca="1" si="333"/>
        <v>269.40000000000003</v>
      </c>
      <c r="L1713" s="14">
        <f t="shared" ca="1" si="334"/>
        <v>0</v>
      </c>
      <c r="M1713" s="15">
        <f t="shared" ca="1" si="335"/>
        <v>269.40000000000003</v>
      </c>
      <c r="N1713" s="16">
        <f ca="1">SUM($M$9:M1713)/A1713</f>
        <v>336.83014662756591</v>
      </c>
    </row>
    <row r="1714" spans="1:14" x14ac:dyDescent="0.25">
      <c r="A1714" s="8">
        <v>1706</v>
      </c>
      <c r="B1714" s="9">
        <f t="shared" ca="1" si="327"/>
        <v>1347</v>
      </c>
      <c r="C1714" s="10">
        <f t="shared" ca="1" si="328"/>
        <v>0</v>
      </c>
      <c r="D1714" s="11">
        <f t="shared" ca="1" si="336"/>
        <v>0.9678617387244054</v>
      </c>
      <c r="E1714" s="9">
        <f t="shared" ca="1" si="337"/>
        <v>492</v>
      </c>
      <c r="F1714" s="9">
        <f t="shared" ca="1" si="329"/>
        <v>855</v>
      </c>
      <c r="G1714" s="12" t="str">
        <f t="shared" ca="1" si="330"/>
        <v>Yes</v>
      </c>
      <c r="H1714" s="12">
        <f t="shared" ca="1" si="338"/>
        <v>2.8855241507094398E-2</v>
      </c>
      <c r="I1714" s="10">
        <f t="shared" ca="1" si="331"/>
        <v>1</v>
      </c>
      <c r="J1714" s="13">
        <f t="shared" ca="1" si="332"/>
        <v>300</v>
      </c>
      <c r="K1714" s="14">
        <f t="shared" ca="1" si="333"/>
        <v>171</v>
      </c>
      <c r="L1714" s="14">
        <f t="shared" ca="1" si="334"/>
        <v>0</v>
      </c>
      <c r="M1714" s="15">
        <f t="shared" ca="1" si="335"/>
        <v>471</v>
      </c>
      <c r="N1714" s="16">
        <f ca="1">SUM($M$9:M1714)/A1714</f>
        <v>336.9087924970691</v>
      </c>
    </row>
    <row r="1715" spans="1:14" x14ac:dyDescent="0.25">
      <c r="A1715" s="8">
        <v>1707</v>
      </c>
      <c r="B1715" s="9">
        <f t="shared" ca="1" si="327"/>
        <v>2655</v>
      </c>
      <c r="C1715" s="10">
        <f t="shared" ca="1" si="328"/>
        <v>1800</v>
      </c>
      <c r="D1715" s="11">
        <f t="shared" ca="1" si="336"/>
        <v>0.31368552289324314</v>
      </c>
      <c r="E1715" s="9">
        <f t="shared" ca="1" si="337"/>
        <v>375</v>
      </c>
      <c r="F1715" s="9">
        <f t="shared" ca="1" si="329"/>
        <v>2280</v>
      </c>
      <c r="G1715" s="12" t="str">
        <f t="shared" ca="1" si="330"/>
        <v>No</v>
      </c>
      <c r="H1715" s="12">
        <f t="shared" ca="1" si="338"/>
        <v>0</v>
      </c>
      <c r="I1715" s="10">
        <f t="shared" ca="1" si="331"/>
        <v>0</v>
      </c>
      <c r="J1715" s="13">
        <f t="shared" ca="1" si="332"/>
        <v>0</v>
      </c>
      <c r="K1715" s="14">
        <f t="shared" ca="1" si="333"/>
        <v>456</v>
      </c>
      <c r="L1715" s="14">
        <f t="shared" ca="1" si="334"/>
        <v>0</v>
      </c>
      <c r="M1715" s="15">
        <f t="shared" ca="1" si="335"/>
        <v>456</v>
      </c>
      <c r="N1715" s="16">
        <f ca="1">SUM($M$9:M1715)/A1715</f>
        <v>336.97855887521962</v>
      </c>
    </row>
    <row r="1716" spans="1:14" x14ac:dyDescent="0.25">
      <c r="A1716" s="8">
        <v>1708</v>
      </c>
      <c r="B1716" s="9">
        <f t="shared" ca="1" si="327"/>
        <v>2280</v>
      </c>
      <c r="C1716" s="10">
        <f t="shared" ca="1" si="328"/>
        <v>0</v>
      </c>
      <c r="D1716" s="11">
        <f t="shared" ca="1" si="336"/>
        <v>0.94040933775228086</v>
      </c>
      <c r="E1716" s="9">
        <f t="shared" ca="1" si="337"/>
        <v>477</v>
      </c>
      <c r="F1716" s="9">
        <f t="shared" ca="1" si="329"/>
        <v>1803</v>
      </c>
      <c r="G1716" s="12" t="str">
        <f t="shared" ca="1" si="330"/>
        <v>No</v>
      </c>
      <c r="H1716" s="12">
        <f t="shared" ca="1" si="338"/>
        <v>0</v>
      </c>
      <c r="I1716" s="10">
        <f t="shared" ca="1" si="331"/>
        <v>0</v>
      </c>
      <c r="J1716" s="13">
        <f t="shared" ca="1" si="332"/>
        <v>0</v>
      </c>
      <c r="K1716" s="14">
        <f t="shared" ca="1" si="333"/>
        <v>360.6</v>
      </c>
      <c r="L1716" s="14">
        <f t="shared" ca="1" si="334"/>
        <v>0</v>
      </c>
      <c r="M1716" s="15">
        <f t="shared" ca="1" si="335"/>
        <v>360.6</v>
      </c>
      <c r="N1716" s="16">
        <f ca="1">SUM($M$9:M1716)/A1716</f>
        <v>336.99238875878211</v>
      </c>
    </row>
    <row r="1717" spans="1:14" x14ac:dyDescent="0.25">
      <c r="A1717" s="8">
        <v>1709</v>
      </c>
      <c r="B1717" s="9">
        <f t="shared" ca="1" si="327"/>
        <v>1803</v>
      </c>
      <c r="C1717" s="10">
        <f t="shared" ca="1" si="328"/>
        <v>0</v>
      </c>
      <c r="D1717" s="11">
        <f t="shared" ca="1" si="336"/>
        <v>0.92175019188307639</v>
      </c>
      <c r="E1717" s="9">
        <f t="shared" ca="1" si="337"/>
        <v>470</v>
      </c>
      <c r="F1717" s="9">
        <f t="shared" ca="1" si="329"/>
        <v>1333</v>
      </c>
      <c r="G1717" s="12" t="str">
        <f t="shared" ca="1" si="330"/>
        <v>No</v>
      </c>
      <c r="H1717" s="12">
        <f t="shared" ca="1" si="338"/>
        <v>0</v>
      </c>
      <c r="I1717" s="10">
        <f t="shared" ca="1" si="331"/>
        <v>0</v>
      </c>
      <c r="J1717" s="13">
        <f t="shared" ca="1" si="332"/>
        <v>0</v>
      </c>
      <c r="K1717" s="14">
        <f t="shared" ca="1" si="333"/>
        <v>266.60000000000002</v>
      </c>
      <c r="L1717" s="14">
        <f t="shared" ca="1" si="334"/>
        <v>0</v>
      </c>
      <c r="M1717" s="15">
        <f t="shared" ca="1" si="335"/>
        <v>266.60000000000002</v>
      </c>
      <c r="N1717" s="16">
        <f ca="1">SUM($M$9:M1717)/A1717</f>
        <v>336.95119953188993</v>
      </c>
    </row>
    <row r="1718" spans="1:14" x14ac:dyDescent="0.25">
      <c r="A1718" s="8">
        <v>1710</v>
      </c>
      <c r="B1718" s="9">
        <f t="shared" ca="1" si="327"/>
        <v>1333</v>
      </c>
      <c r="C1718" s="10">
        <f t="shared" ca="1" si="328"/>
        <v>0</v>
      </c>
      <c r="D1718" s="11">
        <f t="shared" ca="1" si="336"/>
        <v>0.1802388994466706</v>
      </c>
      <c r="E1718" s="9">
        <f t="shared" ca="1" si="337"/>
        <v>354</v>
      </c>
      <c r="F1718" s="9">
        <f t="shared" ca="1" si="329"/>
        <v>979</v>
      </c>
      <c r="G1718" s="12" t="str">
        <f t="shared" ca="1" si="330"/>
        <v>Yes</v>
      </c>
      <c r="H1718" s="12">
        <f t="shared" ca="1" si="338"/>
        <v>0.55256061326338024</v>
      </c>
      <c r="I1718" s="10">
        <f t="shared" ca="1" si="331"/>
        <v>1</v>
      </c>
      <c r="J1718" s="13">
        <f t="shared" ca="1" si="332"/>
        <v>300</v>
      </c>
      <c r="K1718" s="14">
        <f t="shared" ca="1" si="333"/>
        <v>195.8</v>
      </c>
      <c r="L1718" s="14">
        <f t="shared" ca="1" si="334"/>
        <v>0</v>
      </c>
      <c r="M1718" s="15">
        <f t="shared" ca="1" si="335"/>
        <v>495.8</v>
      </c>
      <c r="N1718" s="16">
        <f ca="1">SUM($M$9:M1718)/A1718</f>
        <v>337.04409356725142</v>
      </c>
    </row>
    <row r="1719" spans="1:14" x14ac:dyDescent="0.25">
      <c r="A1719" s="8">
        <v>1711</v>
      </c>
      <c r="B1719" s="9">
        <f t="shared" ca="1" si="327"/>
        <v>2779</v>
      </c>
      <c r="C1719" s="10">
        <f t="shared" ca="1" si="328"/>
        <v>1800</v>
      </c>
      <c r="D1719" s="11">
        <f t="shared" ca="1" si="336"/>
        <v>0.44629674592318946</v>
      </c>
      <c r="E1719" s="9">
        <f t="shared" ca="1" si="337"/>
        <v>393</v>
      </c>
      <c r="F1719" s="9">
        <f t="shared" ca="1" si="329"/>
        <v>2386</v>
      </c>
      <c r="G1719" s="12" t="str">
        <f t="shared" ca="1" si="330"/>
        <v>No</v>
      </c>
      <c r="H1719" s="12">
        <f t="shared" ca="1" si="338"/>
        <v>0</v>
      </c>
      <c r="I1719" s="10">
        <f t="shared" ca="1" si="331"/>
        <v>0</v>
      </c>
      <c r="J1719" s="13">
        <f t="shared" ca="1" si="332"/>
        <v>0</v>
      </c>
      <c r="K1719" s="14">
        <f t="shared" ca="1" si="333"/>
        <v>477.20000000000005</v>
      </c>
      <c r="L1719" s="14">
        <f t="shared" ca="1" si="334"/>
        <v>0</v>
      </c>
      <c r="M1719" s="15">
        <f t="shared" ca="1" si="335"/>
        <v>477.20000000000005</v>
      </c>
      <c r="N1719" s="16">
        <f ca="1">SUM($M$9:M1719)/A1719</f>
        <v>337.12600818234944</v>
      </c>
    </row>
    <row r="1720" spans="1:14" x14ac:dyDescent="0.25">
      <c r="A1720" s="8">
        <v>1712</v>
      </c>
      <c r="B1720" s="9">
        <f t="shared" ca="1" si="327"/>
        <v>2386</v>
      </c>
      <c r="C1720" s="10">
        <f t="shared" ca="1" si="328"/>
        <v>0</v>
      </c>
      <c r="D1720" s="11">
        <f t="shared" ca="1" si="336"/>
        <v>0.69967870471998062</v>
      </c>
      <c r="E1720" s="9">
        <f t="shared" ca="1" si="337"/>
        <v>426</v>
      </c>
      <c r="F1720" s="9">
        <f t="shared" ca="1" si="329"/>
        <v>1960</v>
      </c>
      <c r="G1720" s="12" t="str">
        <f t="shared" ca="1" si="330"/>
        <v>No</v>
      </c>
      <c r="H1720" s="12">
        <f t="shared" ca="1" si="338"/>
        <v>0</v>
      </c>
      <c r="I1720" s="10">
        <f t="shared" ca="1" si="331"/>
        <v>0</v>
      </c>
      <c r="J1720" s="13">
        <f t="shared" ca="1" si="332"/>
        <v>0</v>
      </c>
      <c r="K1720" s="14">
        <f t="shared" ca="1" si="333"/>
        <v>392</v>
      </c>
      <c r="L1720" s="14">
        <f t="shared" ca="1" si="334"/>
        <v>0</v>
      </c>
      <c r="M1720" s="15">
        <f t="shared" ca="1" si="335"/>
        <v>392</v>
      </c>
      <c r="N1720" s="16">
        <f ca="1">SUM($M$9:M1720)/A1720</f>
        <v>337.15806074766346</v>
      </c>
    </row>
    <row r="1721" spans="1:14" x14ac:dyDescent="0.25">
      <c r="A1721" s="8">
        <v>1713</v>
      </c>
      <c r="B1721" s="9">
        <f t="shared" ca="1" si="327"/>
        <v>1960</v>
      </c>
      <c r="C1721" s="10">
        <f t="shared" ca="1" si="328"/>
        <v>0</v>
      </c>
      <c r="D1721" s="11">
        <f t="shared" ca="1" si="336"/>
        <v>0.52500737595598235</v>
      </c>
      <c r="E1721" s="9">
        <f t="shared" ca="1" si="337"/>
        <v>403</v>
      </c>
      <c r="F1721" s="9">
        <f t="shared" ca="1" si="329"/>
        <v>1557</v>
      </c>
      <c r="G1721" s="12" t="str">
        <f t="shared" ca="1" si="330"/>
        <v>No</v>
      </c>
      <c r="H1721" s="12">
        <f t="shared" ca="1" si="338"/>
        <v>0</v>
      </c>
      <c r="I1721" s="10">
        <f t="shared" ca="1" si="331"/>
        <v>0</v>
      </c>
      <c r="J1721" s="13">
        <f t="shared" ca="1" si="332"/>
        <v>0</v>
      </c>
      <c r="K1721" s="14">
        <f t="shared" ca="1" si="333"/>
        <v>311.40000000000003</v>
      </c>
      <c r="L1721" s="14">
        <f t="shared" ca="1" si="334"/>
        <v>0</v>
      </c>
      <c r="M1721" s="15">
        <f t="shared" ca="1" si="335"/>
        <v>311.40000000000003</v>
      </c>
      <c r="N1721" s="16">
        <f ca="1">SUM($M$9:M1721)/A1721</f>
        <v>337.14302393461759</v>
      </c>
    </row>
    <row r="1722" spans="1:14" x14ac:dyDescent="0.25">
      <c r="A1722" s="8">
        <v>1714</v>
      </c>
      <c r="B1722" s="9">
        <f t="shared" ca="1" si="327"/>
        <v>1557</v>
      </c>
      <c r="C1722" s="10">
        <f t="shared" ca="1" si="328"/>
        <v>0</v>
      </c>
      <c r="D1722" s="11">
        <f t="shared" ca="1" si="336"/>
        <v>0.3840698944988189</v>
      </c>
      <c r="E1722" s="9">
        <f t="shared" ca="1" si="337"/>
        <v>385</v>
      </c>
      <c r="F1722" s="9">
        <f t="shared" ca="1" si="329"/>
        <v>1172</v>
      </c>
      <c r="G1722" s="12" t="str">
        <f t="shared" ca="1" si="330"/>
        <v>No</v>
      </c>
      <c r="H1722" s="12">
        <f t="shared" ca="1" si="338"/>
        <v>0</v>
      </c>
      <c r="I1722" s="10">
        <f t="shared" ca="1" si="331"/>
        <v>0</v>
      </c>
      <c r="J1722" s="13">
        <f t="shared" ca="1" si="332"/>
        <v>0</v>
      </c>
      <c r="K1722" s="14">
        <f t="shared" ca="1" si="333"/>
        <v>234.4</v>
      </c>
      <c r="L1722" s="14">
        <f t="shared" ca="1" si="334"/>
        <v>0</v>
      </c>
      <c r="M1722" s="15">
        <f t="shared" ca="1" si="335"/>
        <v>234.4</v>
      </c>
      <c r="N1722" s="16">
        <f ca="1">SUM($M$9:M1722)/A1722</f>
        <v>337.08308051341885</v>
      </c>
    </row>
    <row r="1723" spans="1:14" x14ac:dyDescent="0.25">
      <c r="A1723" s="8">
        <v>1715</v>
      </c>
      <c r="B1723" s="9">
        <f t="shared" ca="1" si="327"/>
        <v>1172</v>
      </c>
      <c r="C1723" s="10">
        <f t="shared" ca="1" si="328"/>
        <v>0</v>
      </c>
      <c r="D1723" s="11">
        <f t="shared" ca="1" si="336"/>
        <v>0.74510927967749474</v>
      </c>
      <c r="E1723" s="9">
        <f t="shared" ca="1" si="337"/>
        <v>432</v>
      </c>
      <c r="F1723" s="9">
        <f t="shared" ca="1" si="329"/>
        <v>740</v>
      </c>
      <c r="G1723" s="12" t="str">
        <f t="shared" ca="1" si="330"/>
        <v>Yes</v>
      </c>
      <c r="H1723" s="12">
        <f t="shared" ca="1" si="338"/>
        <v>0.813773401069672</v>
      </c>
      <c r="I1723" s="10">
        <f t="shared" ca="1" si="331"/>
        <v>2</v>
      </c>
      <c r="J1723" s="13">
        <f t="shared" ca="1" si="332"/>
        <v>300</v>
      </c>
      <c r="K1723" s="14">
        <f t="shared" ca="1" si="333"/>
        <v>148</v>
      </c>
      <c r="L1723" s="14">
        <f t="shared" ca="1" si="334"/>
        <v>0</v>
      </c>
      <c r="M1723" s="15">
        <f t="shared" ca="1" si="335"/>
        <v>448</v>
      </c>
      <c r="N1723" s="16">
        <f ca="1">SUM($M$9:M1723)/A1723</f>
        <v>337.14775510204078</v>
      </c>
    </row>
    <row r="1724" spans="1:14" x14ac:dyDescent="0.25">
      <c r="A1724" s="8">
        <v>1716</v>
      </c>
      <c r="B1724" s="9">
        <f t="shared" ca="1" si="327"/>
        <v>740</v>
      </c>
      <c r="C1724" s="10">
        <f t="shared" ca="1" si="328"/>
        <v>0</v>
      </c>
      <c r="D1724" s="11">
        <f t="shared" ca="1" si="336"/>
        <v>0.71290217282364265</v>
      </c>
      <c r="E1724" s="9">
        <f t="shared" ca="1" si="337"/>
        <v>428</v>
      </c>
      <c r="F1724" s="9">
        <f t="shared" ca="1" si="329"/>
        <v>312</v>
      </c>
      <c r="G1724" s="12" t="str">
        <f t="shared" ca="1" si="330"/>
        <v>No</v>
      </c>
      <c r="H1724" s="12">
        <f t="shared" ca="1" si="338"/>
        <v>0</v>
      </c>
      <c r="I1724" s="10">
        <f t="shared" ca="1" si="331"/>
        <v>1</v>
      </c>
      <c r="J1724" s="13">
        <f t="shared" ca="1" si="332"/>
        <v>0</v>
      </c>
      <c r="K1724" s="14">
        <f t="shared" ca="1" si="333"/>
        <v>62.400000000000006</v>
      </c>
      <c r="L1724" s="14">
        <f t="shared" ca="1" si="334"/>
        <v>0</v>
      </c>
      <c r="M1724" s="15">
        <f t="shared" ca="1" si="335"/>
        <v>62.400000000000006</v>
      </c>
      <c r="N1724" s="16">
        <f ca="1">SUM($M$9:M1724)/A1724</f>
        <v>336.98764568764562</v>
      </c>
    </row>
    <row r="1725" spans="1:14" x14ac:dyDescent="0.25">
      <c r="A1725" s="8">
        <v>1717</v>
      </c>
      <c r="B1725" s="9">
        <f t="shared" ref="B1725:B1788" ca="1" si="339">IF(I1724=1,F1724+Quantity,F1724)</f>
        <v>2112</v>
      </c>
      <c r="C1725" s="10">
        <f t="shared" ref="C1725:C1788" ca="1" si="340">IF(I1724=1,Quantity,0)</f>
        <v>1800</v>
      </c>
      <c r="D1725" s="11">
        <f t="shared" ca="1" si="336"/>
        <v>0.75472318387974591</v>
      </c>
      <c r="E1725" s="9">
        <f t="shared" ca="1" si="337"/>
        <v>434</v>
      </c>
      <c r="F1725" s="9">
        <f t="shared" ref="F1725:F1788" ca="1" si="341">IF(B1725+C1725-E1725&lt;0,0,B1725-E1725)</f>
        <v>1678</v>
      </c>
      <c r="G1725" s="12" t="str">
        <f t="shared" ref="G1725:G1788" ca="1" si="342">IF(B1725&lt;Point,IF(I1724=0,"Yes","No"),"No")</f>
        <v>No</v>
      </c>
      <c r="H1725" s="12">
        <f t="shared" ca="1" si="338"/>
        <v>0</v>
      </c>
      <c r="I1725" s="10">
        <f t="shared" ref="I1725:I1788" ca="1" si="343">IF(I1724&gt;0,I1724-1,(IF(G1725="Yes",(VLOOKUP(H1725,LTD,3)),0)))</f>
        <v>0</v>
      </c>
      <c r="J1725" s="13">
        <f t="shared" ref="J1725:J1788" ca="1" si="344">IF(G1725="Yes",Order_Cost,0)</f>
        <v>0</v>
      </c>
      <c r="K1725" s="14">
        <f t="shared" ref="K1725:K1788" ca="1" si="345">F1725*Holding_Cost</f>
        <v>335.6</v>
      </c>
      <c r="L1725" s="14">
        <f t="shared" ref="L1725:L1788" ca="1" si="346">IF(B1725+C1725&lt;E1725,Shortage_Cost*(E1725-B1725-C1725),0)</f>
        <v>0</v>
      </c>
      <c r="M1725" s="15">
        <f t="shared" ref="M1725:M1788" ca="1" si="347">SUM(J1725:L1725)</f>
        <v>335.6</v>
      </c>
      <c r="N1725" s="16">
        <f ca="1">SUM($M$9:M1725)/A1725</f>
        <v>336.98683750728009</v>
      </c>
    </row>
    <row r="1726" spans="1:14" x14ac:dyDescent="0.25">
      <c r="A1726" s="8">
        <v>1718</v>
      </c>
      <c r="B1726" s="9">
        <f t="shared" ca="1" si="339"/>
        <v>1678</v>
      </c>
      <c r="C1726" s="10">
        <f t="shared" ca="1" si="340"/>
        <v>0</v>
      </c>
      <c r="D1726" s="11">
        <f t="shared" ca="1" si="336"/>
        <v>0.37628581471703737</v>
      </c>
      <c r="E1726" s="9">
        <f t="shared" ca="1" si="337"/>
        <v>384</v>
      </c>
      <c r="F1726" s="9">
        <f t="shared" ca="1" si="341"/>
        <v>1294</v>
      </c>
      <c r="G1726" s="12" t="str">
        <f t="shared" ca="1" si="342"/>
        <v>No</v>
      </c>
      <c r="H1726" s="12">
        <f t="shared" ca="1" si="338"/>
        <v>0</v>
      </c>
      <c r="I1726" s="10">
        <f t="shared" ca="1" si="343"/>
        <v>0</v>
      </c>
      <c r="J1726" s="13">
        <f t="shared" ca="1" si="344"/>
        <v>0</v>
      </c>
      <c r="K1726" s="14">
        <f t="shared" ca="1" si="345"/>
        <v>258.8</v>
      </c>
      <c r="L1726" s="14">
        <f t="shared" ca="1" si="346"/>
        <v>0</v>
      </c>
      <c r="M1726" s="15">
        <f t="shared" ca="1" si="347"/>
        <v>258.8</v>
      </c>
      <c r="N1726" s="16">
        <f ca="1">SUM($M$9:M1726)/A1726</f>
        <v>336.94132712456343</v>
      </c>
    </row>
    <row r="1727" spans="1:14" x14ac:dyDescent="0.25">
      <c r="A1727" s="8">
        <v>1719</v>
      </c>
      <c r="B1727" s="9">
        <f t="shared" ca="1" si="339"/>
        <v>1294</v>
      </c>
      <c r="C1727" s="10">
        <f t="shared" ca="1" si="340"/>
        <v>0</v>
      </c>
      <c r="D1727" s="11">
        <f t="shared" ca="1" si="336"/>
        <v>0.42856771122788617</v>
      </c>
      <c r="E1727" s="9">
        <f t="shared" ca="1" si="337"/>
        <v>390</v>
      </c>
      <c r="F1727" s="9">
        <f t="shared" ca="1" si="341"/>
        <v>904</v>
      </c>
      <c r="G1727" s="12" t="str">
        <f t="shared" ca="1" si="342"/>
        <v>Yes</v>
      </c>
      <c r="H1727" s="12">
        <f t="shared" ca="1" si="338"/>
        <v>0.40636371709718955</v>
      </c>
      <c r="I1727" s="10">
        <f t="shared" ca="1" si="343"/>
        <v>1</v>
      </c>
      <c r="J1727" s="13">
        <f t="shared" ca="1" si="344"/>
        <v>300</v>
      </c>
      <c r="K1727" s="14">
        <f t="shared" ca="1" si="345"/>
        <v>180.8</v>
      </c>
      <c r="L1727" s="14">
        <f t="shared" ca="1" si="346"/>
        <v>0</v>
      </c>
      <c r="M1727" s="15">
        <f t="shared" ca="1" si="347"/>
        <v>480.8</v>
      </c>
      <c r="N1727" s="16">
        <f ca="1">SUM($M$9:M1727)/A1727</f>
        <v>337.02501454333913</v>
      </c>
    </row>
    <row r="1728" spans="1:14" x14ac:dyDescent="0.25">
      <c r="A1728" s="8">
        <v>1720</v>
      </c>
      <c r="B1728" s="9">
        <f t="shared" ca="1" si="339"/>
        <v>2704</v>
      </c>
      <c r="C1728" s="10">
        <f t="shared" ca="1" si="340"/>
        <v>1800</v>
      </c>
      <c r="D1728" s="11">
        <f t="shared" ca="1" si="336"/>
        <v>0.59709299775777758</v>
      </c>
      <c r="E1728" s="9">
        <f t="shared" ca="1" si="337"/>
        <v>412</v>
      </c>
      <c r="F1728" s="9">
        <f t="shared" ca="1" si="341"/>
        <v>2292</v>
      </c>
      <c r="G1728" s="12" t="str">
        <f t="shared" ca="1" si="342"/>
        <v>No</v>
      </c>
      <c r="H1728" s="12">
        <f t="shared" ca="1" si="338"/>
        <v>0</v>
      </c>
      <c r="I1728" s="10">
        <f t="shared" ca="1" si="343"/>
        <v>0</v>
      </c>
      <c r="J1728" s="13">
        <f t="shared" ca="1" si="344"/>
        <v>0</v>
      </c>
      <c r="K1728" s="14">
        <f t="shared" ca="1" si="345"/>
        <v>458.40000000000003</v>
      </c>
      <c r="L1728" s="14">
        <f t="shared" ca="1" si="346"/>
        <v>0</v>
      </c>
      <c r="M1728" s="15">
        <f t="shared" ca="1" si="347"/>
        <v>458.40000000000003</v>
      </c>
      <c r="N1728" s="16">
        <f ca="1">SUM($M$9:M1728)/A1728</f>
        <v>337.09558139534886</v>
      </c>
    </row>
    <row r="1729" spans="1:14" x14ac:dyDescent="0.25">
      <c r="A1729" s="8">
        <v>1721</v>
      </c>
      <c r="B1729" s="9">
        <f t="shared" ca="1" si="339"/>
        <v>2292</v>
      </c>
      <c r="C1729" s="10">
        <f t="shared" ca="1" si="340"/>
        <v>0</v>
      </c>
      <c r="D1729" s="11">
        <f t="shared" ca="1" si="336"/>
        <v>3.4949206952758383E-2</v>
      </c>
      <c r="E1729" s="9">
        <f t="shared" ca="1" si="337"/>
        <v>309</v>
      </c>
      <c r="F1729" s="9">
        <f t="shared" ca="1" si="341"/>
        <v>1983</v>
      </c>
      <c r="G1729" s="12" t="str">
        <f t="shared" ca="1" si="342"/>
        <v>No</v>
      </c>
      <c r="H1729" s="12">
        <f t="shared" ca="1" si="338"/>
        <v>0</v>
      </c>
      <c r="I1729" s="10">
        <f t="shared" ca="1" si="343"/>
        <v>0</v>
      </c>
      <c r="J1729" s="13">
        <f t="shared" ca="1" si="344"/>
        <v>0</v>
      </c>
      <c r="K1729" s="14">
        <f t="shared" ca="1" si="345"/>
        <v>396.6</v>
      </c>
      <c r="L1729" s="14">
        <f t="shared" ca="1" si="346"/>
        <v>0</v>
      </c>
      <c r="M1729" s="15">
        <f t="shared" ca="1" si="347"/>
        <v>396.6</v>
      </c>
      <c r="N1729" s="16">
        <f ca="1">SUM($M$9:M1729)/A1729</f>
        <v>337.13015688553168</v>
      </c>
    </row>
    <row r="1730" spans="1:14" x14ac:dyDescent="0.25">
      <c r="A1730" s="8">
        <v>1722</v>
      </c>
      <c r="B1730" s="9">
        <f t="shared" ca="1" si="339"/>
        <v>1983</v>
      </c>
      <c r="C1730" s="10">
        <f t="shared" ca="1" si="340"/>
        <v>0</v>
      </c>
      <c r="D1730" s="11">
        <f t="shared" ca="1" si="336"/>
        <v>0.25821753869244413</v>
      </c>
      <c r="E1730" s="9">
        <f t="shared" ca="1" si="337"/>
        <v>367</v>
      </c>
      <c r="F1730" s="9">
        <f t="shared" ca="1" si="341"/>
        <v>1616</v>
      </c>
      <c r="G1730" s="12" t="str">
        <f t="shared" ca="1" si="342"/>
        <v>No</v>
      </c>
      <c r="H1730" s="12">
        <f t="shared" ca="1" si="338"/>
        <v>0</v>
      </c>
      <c r="I1730" s="10">
        <f t="shared" ca="1" si="343"/>
        <v>0</v>
      </c>
      <c r="J1730" s="13">
        <f t="shared" ca="1" si="344"/>
        <v>0</v>
      </c>
      <c r="K1730" s="14">
        <f t="shared" ca="1" si="345"/>
        <v>323.20000000000005</v>
      </c>
      <c r="L1730" s="14">
        <f t="shared" ca="1" si="346"/>
        <v>0</v>
      </c>
      <c r="M1730" s="15">
        <f t="shared" ca="1" si="347"/>
        <v>323.20000000000005</v>
      </c>
      <c r="N1730" s="16">
        <f ca="1">SUM($M$9:M1730)/A1730</f>
        <v>337.12206736353073</v>
      </c>
    </row>
    <row r="1731" spans="1:14" x14ac:dyDescent="0.25">
      <c r="A1731" s="8">
        <v>1723</v>
      </c>
      <c r="B1731" s="9">
        <f t="shared" ca="1" si="339"/>
        <v>1616</v>
      </c>
      <c r="C1731" s="10">
        <f t="shared" ca="1" si="340"/>
        <v>0</v>
      </c>
      <c r="D1731" s="11">
        <f t="shared" ca="1" si="336"/>
        <v>0.39491215335461938</v>
      </c>
      <c r="E1731" s="9">
        <f t="shared" ca="1" si="337"/>
        <v>386</v>
      </c>
      <c r="F1731" s="9">
        <f t="shared" ca="1" si="341"/>
        <v>1230</v>
      </c>
      <c r="G1731" s="12" t="str">
        <f t="shared" ca="1" si="342"/>
        <v>No</v>
      </c>
      <c r="H1731" s="12">
        <f t="shared" ca="1" si="338"/>
        <v>0</v>
      </c>
      <c r="I1731" s="10">
        <f t="shared" ca="1" si="343"/>
        <v>0</v>
      </c>
      <c r="J1731" s="13">
        <f t="shared" ca="1" si="344"/>
        <v>0</v>
      </c>
      <c r="K1731" s="14">
        <f t="shared" ca="1" si="345"/>
        <v>246</v>
      </c>
      <c r="L1731" s="14">
        <f t="shared" ca="1" si="346"/>
        <v>0</v>
      </c>
      <c r="M1731" s="15">
        <f t="shared" ca="1" si="347"/>
        <v>246</v>
      </c>
      <c r="N1731" s="16">
        <f ca="1">SUM($M$9:M1731)/A1731</f>
        <v>337.06918165989549</v>
      </c>
    </row>
    <row r="1732" spans="1:14" x14ac:dyDescent="0.25">
      <c r="A1732" s="8">
        <v>1724</v>
      </c>
      <c r="B1732" s="9">
        <f t="shared" ca="1" si="339"/>
        <v>1230</v>
      </c>
      <c r="C1732" s="10">
        <f t="shared" ca="1" si="340"/>
        <v>0</v>
      </c>
      <c r="D1732" s="11">
        <f t="shared" ca="1" si="336"/>
        <v>0.55640045452471454</v>
      </c>
      <c r="E1732" s="9">
        <f t="shared" ca="1" si="337"/>
        <v>407</v>
      </c>
      <c r="F1732" s="9">
        <f t="shared" ca="1" si="341"/>
        <v>823</v>
      </c>
      <c r="G1732" s="12" t="str">
        <f t="shared" ca="1" si="342"/>
        <v>Yes</v>
      </c>
      <c r="H1732" s="12">
        <f t="shared" ca="1" si="338"/>
        <v>0.25448235890465454</v>
      </c>
      <c r="I1732" s="10">
        <f t="shared" ca="1" si="343"/>
        <v>1</v>
      </c>
      <c r="J1732" s="13">
        <f t="shared" ca="1" si="344"/>
        <v>300</v>
      </c>
      <c r="K1732" s="14">
        <f t="shared" ca="1" si="345"/>
        <v>164.60000000000002</v>
      </c>
      <c r="L1732" s="14">
        <f t="shared" ca="1" si="346"/>
        <v>0</v>
      </c>
      <c r="M1732" s="15">
        <f t="shared" ca="1" si="347"/>
        <v>464.6</v>
      </c>
      <c r="N1732" s="16">
        <f ca="1">SUM($M$9:M1732)/A1732</f>
        <v>337.14315545243613</v>
      </c>
    </row>
    <row r="1733" spans="1:14" x14ac:dyDescent="0.25">
      <c r="A1733" s="8">
        <v>1725</v>
      </c>
      <c r="B1733" s="9">
        <f t="shared" ca="1" si="339"/>
        <v>2623</v>
      </c>
      <c r="C1733" s="10">
        <f t="shared" ca="1" si="340"/>
        <v>1800</v>
      </c>
      <c r="D1733" s="11">
        <f t="shared" ca="1" si="336"/>
        <v>0.57094019498767046</v>
      </c>
      <c r="E1733" s="9">
        <f t="shared" ca="1" si="337"/>
        <v>408</v>
      </c>
      <c r="F1733" s="9">
        <f t="shared" ca="1" si="341"/>
        <v>2215</v>
      </c>
      <c r="G1733" s="12" t="str">
        <f t="shared" ca="1" si="342"/>
        <v>No</v>
      </c>
      <c r="H1733" s="12">
        <f t="shared" ca="1" si="338"/>
        <v>0</v>
      </c>
      <c r="I1733" s="10">
        <f t="shared" ca="1" si="343"/>
        <v>0</v>
      </c>
      <c r="J1733" s="13">
        <f t="shared" ca="1" si="344"/>
        <v>0</v>
      </c>
      <c r="K1733" s="14">
        <f t="shared" ca="1" si="345"/>
        <v>443</v>
      </c>
      <c r="L1733" s="14">
        <f t="shared" ca="1" si="346"/>
        <v>0</v>
      </c>
      <c r="M1733" s="15">
        <f t="shared" ca="1" si="347"/>
        <v>443</v>
      </c>
      <c r="N1733" s="16">
        <f ca="1">SUM($M$9:M1733)/A1733</f>
        <v>337.20452173913037</v>
      </c>
    </row>
    <row r="1734" spans="1:14" x14ac:dyDescent="0.25">
      <c r="A1734" s="8">
        <v>1726</v>
      </c>
      <c r="B1734" s="9">
        <f t="shared" ca="1" si="339"/>
        <v>2215</v>
      </c>
      <c r="C1734" s="10">
        <f t="shared" ca="1" si="340"/>
        <v>0</v>
      </c>
      <c r="D1734" s="11">
        <f t="shared" ca="1" si="336"/>
        <v>0.28182836134208133</v>
      </c>
      <c r="E1734" s="9">
        <f t="shared" ca="1" si="337"/>
        <v>371</v>
      </c>
      <c r="F1734" s="9">
        <f t="shared" ca="1" si="341"/>
        <v>1844</v>
      </c>
      <c r="G1734" s="12" t="str">
        <f t="shared" ca="1" si="342"/>
        <v>No</v>
      </c>
      <c r="H1734" s="12">
        <f t="shared" ca="1" si="338"/>
        <v>0</v>
      </c>
      <c r="I1734" s="10">
        <f t="shared" ca="1" si="343"/>
        <v>0</v>
      </c>
      <c r="J1734" s="13">
        <f t="shared" ca="1" si="344"/>
        <v>0</v>
      </c>
      <c r="K1734" s="14">
        <f t="shared" ca="1" si="345"/>
        <v>368.8</v>
      </c>
      <c r="L1734" s="14">
        <f t="shared" ca="1" si="346"/>
        <v>0</v>
      </c>
      <c r="M1734" s="15">
        <f t="shared" ca="1" si="347"/>
        <v>368.8</v>
      </c>
      <c r="N1734" s="16">
        <f ca="1">SUM($M$9:M1734)/A1734</f>
        <v>337.22282734646581</v>
      </c>
    </row>
    <row r="1735" spans="1:14" x14ac:dyDescent="0.25">
      <c r="A1735" s="8">
        <v>1727</v>
      </c>
      <c r="B1735" s="9">
        <f t="shared" ca="1" si="339"/>
        <v>1844</v>
      </c>
      <c r="C1735" s="10">
        <f t="shared" ca="1" si="340"/>
        <v>0</v>
      </c>
      <c r="D1735" s="11">
        <f t="shared" ca="1" si="336"/>
        <v>0.75453539055120156</v>
      </c>
      <c r="E1735" s="9">
        <f t="shared" ca="1" si="337"/>
        <v>434</v>
      </c>
      <c r="F1735" s="9">
        <f t="shared" ca="1" si="341"/>
        <v>1410</v>
      </c>
      <c r="G1735" s="12" t="str">
        <f t="shared" ca="1" si="342"/>
        <v>No</v>
      </c>
      <c r="H1735" s="12">
        <f t="shared" ca="1" si="338"/>
        <v>0</v>
      </c>
      <c r="I1735" s="10">
        <f t="shared" ca="1" si="343"/>
        <v>0</v>
      </c>
      <c r="J1735" s="13">
        <f t="shared" ca="1" si="344"/>
        <v>0</v>
      </c>
      <c r="K1735" s="14">
        <f t="shared" ca="1" si="345"/>
        <v>282</v>
      </c>
      <c r="L1735" s="14">
        <f t="shared" ca="1" si="346"/>
        <v>0</v>
      </c>
      <c r="M1735" s="15">
        <f t="shared" ca="1" si="347"/>
        <v>282</v>
      </c>
      <c r="N1735" s="16">
        <f ca="1">SUM($M$9:M1735)/A1735</f>
        <v>337.19085118702952</v>
      </c>
    </row>
    <row r="1736" spans="1:14" x14ac:dyDescent="0.25">
      <c r="A1736" s="8">
        <v>1728</v>
      </c>
      <c r="B1736" s="9">
        <f t="shared" ca="1" si="339"/>
        <v>1410</v>
      </c>
      <c r="C1736" s="10">
        <f t="shared" ca="1" si="340"/>
        <v>0</v>
      </c>
      <c r="D1736" s="11">
        <f t="shared" ca="1" si="336"/>
        <v>0.13114077639088773</v>
      </c>
      <c r="E1736" s="9">
        <f t="shared" ca="1" si="337"/>
        <v>343</v>
      </c>
      <c r="F1736" s="9">
        <f t="shared" ca="1" si="341"/>
        <v>1067</v>
      </c>
      <c r="G1736" s="12" t="str">
        <f t="shared" ca="1" si="342"/>
        <v>No</v>
      </c>
      <c r="H1736" s="12">
        <f t="shared" ca="1" si="338"/>
        <v>0</v>
      </c>
      <c r="I1736" s="10">
        <f t="shared" ca="1" si="343"/>
        <v>0</v>
      </c>
      <c r="J1736" s="13">
        <f t="shared" ca="1" si="344"/>
        <v>0</v>
      </c>
      <c r="K1736" s="14">
        <f t="shared" ca="1" si="345"/>
        <v>213.4</v>
      </c>
      <c r="L1736" s="14">
        <f t="shared" ca="1" si="346"/>
        <v>0</v>
      </c>
      <c r="M1736" s="15">
        <f t="shared" ca="1" si="347"/>
        <v>213.4</v>
      </c>
      <c r="N1736" s="16">
        <f ca="1">SUM($M$9:M1736)/A1736</f>
        <v>337.11921296296299</v>
      </c>
    </row>
    <row r="1737" spans="1:14" x14ac:dyDescent="0.25">
      <c r="A1737" s="8">
        <v>1729</v>
      </c>
      <c r="B1737" s="9">
        <f t="shared" ca="1" si="339"/>
        <v>1067</v>
      </c>
      <c r="C1737" s="10">
        <f t="shared" ca="1" si="340"/>
        <v>0</v>
      </c>
      <c r="D1737" s="11">
        <f t="shared" ca="1" si="336"/>
        <v>0.41646533047382706</v>
      </c>
      <c r="E1737" s="9">
        <f t="shared" ca="1" si="337"/>
        <v>389</v>
      </c>
      <c r="F1737" s="9">
        <f t="shared" ca="1" si="341"/>
        <v>678</v>
      </c>
      <c r="G1737" s="12" t="str">
        <f t="shared" ca="1" si="342"/>
        <v>Yes</v>
      </c>
      <c r="H1737" s="12">
        <f t="shared" ca="1" si="338"/>
        <v>0.49636071548845717</v>
      </c>
      <c r="I1737" s="10">
        <f t="shared" ca="1" si="343"/>
        <v>1</v>
      </c>
      <c r="J1737" s="13">
        <f t="shared" ca="1" si="344"/>
        <v>300</v>
      </c>
      <c r="K1737" s="14">
        <f t="shared" ca="1" si="345"/>
        <v>135.6</v>
      </c>
      <c r="L1737" s="14">
        <f t="shared" ca="1" si="346"/>
        <v>0</v>
      </c>
      <c r="M1737" s="15">
        <f t="shared" ca="1" si="347"/>
        <v>435.6</v>
      </c>
      <c r="N1737" s="16">
        <f ca="1">SUM($M$9:M1737)/A1737</f>
        <v>337.17617119722382</v>
      </c>
    </row>
    <row r="1738" spans="1:14" x14ac:dyDescent="0.25">
      <c r="A1738" s="8">
        <v>1730</v>
      </c>
      <c r="B1738" s="9">
        <f t="shared" ca="1" si="339"/>
        <v>2478</v>
      </c>
      <c r="C1738" s="10">
        <f t="shared" ca="1" si="340"/>
        <v>1800</v>
      </c>
      <c r="D1738" s="11">
        <f t="shared" ref="D1738:D1801" ca="1" si="348">RAND()</f>
        <v>0.68802458506217512</v>
      </c>
      <c r="E1738" s="9">
        <f t="shared" ref="E1738:E1801" ca="1" si="349">INT(NORMINV(D1738,D_Mean,D_StdDev))</f>
        <v>424</v>
      </c>
      <c r="F1738" s="9">
        <f t="shared" ca="1" si="341"/>
        <v>2054</v>
      </c>
      <c r="G1738" s="12" t="str">
        <f t="shared" ca="1" si="342"/>
        <v>No</v>
      </c>
      <c r="H1738" s="12">
        <f t="shared" ref="H1738:H1801" ca="1" si="350">IF(G1738="Yes",RAND(),0)</f>
        <v>0</v>
      </c>
      <c r="I1738" s="10">
        <f t="shared" ca="1" si="343"/>
        <v>0</v>
      </c>
      <c r="J1738" s="13">
        <f t="shared" ca="1" si="344"/>
        <v>0</v>
      </c>
      <c r="K1738" s="14">
        <f t="shared" ca="1" si="345"/>
        <v>410.8</v>
      </c>
      <c r="L1738" s="14">
        <f t="shared" ca="1" si="346"/>
        <v>0</v>
      </c>
      <c r="M1738" s="15">
        <f t="shared" ca="1" si="347"/>
        <v>410.8</v>
      </c>
      <c r="N1738" s="16">
        <f ca="1">SUM($M$9:M1738)/A1738</f>
        <v>337.21872832369945</v>
      </c>
    </row>
    <row r="1739" spans="1:14" x14ac:dyDescent="0.25">
      <c r="A1739" s="8">
        <v>1731</v>
      </c>
      <c r="B1739" s="9">
        <f t="shared" ca="1" si="339"/>
        <v>2054</v>
      </c>
      <c r="C1739" s="10">
        <f t="shared" ca="1" si="340"/>
        <v>0</v>
      </c>
      <c r="D1739" s="11">
        <f t="shared" ca="1" si="348"/>
        <v>0.13997591665234954</v>
      </c>
      <c r="E1739" s="9">
        <f t="shared" ca="1" si="349"/>
        <v>345</v>
      </c>
      <c r="F1739" s="9">
        <f t="shared" ca="1" si="341"/>
        <v>1709</v>
      </c>
      <c r="G1739" s="12" t="str">
        <f t="shared" ca="1" si="342"/>
        <v>No</v>
      </c>
      <c r="H1739" s="12">
        <f t="shared" ca="1" si="350"/>
        <v>0</v>
      </c>
      <c r="I1739" s="10">
        <f t="shared" ca="1" si="343"/>
        <v>0</v>
      </c>
      <c r="J1739" s="13">
        <f t="shared" ca="1" si="344"/>
        <v>0</v>
      </c>
      <c r="K1739" s="14">
        <f t="shared" ca="1" si="345"/>
        <v>341.8</v>
      </c>
      <c r="L1739" s="14">
        <f t="shared" ca="1" si="346"/>
        <v>0</v>
      </c>
      <c r="M1739" s="15">
        <f t="shared" ca="1" si="347"/>
        <v>341.8</v>
      </c>
      <c r="N1739" s="16">
        <f ca="1">SUM($M$9:M1739)/A1739</f>
        <v>337.22137492778745</v>
      </c>
    </row>
    <row r="1740" spans="1:14" x14ac:dyDescent="0.25">
      <c r="A1740" s="8">
        <v>1732</v>
      </c>
      <c r="B1740" s="9">
        <f t="shared" ca="1" si="339"/>
        <v>1709</v>
      </c>
      <c r="C1740" s="10">
        <f t="shared" ca="1" si="340"/>
        <v>0</v>
      </c>
      <c r="D1740" s="11">
        <f t="shared" ca="1" si="348"/>
        <v>0.42329002193586629</v>
      </c>
      <c r="E1740" s="9">
        <f t="shared" ca="1" si="349"/>
        <v>390</v>
      </c>
      <c r="F1740" s="9">
        <f t="shared" ca="1" si="341"/>
        <v>1319</v>
      </c>
      <c r="G1740" s="12" t="str">
        <f t="shared" ca="1" si="342"/>
        <v>No</v>
      </c>
      <c r="H1740" s="12">
        <f t="shared" ca="1" si="350"/>
        <v>0</v>
      </c>
      <c r="I1740" s="10">
        <f t="shared" ca="1" si="343"/>
        <v>0</v>
      </c>
      <c r="J1740" s="13">
        <f t="shared" ca="1" si="344"/>
        <v>0</v>
      </c>
      <c r="K1740" s="14">
        <f t="shared" ca="1" si="345"/>
        <v>263.8</v>
      </c>
      <c r="L1740" s="14">
        <f t="shared" ca="1" si="346"/>
        <v>0</v>
      </c>
      <c r="M1740" s="15">
        <f t="shared" ca="1" si="347"/>
        <v>263.8</v>
      </c>
      <c r="N1740" s="16">
        <f ca="1">SUM($M$9:M1740)/A1740</f>
        <v>337.17898383371829</v>
      </c>
    </row>
    <row r="1741" spans="1:14" x14ac:dyDescent="0.25">
      <c r="A1741" s="8">
        <v>1733</v>
      </c>
      <c r="B1741" s="9">
        <f t="shared" ca="1" si="339"/>
        <v>1319</v>
      </c>
      <c r="C1741" s="10">
        <f t="shared" ca="1" si="340"/>
        <v>0</v>
      </c>
      <c r="D1741" s="11">
        <f t="shared" ca="1" si="348"/>
        <v>0.50057383418962575</v>
      </c>
      <c r="E1741" s="9">
        <f t="shared" ca="1" si="349"/>
        <v>400</v>
      </c>
      <c r="F1741" s="9">
        <f t="shared" ca="1" si="341"/>
        <v>919</v>
      </c>
      <c r="G1741" s="12" t="str">
        <f t="shared" ca="1" si="342"/>
        <v>Yes</v>
      </c>
      <c r="H1741" s="12">
        <f t="shared" ca="1" si="350"/>
        <v>0.26229374781853887</v>
      </c>
      <c r="I1741" s="10">
        <f t="shared" ca="1" si="343"/>
        <v>1</v>
      </c>
      <c r="J1741" s="13">
        <f t="shared" ca="1" si="344"/>
        <v>300</v>
      </c>
      <c r="K1741" s="14">
        <f t="shared" ca="1" si="345"/>
        <v>183.8</v>
      </c>
      <c r="L1741" s="14">
        <f t="shared" ca="1" si="346"/>
        <v>0</v>
      </c>
      <c r="M1741" s="15">
        <f t="shared" ca="1" si="347"/>
        <v>483.8</v>
      </c>
      <c r="N1741" s="16">
        <f ca="1">SUM($M$9:M1741)/A1741</f>
        <v>337.26358915176007</v>
      </c>
    </row>
    <row r="1742" spans="1:14" x14ac:dyDescent="0.25">
      <c r="A1742" s="8">
        <v>1734</v>
      </c>
      <c r="B1742" s="9">
        <f t="shared" ca="1" si="339"/>
        <v>2719</v>
      </c>
      <c r="C1742" s="10">
        <f t="shared" ca="1" si="340"/>
        <v>1800</v>
      </c>
      <c r="D1742" s="11">
        <f t="shared" ca="1" si="348"/>
        <v>0.39164296140214716</v>
      </c>
      <c r="E1742" s="9">
        <f t="shared" ca="1" si="349"/>
        <v>386</v>
      </c>
      <c r="F1742" s="9">
        <f t="shared" ca="1" si="341"/>
        <v>2333</v>
      </c>
      <c r="G1742" s="12" t="str">
        <f t="shared" ca="1" si="342"/>
        <v>No</v>
      </c>
      <c r="H1742" s="12">
        <f t="shared" ca="1" si="350"/>
        <v>0</v>
      </c>
      <c r="I1742" s="10">
        <f t="shared" ca="1" si="343"/>
        <v>0</v>
      </c>
      <c r="J1742" s="13">
        <f t="shared" ca="1" si="344"/>
        <v>0</v>
      </c>
      <c r="K1742" s="14">
        <f t="shared" ca="1" si="345"/>
        <v>466.6</v>
      </c>
      <c r="L1742" s="14">
        <f t="shared" ca="1" si="346"/>
        <v>0</v>
      </c>
      <c r="M1742" s="15">
        <f t="shared" ca="1" si="347"/>
        <v>466.6</v>
      </c>
      <c r="N1742" s="16">
        <f ca="1">SUM($M$9:M1742)/A1742</f>
        <v>337.33817762399087</v>
      </c>
    </row>
    <row r="1743" spans="1:14" x14ac:dyDescent="0.25">
      <c r="A1743" s="8">
        <v>1735</v>
      </c>
      <c r="B1743" s="9">
        <f t="shared" ca="1" si="339"/>
        <v>2333</v>
      </c>
      <c r="C1743" s="10">
        <f t="shared" ca="1" si="340"/>
        <v>0</v>
      </c>
      <c r="D1743" s="11">
        <f t="shared" ca="1" si="348"/>
        <v>0.53749787986647213</v>
      </c>
      <c r="E1743" s="9">
        <f t="shared" ca="1" si="349"/>
        <v>404</v>
      </c>
      <c r="F1743" s="9">
        <f t="shared" ca="1" si="341"/>
        <v>1929</v>
      </c>
      <c r="G1743" s="12" t="str">
        <f t="shared" ca="1" si="342"/>
        <v>No</v>
      </c>
      <c r="H1743" s="12">
        <f t="shared" ca="1" si="350"/>
        <v>0</v>
      </c>
      <c r="I1743" s="10">
        <f t="shared" ca="1" si="343"/>
        <v>0</v>
      </c>
      <c r="J1743" s="13">
        <f t="shared" ca="1" si="344"/>
        <v>0</v>
      </c>
      <c r="K1743" s="14">
        <f t="shared" ca="1" si="345"/>
        <v>385.8</v>
      </c>
      <c r="L1743" s="14">
        <f t="shared" ca="1" si="346"/>
        <v>0</v>
      </c>
      <c r="M1743" s="15">
        <f t="shared" ca="1" si="347"/>
        <v>385.8</v>
      </c>
      <c r="N1743" s="16">
        <f ca="1">SUM($M$9:M1743)/A1743</f>
        <v>337.36610951008657</v>
      </c>
    </row>
    <row r="1744" spans="1:14" x14ac:dyDescent="0.25">
      <c r="A1744" s="8">
        <v>1736</v>
      </c>
      <c r="B1744" s="9">
        <f t="shared" ca="1" si="339"/>
        <v>1929</v>
      </c>
      <c r="C1744" s="10">
        <f t="shared" ca="1" si="340"/>
        <v>0</v>
      </c>
      <c r="D1744" s="11">
        <f t="shared" ca="1" si="348"/>
        <v>0.3663977682278392</v>
      </c>
      <c r="E1744" s="9">
        <f t="shared" ca="1" si="349"/>
        <v>382</v>
      </c>
      <c r="F1744" s="9">
        <f t="shared" ca="1" si="341"/>
        <v>1547</v>
      </c>
      <c r="G1744" s="12" t="str">
        <f t="shared" ca="1" si="342"/>
        <v>No</v>
      </c>
      <c r="H1744" s="12">
        <f t="shared" ca="1" si="350"/>
        <v>0</v>
      </c>
      <c r="I1744" s="10">
        <f t="shared" ca="1" si="343"/>
        <v>0</v>
      </c>
      <c r="J1744" s="13">
        <f t="shared" ca="1" si="344"/>
        <v>0</v>
      </c>
      <c r="K1744" s="14">
        <f t="shared" ca="1" si="345"/>
        <v>309.40000000000003</v>
      </c>
      <c r="L1744" s="14">
        <f t="shared" ca="1" si="346"/>
        <v>0</v>
      </c>
      <c r="M1744" s="15">
        <f t="shared" ca="1" si="347"/>
        <v>309.40000000000003</v>
      </c>
      <c r="N1744" s="16">
        <f ca="1">SUM($M$9:M1744)/A1744</f>
        <v>337.35000000000014</v>
      </c>
    </row>
    <row r="1745" spans="1:14" x14ac:dyDescent="0.25">
      <c r="A1745" s="8">
        <v>1737</v>
      </c>
      <c r="B1745" s="9">
        <f t="shared" ca="1" si="339"/>
        <v>1547</v>
      </c>
      <c r="C1745" s="10">
        <f t="shared" ca="1" si="340"/>
        <v>0</v>
      </c>
      <c r="D1745" s="11">
        <f t="shared" ca="1" si="348"/>
        <v>0.69728147451519151</v>
      </c>
      <c r="E1745" s="9">
        <f t="shared" ca="1" si="349"/>
        <v>425</v>
      </c>
      <c r="F1745" s="9">
        <f t="shared" ca="1" si="341"/>
        <v>1122</v>
      </c>
      <c r="G1745" s="12" t="str">
        <f t="shared" ca="1" si="342"/>
        <v>No</v>
      </c>
      <c r="H1745" s="12">
        <f t="shared" ca="1" si="350"/>
        <v>0</v>
      </c>
      <c r="I1745" s="10">
        <f t="shared" ca="1" si="343"/>
        <v>0</v>
      </c>
      <c r="J1745" s="13">
        <f t="shared" ca="1" si="344"/>
        <v>0</v>
      </c>
      <c r="K1745" s="14">
        <f t="shared" ca="1" si="345"/>
        <v>224.4</v>
      </c>
      <c r="L1745" s="14">
        <f t="shared" ca="1" si="346"/>
        <v>0</v>
      </c>
      <c r="M1745" s="15">
        <f t="shared" ca="1" si="347"/>
        <v>224.4</v>
      </c>
      <c r="N1745" s="16">
        <f ca="1">SUM($M$9:M1745)/A1745</f>
        <v>337.2849740932644</v>
      </c>
    </row>
    <row r="1746" spans="1:14" x14ac:dyDescent="0.25">
      <c r="A1746" s="8">
        <v>1738</v>
      </c>
      <c r="B1746" s="9">
        <f t="shared" ca="1" si="339"/>
        <v>1122</v>
      </c>
      <c r="C1746" s="10">
        <f t="shared" ca="1" si="340"/>
        <v>0</v>
      </c>
      <c r="D1746" s="11">
        <f t="shared" ca="1" si="348"/>
        <v>0.65040741032561855</v>
      </c>
      <c r="E1746" s="9">
        <f t="shared" ca="1" si="349"/>
        <v>419</v>
      </c>
      <c r="F1746" s="9">
        <f t="shared" ca="1" si="341"/>
        <v>703</v>
      </c>
      <c r="G1746" s="12" t="str">
        <f t="shared" ca="1" si="342"/>
        <v>Yes</v>
      </c>
      <c r="H1746" s="12">
        <f t="shared" ca="1" si="350"/>
        <v>0.33721164823145533</v>
      </c>
      <c r="I1746" s="10">
        <f t="shared" ca="1" si="343"/>
        <v>1</v>
      </c>
      <c r="J1746" s="13">
        <f t="shared" ca="1" si="344"/>
        <v>300</v>
      </c>
      <c r="K1746" s="14">
        <f t="shared" ca="1" si="345"/>
        <v>140.6</v>
      </c>
      <c r="L1746" s="14">
        <f t="shared" ca="1" si="346"/>
        <v>0</v>
      </c>
      <c r="M1746" s="15">
        <f t="shared" ca="1" si="347"/>
        <v>440.6</v>
      </c>
      <c r="N1746" s="16">
        <f ca="1">SUM($M$9:M1746)/A1746</f>
        <v>337.34441887226711</v>
      </c>
    </row>
    <row r="1747" spans="1:14" x14ac:dyDescent="0.25">
      <c r="A1747" s="8">
        <v>1739</v>
      </c>
      <c r="B1747" s="9">
        <f t="shared" ca="1" si="339"/>
        <v>2503</v>
      </c>
      <c r="C1747" s="10">
        <f t="shared" ca="1" si="340"/>
        <v>1800</v>
      </c>
      <c r="D1747" s="11">
        <f t="shared" ca="1" si="348"/>
        <v>0.37553521102584353</v>
      </c>
      <c r="E1747" s="9">
        <f t="shared" ca="1" si="349"/>
        <v>384</v>
      </c>
      <c r="F1747" s="9">
        <f t="shared" ca="1" si="341"/>
        <v>2119</v>
      </c>
      <c r="G1747" s="12" t="str">
        <f t="shared" ca="1" si="342"/>
        <v>No</v>
      </c>
      <c r="H1747" s="12">
        <f t="shared" ca="1" si="350"/>
        <v>0</v>
      </c>
      <c r="I1747" s="10">
        <f t="shared" ca="1" si="343"/>
        <v>0</v>
      </c>
      <c r="J1747" s="13">
        <f t="shared" ca="1" si="344"/>
        <v>0</v>
      </c>
      <c r="K1747" s="14">
        <f t="shared" ca="1" si="345"/>
        <v>423.8</v>
      </c>
      <c r="L1747" s="14">
        <f t="shared" ca="1" si="346"/>
        <v>0</v>
      </c>
      <c r="M1747" s="15">
        <f t="shared" ca="1" si="347"/>
        <v>423.8</v>
      </c>
      <c r="N1747" s="16">
        <f ca="1">SUM($M$9:M1747)/A1747</f>
        <v>337.39413456009214</v>
      </c>
    </row>
    <row r="1748" spans="1:14" x14ac:dyDescent="0.25">
      <c r="A1748" s="8">
        <v>1740</v>
      </c>
      <c r="B1748" s="9">
        <f t="shared" ca="1" si="339"/>
        <v>2119</v>
      </c>
      <c r="C1748" s="10">
        <f t="shared" ca="1" si="340"/>
        <v>0</v>
      </c>
      <c r="D1748" s="11">
        <f t="shared" ca="1" si="348"/>
        <v>0.73678542997245544</v>
      </c>
      <c r="E1748" s="9">
        <f t="shared" ca="1" si="349"/>
        <v>431</v>
      </c>
      <c r="F1748" s="9">
        <f t="shared" ca="1" si="341"/>
        <v>1688</v>
      </c>
      <c r="G1748" s="12" t="str">
        <f t="shared" ca="1" si="342"/>
        <v>No</v>
      </c>
      <c r="H1748" s="12">
        <f t="shared" ca="1" si="350"/>
        <v>0</v>
      </c>
      <c r="I1748" s="10">
        <f t="shared" ca="1" si="343"/>
        <v>0</v>
      </c>
      <c r="J1748" s="13">
        <f t="shared" ca="1" si="344"/>
        <v>0</v>
      </c>
      <c r="K1748" s="14">
        <f t="shared" ca="1" si="345"/>
        <v>337.6</v>
      </c>
      <c r="L1748" s="14">
        <f t="shared" ca="1" si="346"/>
        <v>0</v>
      </c>
      <c r="M1748" s="15">
        <f t="shared" ca="1" si="347"/>
        <v>337.6</v>
      </c>
      <c r="N1748" s="16">
        <f ca="1">SUM($M$9:M1748)/A1748</f>
        <v>337.39425287356335</v>
      </c>
    </row>
    <row r="1749" spans="1:14" x14ac:dyDescent="0.25">
      <c r="A1749" s="8">
        <v>1741</v>
      </c>
      <c r="B1749" s="9">
        <f t="shared" ca="1" si="339"/>
        <v>1688</v>
      </c>
      <c r="C1749" s="10">
        <f t="shared" ca="1" si="340"/>
        <v>0</v>
      </c>
      <c r="D1749" s="11">
        <f t="shared" ca="1" si="348"/>
        <v>4.783845756848959E-2</v>
      </c>
      <c r="E1749" s="9">
        <f t="shared" ca="1" si="349"/>
        <v>316</v>
      </c>
      <c r="F1749" s="9">
        <f t="shared" ca="1" si="341"/>
        <v>1372</v>
      </c>
      <c r="G1749" s="12" t="str">
        <f t="shared" ca="1" si="342"/>
        <v>No</v>
      </c>
      <c r="H1749" s="12">
        <f t="shared" ca="1" si="350"/>
        <v>0</v>
      </c>
      <c r="I1749" s="10">
        <f t="shared" ca="1" si="343"/>
        <v>0</v>
      </c>
      <c r="J1749" s="13">
        <f t="shared" ca="1" si="344"/>
        <v>0</v>
      </c>
      <c r="K1749" s="14">
        <f t="shared" ca="1" si="345"/>
        <v>274.40000000000003</v>
      </c>
      <c r="L1749" s="14">
        <f t="shared" ca="1" si="346"/>
        <v>0</v>
      </c>
      <c r="M1749" s="15">
        <f t="shared" ca="1" si="347"/>
        <v>274.40000000000003</v>
      </c>
      <c r="N1749" s="16">
        <f ca="1">SUM($M$9:M1749)/A1749</f>
        <v>337.35807007466985</v>
      </c>
    </row>
    <row r="1750" spans="1:14" x14ac:dyDescent="0.25">
      <c r="A1750" s="8">
        <v>1742</v>
      </c>
      <c r="B1750" s="9">
        <f t="shared" ca="1" si="339"/>
        <v>1372</v>
      </c>
      <c r="C1750" s="10">
        <f t="shared" ca="1" si="340"/>
        <v>0</v>
      </c>
      <c r="D1750" s="11">
        <f t="shared" ca="1" si="348"/>
        <v>0.57080729689693432</v>
      </c>
      <c r="E1750" s="9">
        <f t="shared" ca="1" si="349"/>
        <v>408</v>
      </c>
      <c r="F1750" s="9">
        <f t="shared" ca="1" si="341"/>
        <v>964</v>
      </c>
      <c r="G1750" s="12" t="str">
        <f t="shared" ca="1" si="342"/>
        <v>Yes</v>
      </c>
      <c r="H1750" s="12">
        <f t="shared" ca="1" si="350"/>
        <v>0.38155343220958782</v>
      </c>
      <c r="I1750" s="10">
        <f t="shared" ca="1" si="343"/>
        <v>1</v>
      </c>
      <c r="J1750" s="13">
        <f t="shared" ca="1" si="344"/>
        <v>300</v>
      </c>
      <c r="K1750" s="14">
        <f t="shared" ca="1" si="345"/>
        <v>192.8</v>
      </c>
      <c r="L1750" s="14">
        <f t="shared" ca="1" si="346"/>
        <v>0</v>
      </c>
      <c r="M1750" s="15">
        <f t="shared" ca="1" si="347"/>
        <v>492.8</v>
      </c>
      <c r="N1750" s="16">
        <f ca="1">SUM($M$9:M1750)/A1750</f>
        <v>337.44730195177976</v>
      </c>
    </row>
    <row r="1751" spans="1:14" x14ac:dyDescent="0.25">
      <c r="A1751" s="8">
        <v>1743</v>
      </c>
      <c r="B1751" s="9">
        <f t="shared" ca="1" si="339"/>
        <v>2764</v>
      </c>
      <c r="C1751" s="10">
        <f t="shared" ca="1" si="340"/>
        <v>1800</v>
      </c>
      <c r="D1751" s="11">
        <f t="shared" ca="1" si="348"/>
        <v>5.8659646887556094E-2</v>
      </c>
      <c r="E1751" s="9">
        <f t="shared" ca="1" si="349"/>
        <v>321</v>
      </c>
      <c r="F1751" s="9">
        <f t="shared" ca="1" si="341"/>
        <v>2443</v>
      </c>
      <c r="G1751" s="12" t="str">
        <f t="shared" ca="1" si="342"/>
        <v>No</v>
      </c>
      <c r="H1751" s="12">
        <f t="shared" ca="1" si="350"/>
        <v>0</v>
      </c>
      <c r="I1751" s="10">
        <f t="shared" ca="1" si="343"/>
        <v>0</v>
      </c>
      <c r="J1751" s="13">
        <f t="shared" ca="1" si="344"/>
        <v>0</v>
      </c>
      <c r="K1751" s="14">
        <f t="shared" ca="1" si="345"/>
        <v>488.6</v>
      </c>
      <c r="L1751" s="14">
        <f t="shared" ca="1" si="346"/>
        <v>0</v>
      </c>
      <c r="M1751" s="15">
        <f t="shared" ca="1" si="347"/>
        <v>488.6</v>
      </c>
      <c r="N1751" s="16">
        <f ca="1">SUM($M$9:M1751)/A1751</f>
        <v>337.53402180149186</v>
      </c>
    </row>
    <row r="1752" spans="1:14" x14ac:dyDescent="0.25">
      <c r="A1752" s="8">
        <v>1744</v>
      </c>
      <c r="B1752" s="9">
        <f t="shared" ca="1" si="339"/>
        <v>2443</v>
      </c>
      <c r="C1752" s="10">
        <f t="shared" ca="1" si="340"/>
        <v>0</v>
      </c>
      <c r="D1752" s="11">
        <f t="shared" ca="1" si="348"/>
        <v>0.96176915338020341</v>
      </c>
      <c r="E1752" s="9">
        <f t="shared" ca="1" si="349"/>
        <v>488</v>
      </c>
      <c r="F1752" s="9">
        <f t="shared" ca="1" si="341"/>
        <v>1955</v>
      </c>
      <c r="G1752" s="12" t="str">
        <f t="shared" ca="1" si="342"/>
        <v>No</v>
      </c>
      <c r="H1752" s="12">
        <f t="shared" ca="1" si="350"/>
        <v>0</v>
      </c>
      <c r="I1752" s="10">
        <f t="shared" ca="1" si="343"/>
        <v>0</v>
      </c>
      <c r="J1752" s="13">
        <f t="shared" ca="1" si="344"/>
        <v>0</v>
      </c>
      <c r="K1752" s="14">
        <f t="shared" ca="1" si="345"/>
        <v>391</v>
      </c>
      <c r="L1752" s="14">
        <f t="shared" ca="1" si="346"/>
        <v>0</v>
      </c>
      <c r="M1752" s="15">
        <f t="shared" ca="1" si="347"/>
        <v>391</v>
      </c>
      <c r="N1752" s="16">
        <f ca="1">SUM($M$9:M1752)/A1752</f>
        <v>337.56467889908271</v>
      </c>
    </row>
    <row r="1753" spans="1:14" x14ac:dyDescent="0.25">
      <c r="A1753" s="8">
        <v>1745</v>
      </c>
      <c r="B1753" s="9">
        <f t="shared" ca="1" si="339"/>
        <v>1955</v>
      </c>
      <c r="C1753" s="10">
        <f t="shared" ca="1" si="340"/>
        <v>0</v>
      </c>
      <c r="D1753" s="11">
        <f t="shared" ca="1" si="348"/>
        <v>0.85015584893794838</v>
      </c>
      <c r="E1753" s="9">
        <f t="shared" ca="1" si="349"/>
        <v>451</v>
      </c>
      <c r="F1753" s="9">
        <f t="shared" ca="1" si="341"/>
        <v>1504</v>
      </c>
      <c r="G1753" s="12" t="str">
        <f t="shared" ca="1" si="342"/>
        <v>No</v>
      </c>
      <c r="H1753" s="12">
        <f t="shared" ca="1" si="350"/>
        <v>0</v>
      </c>
      <c r="I1753" s="10">
        <f t="shared" ca="1" si="343"/>
        <v>0</v>
      </c>
      <c r="J1753" s="13">
        <f t="shared" ca="1" si="344"/>
        <v>0</v>
      </c>
      <c r="K1753" s="14">
        <f t="shared" ca="1" si="345"/>
        <v>300.8</v>
      </c>
      <c r="L1753" s="14">
        <f t="shared" ca="1" si="346"/>
        <v>0</v>
      </c>
      <c r="M1753" s="15">
        <f t="shared" ca="1" si="347"/>
        <v>300.8</v>
      </c>
      <c r="N1753" s="16">
        <f ca="1">SUM($M$9:M1753)/A1753</f>
        <v>337.54361031518641</v>
      </c>
    </row>
    <row r="1754" spans="1:14" x14ac:dyDescent="0.25">
      <c r="A1754" s="8">
        <v>1746</v>
      </c>
      <c r="B1754" s="9">
        <f t="shared" ca="1" si="339"/>
        <v>1504</v>
      </c>
      <c r="C1754" s="10">
        <f t="shared" ca="1" si="340"/>
        <v>0</v>
      </c>
      <c r="D1754" s="11">
        <f t="shared" ca="1" si="348"/>
        <v>0.8008447638702757</v>
      </c>
      <c r="E1754" s="9">
        <f t="shared" ca="1" si="349"/>
        <v>442</v>
      </c>
      <c r="F1754" s="9">
        <f t="shared" ca="1" si="341"/>
        <v>1062</v>
      </c>
      <c r="G1754" s="12" t="str">
        <f t="shared" ca="1" si="342"/>
        <v>No</v>
      </c>
      <c r="H1754" s="12">
        <f t="shared" ca="1" si="350"/>
        <v>0</v>
      </c>
      <c r="I1754" s="10">
        <f t="shared" ca="1" si="343"/>
        <v>0</v>
      </c>
      <c r="J1754" s="13">
        <f t="shared" ca="1" si="344"/>
        <v>0</v>
      </c>
      <c r="K1754" s="14">
        <f t="shared" ca="1" si="345"/>
        <v>212.4</v>
      </c>
      <c r="L1754" s="14">
        <f t="shared" ca="1" si="346"/>
        <v>0</v>
      </c>
      <c r="M1754" s="15">
        <f t="shared" ca="1" si="347"/>
        <v>212.4</v>
      </c>
      <c r="N1754" s="16">
        <f ca="1">SUM($M$9:M1754)/A1754</f>
        <v>337.47193585337936</v>
      </c>
    </row>
    <row r="1755" spans="1:14" x14ac:dyDescent="0.25">
      <c r="A1755" s="8">
        <v>1747</v>
      </c>
      <c r="B1755" s="9">
        <f t="shared" ca="1" si="339"/>
        <v>1062</v>
      </c>
      <c r="C1755" s="10">
        <f t="shared" ca="1" si="340"/>
        <v>0</v>
      </c>
      <c r="D1755" s="11">
        <f t="shared" ca="1" si="348"/>
        <v>0.99836129665481443</v>
      </c>
      <c r="E1755" s="9">
        <f t="shared" ca="1" si="349"/>
        <v>547</v>
      </c>
      <c r="F1755" s="9">
        <f t="shared" ca="1" si="341"/>
        <v>515</v>
      </c>
      <c r="G1755" s="12" t="str">
        <f t="shared" ca="1" si="342"/>
        <v>Yes</v>
      </c>
      <c r="H1755" s="12">
        <f t="shared" ca="1" si="350"/>
        <v>0.74057547620900921</v>
      </c>
      <c r="I1755" s="10">
        <f t="shared" ca="1" si="343"/>
        <v>2</v>
      </c>
      <c r="J1755" s="13">
        <f t="shared" ca="1" si="344"/>
        <v>300</v>
      </c>
      <c r="K1755" s="14">
        <f t="shared" ca="1" si="345"/>
        <v>103</v>
      </c>
      <c r="L1755" s="14">
        <f t="shared" ca="1" si="346"/>
        <v>0</v>
      </c>
      <c r="M1755" s="15">
        <f t="shared" ca="1" si="347"/>
        <v>403</v>
      </c>
      <c r="N1755" s="16">
        <f ca="1">SUM($M$9:M1755)/A1755</f>
        <v>337.50944476245013</v>
      </c>
    </row>
    <row r="1756" spans="1:14" x14ac:dyDescent="0.25">
      <c r="A1756" s="8">
        <v>1748</v>
      </c>
      <c r="B1756" s="9">
        <f t="shared" ca="1" si="339"/>
        <v>515</v>
      </c>
      <c r="C1756" s="10">
        <f t="shared" ca="1" si="340"/>
        <v>0</v>
      </c>
      <c r="D1756" s="11">
        <f t="shared" ca="1" si="348"/>
        <v>5.9719912950254139E-2</v>
      </c>
      <c r="E1756" s="9">
        <f t="shared" ca="1" si="349"/>
        <v>322</v>
      </c>
      <c r="F1756" s="9">
        <f t="shared" ca="1" si="341"/>
        <v>193</v>
      </c>
      <c r="G1756" s="12" t="str">
        <f t="shared" ca="1" si="342"/>
        <v>No</v>
      </c>
      <c r="H1756" s="12">
        <f t="shared" ca="1" si="350"/>
        <v>0</v>
      </c>
      <c r="I1756" s="10">
        <f t="shared" ca="1" si="343"/>
        <v>1</v>
      </c>
      <c r="J1756" s="13">
        <f t="shared" ca="1" si="344"/>
        <v>0</v>
      </c>
      <c r="K1756" s="14">
        <f t="shared" ca="1" si="345"/>
        <v>38.6</v>
      </c>
      <c r="L1756" s="14">
        <f t="shared" ca="1" si="346"/>
        <v>0</v>
      </c>
      <c r="M1756" s="15">
        <f t="shared" ca="1" si="347"/>
        <v>38.6</v>
      </c>
      <c r="N1756" s="16">
        <f ca="1">SUM($M$9:M1756)/A1756</f>
        <v>337.33844393592693</v>
      </c>
    </row>
    <row r="1757" spans="1:14" x14ac:dyDescent="0.25">
      <c r="A1757" s="8">
        <v>1749</v>
      </c>
      <c r="B1757" s="9">
        <f t="shared" ca="1" si="339"/>
        <v>1993</v>
      </c>
      <c r="C1757" s="10">
        <f t="shared" ca="1" si="340"/>
        <v>1800</v>
      </c>
      <c r="D1757" s="11">
        <f t="shared" ca="1" si="348"/>
        <v>0.95245877908581011</v>
      </c>
      <c r="E1757" s="9">
        <f t="shared" ca="1" si="349"/>
        <v>483</v>
      </c>
      <c r="F1757" s="9">
        <f t="shared" ca="1" si="341"/>
        <v>1510</v>
      </c>
      <c r="G1757" s="12" t="str">
        <f t="shared" ca="1" si="342"/>
        <v>No</v>
      </c>
      <c r="H1757" s="12">
        <f t="shared" ca="1" si="350"/>
        <v>0</v>
      </c>
      <c r="I1757" s="10">
        <f t="shared" ca="1" si="343"/>
        <v>0</v>
      </c>
      <c r="J1757" s="13">
        <f t="shared" ca="1" si="344"/>
        <v>0</v>
      </c>
      <c r="K1757" s="14">
        <f t="shared" ca="1" si="345"/>
        <v>302</v>
      </c>
      <c r="L1757" s="14">
        <f t="shared" ca="1" si="346"/>
        <v>0</v>
      </c>
      <c r="M1757" s="15">
        <f t="shared" ca="1" si="347"/>
        <v>302</v>
      </c>
      <c r="N1757" s="16">
        <f ca="1">SUM($M$9:M1757)/A1757</f>
        <v>337.31823899371091</v>
      </c>
    </row>
    <row r="1758" spans="1:14" x14ac:dyDescent="0.25">
      <c r="A1758" s="8">
        <v>1750</v>
      </c>
      <c r="B1758" s="9">
        <f t="shared" ca="1" si="339"/>
        <v>1510</v>
      </c>
      <c r="C1758" s="10">
        <f t="shared" ca="1" si="340"/>
        <v>0</v>
      </c>
      <c r="D1758" s="11">
        <f t="shared" ca="1" si="348"/>
        <v>0.4943122048782741</v>
      </c>
      <c r="E1758" s="9">
        <f t="shared" ca="1" si="349"/>
        <v>399</v>
      </c>
      <c r="F1758" s="9">
        <f t="shared" ca="1" si="341"/>
        <v>1111</v>
      </c>
      <c r="G1758" s="12" t="str">
        <f t="shared" ca="1" si="342"/>
        <v>No</v>
      </c>
      <c r="H1758" s="12">
        <f t="shared" ca="1" si="350"/>
        <v>0</v>
      </c>
      <c r="I1758" s="10">
        <f t="shared" ca="1" si="343"/>
        <v>0</v>
      </c>
      <c r="J1758" s="13">
        <f t="shared" ca="1" si="344"/>
        <v>0</v>
      </c>
      <c r="K1758" s="14">
        <f t="shared" ca="1" si="345"/>
        <v>222.20000000000002</v>
      </c>
      <c r="L1758" s="14">
        <f t="shared" ca="1" si="346"/>
        <v>0</v>
      </c>
      <c r="M1758" s="15">
        <f t="shared" ca="1" si="347"/>
        <v>222.20000000000002</v>
      </c>
      <c r="N1758" s="16">
        <f ca="1">SUM($M$9:M1758)/A1758</f>
        <v>337.25245714285728</v>
      </c>
    </row>
    <row r="1759" spans="1:14" x14ac:dyDescent="0.25">
      <c r="A1759" s="8">
        <v>1751</v>
      </c>
      <c r="B1759" s="9">
        <f t="shared" ca="1" si="339"/>
        <v>1111</v>
      </c>
      <c r="C1759" s="10">
        <f t="shared" ca="1" si="340"/>
        <v>0</v>
      </c>
      <c r="D1759" s="11">
        <f t="shared" ca="1" si="348"/>
        <v>0.90878597207399858</v>
      </c>
      <c r="E1759" s="9">
        <f t="shared" ca="1" si="349"/>
        <v>466</v>
      </c>
      <c r="F1759" s="9">
        <f t="shared" ca="1" si="341"/>
        <v>645</v>
      </c>
      <c r="G1759" s="12" t="str">
        <f t="shared" ca="1" si="342"/>
        <v>Yes</v>
      </c>
      <c r="H1759" s="12">
        <f t="shared" ca="1" si="350"/>
        <v>0.44949843194276762</v>
      </c>
      <c r="I1759" s="10">
        <f t="shared" ca="1" si="343"/>
        <v>1</v>
      </c>
      <c r="J1759" s="13">
        <f t="shared" ca="1" si="344"/>
        <v>300</v>
      </c>
      <c r="K1759" s="14">
        <f t="shared" ca="1" si="345"/>
        <v>129</v>
      </c>
      <c r="L1759" s="14">
        <f t="shared" ca="1" si="346"/>
        <v>0</v>
      </c>
      <c r="M1759" s="15">
        <f t="shared" ca="1" si="347"/>
        <v>429</v>
      </c>
      <c r="N1759" s="16">
        <f ca="1">SUM($M$9:M1759)/A1759</f>
        <v>337.30485436893218</v>
      </c>
    </row>
    <row r="1760" spans="1:14" x14ac:dyDescent="0.25">
      <c r="A1760" s="8">
        <v>1752</v>
      </c>
      <c r="B1760" s="9">
        <f t="shared" ca="1" si="339"/>
        <v>2445</v>
      </c>
      <c r="C1760" s="10">
        <f t="shared" ca="1" si="340"/>
        <v>1800</v>
      </c>
      <c r="D1760" s="11">
        <f t="shared" ca="1" si="348"/>
        <v>0.55799423189818831</v>
      </c>
      <c r="E1760" s="9">
        <f t="shared" ca="1" si="349"/>
        <v>407</v>
      </c>
      <c r="F1760" s="9">
        <f t="shared" ca="1" si="341"/>
        <v>2038</v>
      </c>
      <c r="G1760" s="12" t="str">
        <f t="shared" ca="1" si="342"/>
        <v>No</v>
      </c>
      <c r="H1760" s="12">
        <f t="shared" ca="1" si="350"/>
        <v>0</v>
      </c>
      <c r="I1760" s="10">
        <f t="shared" ca="1" si="343"/>
        <v>0</v>
      </c>
      <c r="J1760" s="13">
        <f t="shared" ca="1" si="344"/>
        <v>0</v>
      </c>
      <c r="K1760" s="14">
        <f t="shared" ca="1" si="345"/>
        <v>407.6</v>
      </c>
      <c r="L1760" s="14">
        <f t="shared" ca="1" si="346"/>
        <v>0</v>
      </c>
      <c r="M1760" s="15">
        <f t="shared" ca="1" si="347"/>
        <v>407.6</v>
      </c>
      <c r="N1760" s="16">
        <f ca="1">SUM($M$9:M1760)/A1760</f>
        <v>337.34497716894992</v>
      </c>
    </row>
    <row r="1761" spans="1:14" x14ac:dyDescent="0.25">
      <c r="A1761" s="8">
        <v>1753</v>
      </c>
      <c r="B1761" s="9">
        <f t="shared" ca="1" si="339"/>
        <v>2038</v>
      </c>
      <c r="C1761" s="10">
        <f t="shared" ca="1" si="340"/>
        <v>0</v>
      </c>
      <c r="D1761" s="11">
        <f t="shared" ca="1" si="348"/>
        <v>0.84000975650226606</v>
      </c>
      <c r="E1761" s="9">
        <f t="shared" ca="1" si="349"/>
        <v>449</v>
      </c>
      <c r="F1761" s="9">
        <f t="shared" ca="1" si="341"/>
        <v>1589</v>
      </c>
      <c r="G1761" s="12" t="str">
        <f t="shared" ca="1" si="342"/>
        <v>No</v>
      </c>
      <c r="H1761" s="12">
        <f t="shared" ca="1" si="350"/>
        <v>0</v>
      </c>
      <c r="I1761" s="10">
        <f t="shared" ca="1" si="343"/>
        <v>0</v>
      </c>
      <c r="J1761" s="13">
        <f t="shared" ca="1" si="344"/>
        <v>0</v>
      </c>
      <c r="K1761" s="14">
        <f t="shared" ca="1" si="345"/>
        <v>317.8</v>
      </c>
      <c r="L1761" s="14">
        <f t="shared" ca="1" si="346"/>
        <v>0</v>
      </c>
      <c r="M1761" s="15">
        <f t="shared" ca="1" si="347"/>
        <v>317.8</v>
      </c>
      <c r="N1761" s="16">
        <f ca="1">SUM($M$9:M1761)/A1761</f>
        <v>337.33382772390206</v>
      </c>
    </row>
    <row r="1762" spans="1:14" x14ac:dyDescent="0.25">
      <c r="A1762" s="8">
        <v>1754</v>
      </c>
      <c r="B1762" s="9">
        <f t="shared" ca="1" si="339"/>
        <v>1589</v>
      </c>
      <c r="C1762" s="10">
        <f t="shared" ca="1" si="340"/>
        <v>0</v>
      </c>
      <c r="D1762" s="11">
        <f t="shared" ca="1" si="348"/>
        <v>3.4702188014205215E-2</v>
      </c>
      <c r="E1762" s="9">
        <f t="shared" ca="1" si="349"/>
        <v>309</v>
      </c>
      <c r="F1762" s="9">
        <f t="shared" ca="1" si="341"/>
        <v>1280</v>
      </c>
      <c r="G1762" s="12" t="str">
        <f t="shared" ca="1" si="342"/>
        <v>No</v>
      </c>
      <c r="H1762" s="12">
        <f t="shared" ca="1" si="350"/>
        <v>0</v>
      </c>
      <c r="I1762" s="10">
        <f t="shared" ca="1" si="343"/>
        <v>0</v>
      </c>
      <c r="J1762" s="13">
        <f t="shared" ca="1" si="344"/>
        <v>0</v>
      </c>
      <c r="K1762" s="14">
        <f t="shared" ca="1" si="345"/>
        <v>256</v>
      </c>
      <c r="L1762" s="14">
        <f t="shared" ca="1" si="346"/>
        <v>0</v>
      </c>
      <c r="M1762" s="15">
        <f t="shared" ca="1" si="347"/>
        <v>256</v>
      </c>
      <c r="N1762" s="16">
        <f ca="1">SUM($M$9:M1762)/A1762</f>
        <v>337.28745724059308</v>
      </c>
    </row>
    <row r="1763" spans="1:14" x14ac:dyDescent="0.25">
      <c r="A1763" s="8">
        <v>1755</v>
      </c>
      <c r="B1763" s="9">
        <f t="shared" ca="1" si="339"/>
        <v>1280</v>
      </c>
      <c r="C1763" s="10">
        <f t="shared" ca="1" si="340"/>
        <v>0</v>
      </c>
      <c r="D1763" s="11">
        <f t="shared" ca="1" si="348"/>
        <v>0.60509299903182523</v>
      </c>
      <c r="E1763" s="9">
        <f t="shared" ca="1" si="349"/>
        <v>413</v>
      </c>
      <c r="F1763" s="9">
        <f t="shared" ca="1" si="341"/>
        <v>867</v>
      </c>
      <c r="G1763" s="12" t="str">
        <f t="shared" ca="1" si="342"/>
        <v>Yes</v>
      </c>
      <c r="H1763" s="12">
        <f t="shared" ca="1" si="350"/>
        <v>0.21336957966704351</v>
      </c>
      <c r="I1763" s="10">
        <f t="shared" ca="1" si="343"/>
        <v>1</v>
      </c>
      <c r="J1763" s="13">
        <f t="shared" ca="1" si="344"/>
        <v>300</v>
      </c>
      <c r="K1763" s="14">
        <f t="shared" ca="1" si="345"/>
        <v>173.4</v>
      </c>
      <c r="L1763" s="14">
        <f t="shared" ca="1" si="346"/>
        <v>0</v>
      </c>
      <c r="M1763" s="15">
        <f t="shared" ca="1" si="347"/>
        <v>473.4</v>
      </c>
      <c r="N1763" s="16">
        <f ca="1">SUM($M$9:M1763)/A1763</f>
        <v>337.36501424501444</v>
      </c>
    </row>
    <row r="1764" spans="1:14" x14ac:dyDescent="0.25">
      <c r="A1764" s="8">
        <v>1756</v>
      </c>
      <c r="B1764" s="9">
        <f t="shared" ca="1" si="339"/>
        <v>2667</v>
      </c>
      <c r="C1764" s="10">
        <f t="shared" ca="1" si="340"/>
        <v>1800</v>
      </c>
      <c r="D1764" s="11">
        <f t="shared" ca="1" si="348"/>
        <v>0.34421347971094685</v>
      </c>
      <c r="E1764" s="9">
        <f t="shared" ca="1" si="349"/>
        <v>379</v>
      </c>
      <c r="F1764" s="9">
        <f t="shared" ca="1" si="341"/>
        <v>2288</v>
      </c>
      <c r="G1764" s="12" t="str">
        <f t="shared" ca="1" si="342"/>
        <v>No</v>
      </c>
      <c r="H1764" s="12">
        <f t="shared" ca="1" si="350"/>
        <v>0</v>
      </c>
      <c r="I1764" s="10">
        <f t="shared" ca="1" si="343"/>
        <v>0</v>
      </c>
      <c r="J1764" s="13">
        <f t="shared" ca="1" si="344"/>
        <v>0</v>
      </c>
      <c r="K1764" s="14">
        <f t="shared" ca="1" si="345"/>
        <v>457.6</v>
      </c>
      <c r="L1764" s="14">
        <f t="shared" ca="1" si="346"/>
        <v>0</v>
      </c>
      <c r="M1764" s="15">
        <f t="shared" ca="1" si="347"/>
        <v>457.6</v>
      </c>
      <c r="N1764" s="16">
        <f ca="1">SUM($M$9:M1764)/A1764</f>
        <v>337.43348519362206</v>
      </c>
    </row>
    <row r="1765" spans="1:14" x14ac:dyDescent="0.25">
      <c r="A1765" s="8">
        <v>1757</v>
      </c>
      <c r="B1765" s="9">
        <f t="shared" ca="1" si="339"/>
        <v>2288</v>
      </c>
      <c r="C1765" s="10">
        <f t="shared" ca="1" si="340"/>
        <v>0</v>
      </c>
      <c r="D1765" s="11">
        <f t="shared" ca="1" si="348"/>
        <v>0.71739566715576997</v>
      </c>
      <c r="E1765" s="9">
        <f t="shared" ca="1" si="349"/>
        <v>428</v>
      </c>
      <c r="F1765" s="9">
        <f t="shared" ca="1" si="341"/>
        <v>1860</v>
      </c>
      <c r="G1765" s="12" t="str">
        <f t="shared" ca="1" si="342"/>
        <v>No</v>
      </c>
      <c r="H1765" s="12">
        <f t="shared" ca="1" si="350"/>
        <v>0</v>
      </c>
      <c r="I1765" s="10">
        <f t="shared" ca="1" si="343"/>
        <v>0</v>
      </c>
      <c r="J1765" s="13">
        <f t="shared" ca="1" si="344"/>
        <v>0</v>
      </c>
      <c r="K1765" s="14">
        <f t="shared" ca="1" si="345"/>
        <v>372</v>
      </c>
      <c r="L1765" s="14">
        <f t="shared" ca="1" si="346"/>
        <v>0</v>
      </c>
      <c r="M1765" s="15">
        <f t="shared" ca="1" si="347"/>
        <v>372</v>
      </c>
      <c r="N1765" s="16">
        <f ca="1">SUM($M$9:M1765)/A1765</f>
        <v>337.45315879339802</v>
      </c>
    </row>
    <row r="1766" spans="1:14" x14ac:dyDescent="0.25">
      <c r="A1766" s="8">
        <v>1758</v>
      </c>
      <c r="B1766" s="9">
        <f t="shared" ca="1" si="339"/>
        <v>1860</v>
      </c>
      <c r="C1766" s="10">
        <f t="shared" ca="1" si="340"/>
        <v>0</v>
      </c>
      <c r="D1766" s="11">
        <f t="shared" ca="1" si="348"/>
        <v>0.84754703964169675</v>
      </c>
      <c r="E1766" s="9">
        <f t="shared" ca="1" si="349"/>
        <v>451</v>
      </c>
      <c r="F1766" s="9">
        <f t="shared" ca="1" si="341"/>
        <v>1409</v>
      </c>
      <c r="G1766" s="12" t="str">
        <f t="shared" ca="1" si="342"/>
        <v>No</v>
      </c>
      <c r="H1766" s="12">
        <f t="shared" ca="1" si="350"/>
        <v>0</v>
      </c>
      <c r="I1766" s="10">
        <f t="shared" ca="1" si="343"/>
        <v>0</v>
      </c>
      <c r="J1766" s="13">
        <f t="shared" ca="1" si="344"/>
        <v>0</v>
      </c>
      <c r="K1766" s="14">
        <f t="shared" ca="1" si="345"/>
        <v>281.8</v>
      </c>
      <c r="L1766" s="14">
        <f t="shared" ca="1" si="346"/>
        <v>0</v>
      </c>
      <c r="M1766" s="15">
        <f t="shared" ca="1" si="347"/>
        <v>281.8</v>
      </c>
      <c r="N1766" s="16">
        <f ca="1">SUM($M$9:M1766)/A1766</f>
        <v>337.42150170648483</v>
      </c>
    </row>
    <row r="1767" spans="1:14" x14ac:dyDescent="0.25">
      <c r="A1767" s="8">
        <v>1759</v>
      </c>
      <c r="B1767" s="9">
        <f t="shared" ca="1" si="339"/>
        <v>1409</v>
      </c>
      <c r="C1767" s="10">
        <f t="shared" ca="1" si="340"/>
        <v>0</v>
      </c>
      <c r="D1767" s="11">
        <f t="shared" ca="1" si="348"/>
        <v>1.4193543267689179E-2</v>
      </c>
      <c r="E1767" s="9">
        <f t="shared" ca="1" si="349"/>
        <v>290</v>
      </c>
      <c r="F1767" s="9">
        <f t="shared" ca="1" si="341"/>
        <v>1119</v>
      </c>
      <c r="G1767" s="12" t="str">
        <f t="shared" ca="1" si="342"/>
        <v>No</v>
      </c>
      <c r="H1767" s="12">
        <f t="shared" ca="1" si="350"/>
        <v>0</v>
      </c>
      <c r="I1767" s="10">
        <f t="shared" ca="1" si="343"/>
        <v>0</v>
      </c>
      <c r="J1767" s="13">
        <f t="shared" ca="1" si="344"/>
        <v>0</v>
      </c>
      <c r="K1767" s="14">
        <f t="shared" ca="1" si="345"/>
        <v>223.8</v>
      </c>
      <c r="L1767" s="14">
        <f t="shared" ca="1" si="346"/>
        <v>0</v>
      </c>
      <c r="M1767" s="15">
        <f t="shared" ca="1" si="347"/>
        <v>223.8</v>
      </c>
      <c r="N1767" s="16">
        <f ca="1">SUM($M$9:M1767)/A1767</f>
        <v>337.35690733371257</v>
      </c>
    </row>
    <row r="1768" spans="1:14" x14ac:dyDescent="0.25">
      <c r="A1768" s="8">
        <v>1760</v>
      </c>
      <c r="B1768" s="9">
        <f t="shared" ca="1" si="339"/>
        <v>1119</v>
      </c>
      <c r="C1768" s="10">
        <f t="shared" ca="1" si="340"/>
        <v>0</v>
      </c>
      <c r="D1768" s="11">
        <f t="shared" ca="1" si="348"/>
        <v>7.683342233701862E-2</v>
      </c>
      <c r="E1768" s="9">
        <f t="shared" ca="1" si="349"/>
        <v>328</v>
      </c>
      <c r="F1768" s="9">
        <f t="shared" ca="1" si="341"/>
        <v>791</v>
      </c>
      <c r="G1768" s="12" t="str">
        <f t="shared" ca="1" si="342"/>
        <v>Yes</v>
      </c>
      <c r="H1768" s="12">
        <f t="shared" ca="1" si="350"/>
        <v>0.15457062005626843</v>
      </c>
      <c r="I1768" s="10">
        <f t="shared" ca="1" si="343"/>
        <v>1</v>
      </c>
      <c r="J1768" s="13">
        <f t="shared" ca="1" si="344"/>
        <v>300</v>
      </c>
      <c r="K1768" s="14">
        <f t="shared" ca="1" si="345"/>
        <v>158.20000000000002</v>
      </c>
      <c r="L1768" s="14">
        <f t="shared" ca="1" si="346"/>
        <v>0</v>
      </c>
      <c r="M1768" s="15">
        <f t="shared" ca="1" si="347"/>
        <v>458.20000000000005</v>
      </c>
      <c r="N1768" s="16">
        <f ca="1">SUM($M$9:M1768)/A1768</f>
        <v>337.42556818181839</v>
      </c>
    </row>
    <row r="1769" spans="1:14" x14ac:dyDescent="0.25">
      <c r="A1769" s="8">
        <v>1761</v>
      </c>
      <c r="B1769" s="9">
        <f t="shared" ca="1" si="339"/>
        <v>2591</v>
      </c>
      <c r="C1769" s="10">
        <f t="shared" ca="1" si="340"/>
        <v>1800</v>
      </c>
      <c r="D1769" s="11">
        <f t="shared" ca="1" si="348"/>
        <v>0.31810719363392781</v>
      </c>
      <c r="E1769" s="9">
        <f t="shared" ca="1" si="349"/>
        <v>376</v>
      </c>
      <c r="F1769" s="9">
        <f t="shared" ca="1" si="341"/>
        <v>2215</v>
      </c>
      <c r="G1769" s="12" t="str">
        <f t="shared" ca="1" si="342"/>
        <v>No</v>
      </c>
      <c r="H1769" s="12">
        <f t="shared" ca="1" si="350"/>
        <v>0</v>
      </c>
      <c r="I1769" s="10">
        <f t="shared" ca="1" si="343"/>
        <v>0</v>
      </c>
      <c r="J1769" s="13">
        <f t="shared" ca="1" si="344"/>
        <v>0</v>
      </c>
      <c r="K1769" s="14">
        <f t="shared" ca="1" si="345"/>
        <v>443</v>
      </c>
      <c r="L1769" s="14">
        <f t="shared" ca="1" si="346"/>
        <v>0</v>
      </c>
      <c r="M1769" s="15">
        <f t="shared" ca="1" si="347"/>
        <v>443</v>
      </c>
      <c r="N1769" s="16">
        <f ca="1">SUM($M$9:M1769)/A1769</f>
        <v>337.48551959114161</v>
      </c>
    </row>
    <row r="1770" spans="1:14" x14ac:dyDescent="0.25">
      <c r="A1770" s="8">
        <v>1762</v>
      </c>
      <c r="B1770" s="9">
        <f t="shared" ca="1" si="339"/>
        <v>2215</v>
      </c>
      <c r="C1770" s="10">
        <f t="shared" ca="1" si="340"/>
        <v>0</v>
      </c>
      <c r="D1770" s="11">
        <f t="shared" ca="1" si="348"/>
        <v>0.24963139739634366</v>
      </c>
      <c r="E1770" s="9">
        <f t="shared" ca="1" si="349"/>
        <v>366</v>
      </c>
      <c r="F1770" s="9">
        <f t="shared" ca="1" si="341"/>
        <v>1849</v>
      </c>
      <c r="G1770" s="12" t="str">
        <f t="shared" ca="1" si="342"/>
        <v>No</v>
      </c>
      <c r="H1770" s="12">
        <f t="shared" ca="1" si="350"/>
        <v>0</v>
      </c>
      <c r="I1770" s="10">
        <f t="shared" ca="1" si="343"/>
        <v>0</v>
      </c>
      <c r="J1770" s="13">
        <f t="shared" ca="1" si="344"/>
        <v>0</v>
      </c>
      <c r="K1770" s="14">
        <f t="shared" ca="1" si="345"/>
        <v>369.8</v>
      </c>
      <c r="L1770" s="14">
        <f t="shared" ca="1" si="346"/>
        <v>0</v>
      </c>
      <c r="M1770" s="15">
        <f t="shared" ca="1" si="347"/>
        <v>369.8</v>
      </c>
      <c r="N1770" s="16">
        <f ca="1">SUM($M$9:M1770)/A1770</f>
        <v>337.50385925085152</v>
      </c>
    </row>
    <row r="1771" spans="1:14" x14ac:dyDescent="0.25">
      <c r="A1771" s="8">
        <v>1763</v>
      </c>
      <c r="B1771" s="9">
        <f t="shared" ca="1" si="339"/>
        <v>1849</v>
      </c>
      <c r="C1771" s="10">
        <f t="shared" ca="1" si="340"/>
        <v>0</v>
      </c>
      <c r="D1771" s="11">
        <f t="shared" ca="1" si="348"/>
        <v>0.86331343023745744</v>
      </c>
      <c r="E1771" s="9">
        <f t="shared" ca="1" si="349"/>
        <v>454</v>
      </c>
      <c r="F1771" s="9">
        <f t="shared" ca="1" si="341"/>
        <v>1395</v>
      </c>
      <c r="G1771" s="12" t="str">
        <f t="shared" ca="1" si="342"/>
        <v>No</v>
      </c>
      <c r="H1771" s="12">
        <f t="shared" ca="1" si="350"/>
        <v>0</v>
      </c>
      <c r="I1771" s="10">
        <f t="shared" ca="1" si="343"/>
        <v>0</v>
      </c>
      <c r="J1771" s="13">
        <f t="shared" ca="1" si="344"/>
        <v>0</v>
      </c>
      <c r="K1771" s="14">
        <f t="shared" ca="1" si="345"/>
        <v>279</v>
      </c>
      <c r="L1771" s="14">
        <f t="shared" ca="1" si="346"/>
        <v>0</v>
      </c>
      <c r="M1771" s="15">
        <f t="shared" ca="1" si="347"/>
        <v>279</v>
      </c>
      <c r="N1771" s="16">
        <f ca="1">SUM($M$9:M1771)/A1771</f>
        <v>337.47067498581987</v>
      </c>
    </row>
    <row r="1772" spans="1:14" x14ac:dyDescent="0.25">
      <c r="A1772" s="8">
        <v>1764</v>
      </c>
      <c r="B1772" s="9">
        <f t="shared" ca="1" si="339"/>
        <v>1395</v>
      </c>
      <c r="C1772" s="10">
        <f t="shared" ca="1" si="340"/>
        <v>0</v>
      </c>
      <c r="D1772" s="11">
        <f t="shared" ca="1" si="348"/>
        <v>6.7419295091995846E-2</v>
      </c>
      <c r="E1772" s="9">
        <f t="shared" ca="1" si="349"/>
        <v>325</v>
      </c>
      <c r="F1772" s="9">
        <f t="shared" ca="1" si="341"/>
        <v>1070</v>
      </c>
      <c r="G1772" s="12" t="str">
        <f t="shared" ca="1" si="342"/>
        <v>Yes</v>
      </c>
      <c r="H1772" s="12">
        <f t="shared" ca="1" si="350"/>
        <v>0.38775820724585208</v>
      </c>
      <c r="I1772" s="10">
        <f t="shared" ca="1" si="343"/>
        <v>1</v>
      </c>
      <c r="J1772" s="13">
        <f t="shared" ca="1" si="344"/>
        <v>300</v>
      </c>
      <c r="K1772" s="14">
        <f t="shared" ca="1" si="345"/>
        <v>214</v>
      </c>
      <c r="L1772" s="14">
        <f t="shared" ca="1" si="346"/>
        <v>0</v>
      </c>
      <c r="M1772" s="15">
        <f t="shared" ca="1" si="347"/>
        <v>514</v>
      </c>
      <c r="N1772" s="16">
        <f ca="1">SUM($M$9:M1772)/A1772</f>
        <v>337.57074829931997</v>
      </c>
    </row>
    <row r="1773" spans="1:14" x14ac:dyDescent="0.25">
      <c r="A1773" s="8">
        <v>1765</v>
      </c>
      <c r="B1773" s="9">
        <f t="shared" ca="1" si="339"/>
        <v>2870</v>
      </c>
      <c r="C1773" s="10">
        <f t="shared" ca="1" si="340"/>
        <v>1800</v>
      </c>
      <c r="D1773" s="11">
        <f t="shared" ca="1" si="348"/>
        <v>0.77275469308181988</v>
      </c>
      <c r="E1773" s="9">
        <f t="shared" ca="1" si="349"/>
        <v>437</v>
      </c>
      <c r="F1773" s="9">
        <f t="shared" ca="1" si="341"/>
        <v>2433</v>
      </c>
      <c r="G1773" s="12" t="str">
        <f t="shared" ca="1" si="342"/>
        <v>No</v>
      </c>
      <c r="H1773" s="12">
        <f t="shared" ca="1" si="350"/>
        <v>0</v>
      </c>
      <c r="I1773" s="10">
        <f t="shared" ca="1" si="343"/>
        <v>0</v>
      </c>
      <c r="J1773" s="13">
        <f t="shared" ca="1" si="344"/>
        <v>0</v>
      </c>
      <c r="K1773" s="14">
        <f t="shared" ca="1" si="345"/>
        <v>486.6</v>
      </c>
      <c r="L1773" s="14">
        <f t="shared" ca="1" si="346"/>
        <v>0</v>
      </c>
      <c r="M1773" s="15">
        <f t="shared" ca="1" si="347"/>
        <v>486.6</v>
      </c>
      <c r="N1773" s="16">
        <f ca="1">SUM($M$9:M1773)/A1773</f>
        <v>337.65518413597755</v>
      </c>
    </row>
    <row r="1774" spans="1:14" x14ac:dyDescent="0.25">
      <c r="A1774" s="8">
        <v>1766</v>
      </c>
      <c r="B1774" s="9">
        <f t="shared" ca="1" si="339"/>
        <v>2433</v>
      </c>
      <c r="C1774" s="10">
        <f t="shared" ca="1" si="340"/>
        <v>0</v>
      </c>
      <c r="D1774" s="11">
        <f t="shared" ca="1" si="348"/>
        <v>0.86881903754166157</v>
      </c>
      <c r="E1774" s="9">
        <f t="shared" ca="1" si="349"/>
        <v>456</v>
      </c>
      <c r="F1774" s="9">
        <f t="shared" ca="1" si="341"/>
        <v>1977</v>
      </c>
      <c r="G1774" s="12" t="str">
        <f t="shared" ca="1" si="342"/>
        <v>No</v>
      </c>
      <c r="H1774" s="12">
        <f t="shared" ca="1" si="350"/>
        <v>0</v>
      </c>
      <c r="I1774" s="10">
        <f t="shared" ca="1" si="343"/>
        <v>0</v>
      </c>
      <c r="J1774" s="13">
        <f t="shared" ca="1" si="344"/>
        <v>0</v>
      </c>
      <c r="K1774" s="14">
        <f t="shared" ca="1" si="345"/>
        <v>395.40000000000003</v>
      </c>
      <c r="L1774" s="14">
        <f t="shared" ca="1" si="346"/>
        <v>0</v>
      </c>
      <c r="M1774" s="15">
        <f t="shared" ca="1" si="347"/>
        <v>395.40000000000003</v>
      </c>
      <c r="N1774" s="16">
        <f ca="1">SUM($M$9:M1774)/A1774</f>
        <v>337.68788221970578</v>
      </c>
    </row>
    <row r="1775" spans="1:14" x14ac:dyDescent="0.25">
      <c r="A1775" s="8">
        <v>1767</v>
      </c>
      <c r="B1775" s="9">
        <f t="shared" ca="1" si="339"/>
        <v>1977</v>
      </c>
      <c r="C1775" s="10">
        <f t="shared" ca="1" si="340"/>
        <v>0</v>
      </c>
      <c r="D1775" s="11">
        <f t="shared" ca="1" si="348"/>
        <v>0.5763730401560978</v>
      </c>
      <c r="E1775" s="9">
        <f t="shared" ca="1" si="349"/>
        <v>409</v>
      </c>
      <c r="F1775" s="9">
        <f t="shared" ca="1" si="341"/>
        <v>1568</v>
      </c>
      <c r="G1775" s="12" t="str">
        <f t="shared" ca="1" si="342"/>
        <v>No</v>
      </c>
      <c r="H1775" s="12">
        <f t="shared" ca="1" si="350"/>
        <v>0</v>
      </c>
      <c r="I1775" s="10">
        <f t="shared" ca="1" si="343"/>
        <v>0</v>
      </c>
      <c r="J1775" s="13">
        <f t="shared" ca="1" si="344"/>
        <v>0</v>
      </c>
      <c r="K1775" s="14">
        <f t="shared" ca="1" si="345"/>
        <v>313.60000000000002</v>
      </c>
      <c r="L1775" s="14">
        <f t="shared" ca="1" si="346"/>
        <v>0</v>
      </c>
      <c r="M1775" s="15">
        <f t="shared" ca="1" si="347"/>
        <v>313.60000000000002</v>
      </c>
      <c r="N1775" s="16">
        <f ca="1">SUM($M$9:M1775)/A1775</f>
        <v>337.67425014148296</v>
      </c>
    </row>
    <row r="1776" spans="1:14" x14ac:dyDescent="0.25">
      <c r="A1776" s="8">
        <v>1768</v>
      </c>
      <c r="B1776" s="9">
        <f t="shared" ca="1" si="339"/>
        <v>1568</v>
      </c>
      <c r="C1776" s="10">
        <f t="shared" ca="1" si="340"/>
        <v>0</v>
      </c>
      <c r="D1776" s="11">
        <f t="shared" ca="1" si="348"/>
        <v>0.31311113632227672</v>
      </c>
      <c r="E1776" s="9">
        <f t="shared" ca="1" si="349"/>
        <v>375</v>
      </c>
      <c r="F1776" s="9">
        <f t="shared" ca="1" si="341"/>
        <v>1193</v>
      </c>
      <c r="G1776" s="12" t="str">
        <f t="shared" ca="1" si="342"/>
        <v>No</v>
      </c>
      <c r="H1776" s="12">
        <f t="shared" ca="1" si="350"/>
        <v>0</v>
      </c>
      <c r="I1776" s="10">
        <f t="shared" ca="1" si="343"/>
        <v>0</v>
      </c>
      <c r="J1776" s="13">
        <f t="shared" ca="1" si="344"/>
        <v>0</v>
      </c>
      <c r="K1776" s="14">
        <f t="shared" ca="1" si="345"/>
        <v>238.60000000000002</v>
      </c>
      <c r="L1776" s="14">
        <f t="shared" ca="1" si="346"/>
        <v>0</v>
      </c>
      <c r="M1776" s="15">
        <f t="shared" ca="1" si="347"/>
        <v>238.60000000000002</v>
      </c>
      <c r="N1776" s="16">
        <f ca="1">SUM($M$9:M1776)/A1776</f>
        <v>337.61821266968343</v>
      </c>
    </row>
    <row r="1777" spans="1:14" x14ac:dyDescent="0.25">
      <c r="A1777" s="8">
        <v>1769</v>
      </c>
      <c r="B1777" s="9">
        <f t="shared" ca="1" si="339"/>
        <v>1193</v>
      </c>
      <c r="C1777" s="10">
        <f t="shared" ca="1" si="340"/>
        <v>0</v>
      </c>
      <c r="D1777" s="11">
        <f t="shared" ca="1" si="348"/>
        <v>0.3446845169581394</v>
      </c>
      <c r="E1777" s="9">
        <f t="shared" ca="1" si="349"/>
        <v>380</v>
      </c>
      <c r="F1777" s="9">
        <f t="shared" ca="1" si="341"/>
        <v>813</v>
      </c>
      <c r="G1777" s="12" t="str">
        <f t="shared" ca="1" si="342"/>
        <v>Yes</v>
      </c>
      <c r="H1777" s="12">
        <f t="shared" ca="1" si="350"/>
        <v>0.80933676315705461</v>
      </c>
      <c r="I1777" s="10">
        <f t="shared" ca="1" si="343"/>
        <v>2</v>
      </c>
      <c r="J1777" s="13">
        <f t="shared" ca="1" si="344"/>
        <v>300</v>
      </c>
      <c r="K1777" s="14">
        <f t="shared" ca="1" si="345"/>
        <v>162.60000000000002</v>
      </c>
      <c r="L1777" s="14">
        <f t="shared" ca="1" si="346"/>
        <v>0</v>
      </c>
      <c r="M1777" s="15">
        <f t="shared" ca="1" si="347"/>
        <v>462.6</v>
      </c>
      <c r="N1777" s="16">
        <f ca="1">SUM($M$9:M1777)/A1777</f>
        <v>337.68886376483908</v>
      </c>
    </row>
    <row r="1778" spans="1:14" x14ac:dyDescent="0.25">
      <c r="A1778" s="8">
        <v>1770</v>
      </c>
      <c r="B1778" s="9">
        <f t="shared" ca="1" si="339"/>
        <v>813</v>
      </c>
      <c r="C1778" s="10">
        <f t="shared" ca="1" si="340"/>
        <v>0</v>
      </c>
      <c r="D1778" s="11">
        <f t="shared" ca="1" si="348"/>
        <v>0.84203663502378001</v>
      </c>
      <c r="E1778" s="9">
        <f t="shared" ca="1" si="349"/>
        <v>450</v>
      </c>
      <c r="F1778" s="9">
        <f t="shared" ca="1" si="341"/>
        <v>363</v>
      </c>
      <c r="G1778" s="12" t="str">
        <f t="shared" ca="1" si="342"/>
        <v>No</v>
      </c>
      <c r="H1778" s="12">
        <f t="shared" ca="1" si="350"/>
        <v>0</v>
      </c>
      <c r="I1778" s="10">
        <f t="shared" ca="1" si="343"/>
        <v>1</v>
      </c>
      <c r="J1778" s="13">
        <f t="shared" ca="1" si="344"/>
        <v>0</v>
      </c>
      <c r="K1778" s="14">
        <f t="shared" ca="1" si="345"/>
        <v>72.600000000000009</v>
      </c>
      <c r="L1778" s="14">
        <f t="shared" ca="1" si="346"/>
        <v>0</v>
      </c>
      <c r="M1778" s="15">
        <f t="shared" ca="1" si="347"/>
        <v>72.600000000000009</v>
      </c>
      <c r="N1778" s="16">
        <f ca="1">SUM($M$9:M1778)/A1778</f>
        <v>337.53909604519794</v>
      </c>
    </row>
    <row r="1779" spans="1:14" x14ac:dyDescent="0.25">
      <c r="A1779" s="8">
        <v>1771</v>
      </c>
      <c r="B1779" s="9">
        <f t="shared" ca="1" si="339"/>
        <v>2163</v>
      </c>
      <c r="C1779" s="10">
        <f t="shared" ca="1" si="340"/>
        <v>1800</v>
      </c>
      <c r="D1779" s="11">
        <f t="shared" ca="1" si="348"/>
        <v>0.83077523277149712</v>
      </c>
      <c r="E1779" s="9">
        <f t="shared" ca="1" si="349"/>
        <v>447</v>
      </c>
      <c r="F1779" s="9">
        <f t="shared" ca="1" si="341"/>
        <v>1716</v>
      </c>
      <c r="G1779" s="12" t="str">
        <f t="shared" ca="1" si="342"/>
        <v>No</v>
      </c>
      <c r="H1779" s="12">
        <f t="shared" ca="1" si="350"/>
        <v>0</v>
      </c>
      <c r="I1779" s="10">
        <f t="shared" ca="1" si="343"/>
        <v>0</v>
      </c>
      <c r="J1779" s="13">
        <f t="shared" ca="1" si="344"/>
        <v>0</v>
      </c>
      <c r="K1779" s="14">
        <f t="shared" ca="1" si="345"/>
        <v>343.20000000000005</v>
      </c>
      <c r="L1779" s="14">
        <f t="shared" ca="1" si="346"/>
        <v>0</v>
      </c>
      <c r="M1779" s="15">
        <f t="shared" ca="1" si="347"/>
        <v>343.20000000000005</v>
      </c>
      <c r="N1779" s="16">
        <f ca="1">SUM($M$9:M1779)/A1779</f>
        <v>337.54229249011871</v>
      </c>
    </row>
    <row r="1780" spans="1:14" x14ac:dyDescent="0.25">
      <c r="A1780" s="8">
        <v>1772</v>
      </c>
      <c r="B1780" s="9">
        <f t="shared" ca="1" si="339"/>
        <v>1716</v>
      </c>
      <c r="C1780" s="10">
        <f t="shared" ca="1" si="340"/>
        <v>0</v>
      </c>
      <c r="D1780" s="11">
        <f t="shared" ca="1" si="348"/>
        <v>0.88594913412043985</v>
      </c>
      <c r="E1780" s="9">
        <f t="shared" ca="1" si="349"/>
        <v>460</v>
      </c>
      <c r="F1780" s="9">
        <f t="shared" ca="1" si="341"/>
        <v>1256</v>
      </c>
      <c r="G1780" s="12" t="str">
        <f t="shared" ca="1" si="342"/>
        <v>No</v>
      </c>
      <c r="H1780" s="12">
        <f t="shared" ca="1" si="350"/>
        <v>0</v>
      </c>
      <c r="I1780" s="10">
        <f t="shared" ca="1" si="343"/>
        <v>0</v>
      </c>
      <c r="J1780" s="13">
        <f t="shared" ca="1" si="344"/>
        <v>0</v>
      </c>
      <c r="K1780" s="14">
        <f t="shared" ca="1" si="345"/>
        <v>251.20000000000002</v>
      </c>
      <c r="L1780" s="14">
        <f t="shared" ca="1" si="346"/>
        <v>0</v>
      </c>
      <c r="M1780" s="15">
        <f t="shared" ca="1" si="347"/>
        <v>251.20000000000002</v>
      </c>
      <c r="N1780" s="16">
        <f ca="1">SUM($M$9:M1780)/A1780</f>
        <v>337.49356659142222</v>
      </c>
    </row>
    <row r="1781" spans="1:14" x14ac:dyDescent="0.25">
      <c r="A1781" s="8">
        <v>1773</v>
      </c>
      <c r="B1781" s="9">
        <f t="shared" ca="1" si="339"/>
        <v>1256</v>
      </c>
      <c r="C1781" s="10">
        <f t="shared" ca="1" si="340"/>
        <v>0</v>
      </c>
      <c r="D1781" s="11">
        <f t="shared" ca="1" si="348"/>
        <v>0.28785814960914491</v>
      </c>
      <c r="E1781" s="9">
        <f t="shared" ca="1" si="349"/>
        <v>372</v>
      </c>
      <c r="F1781" s="9">
        <f t="shared" ca="1" si="341"/>
        <v>884</v>
      </c>
      <c r="G1781" s="12" t="str">
        <f t="shared" ca="1" si="342"/>
        <v>Yes</v>
      </c>
      <c r="H1781" s="12">
        <f t="shared" ca="1" si="350"/>
        <v>0.93944208490156245</v>
      </c>
      <c r="I1781" s="10">
        <f t="shared" ca="1" si="343"/>
        <v>3</v>
      </c>
      <c r="J1781" s="13">
        <f t="shared" ca="1" si="344"/>
        <v>300</v>
      </c>
      <c r="K1781" s="14">
        <f t="shared" ca="1" si="345"/>
        <v>176.8</v>
      </c>
      <c r="L1781" s="14">
        <f t="shared" ca="1" si="346"/>
        <v>0</v>
      </c>
      <c r="M1781" s="15">
        <f t="shared" ca="1" si="347"/>
        <v>476.8</v>
      </c>
      <c r="N1781" s="16">
        <f ca="1">SUM($M$9:M1781)/A1781</f>
        <v>337.57213761985349</v>
      </c>
    </row>
    <row r="1782" spans="1:14" x14ac:dyDescent="0.25">
      <c r="A1782" s="8">
        <v>1774</v>
      </c>
      <c r="B1782" s="9">
        <f t="shared" ca="1" si="339"/>
        <v>884</v>
      </c>
      <c r="C1782" s="10">
        <f t="shared" ca="1" si="340"/>
        <v>0</v>
      </c>
      <c r="D1782" s="11">
        <f t="shared" ca="1" si="348"/>
        <v>0.60127889476496454</v>
      </c>
      <c r="E1782" s="9">
        <f t="shared" ca="1" si="349"/>
        <v>412</v>
      </c>
      <c r="F1782" s="9">
        <f t="shared" ca="1" si="341"/>
        <v>472</v>
      </c>
      <c r="G1782" s="12" t="str">
        <f t="shared" ca="1" si="342"/>
        <v>No</v>
      </c>
      <c r="H1782" s="12">
        <f t="shared" ca="1" si="350"/>
        <v>0</v>
      </c>
      <c r="I1782" s="10">
        <f t="shared" ca="1" si="343"/>
        <v>2</v>
      </c>
      <c r="J1782" s="13">
        <f t="shared" ca="1" si="344"/>
        <v>0</v>
      </c>
      <c r="K1782" s="14">
        <f t="shared" ca="1" si="345"/>
        <v>94.4</v>
      </c>
      <c r="L1782" s="14">
        <f t="shared" ca="1" si="346"/>
        <v>0</v>
      </c>
      <c r="M1782" s="15">
        <f t="shared" ca="1" si="347"/>
        <v>94.4</v>
      </c>
      <c r="N1782" s="16">
        <f ca="1">SUM($M$9:M1782)/A1782</f>
        <v>337.43506200676455</v>
      </c>
    </row>
    <row r="1783" spans="1:14" x14ac:dyDescent="0.25">
      <c r="A1783" s="8">
        <v>1775</v>
      </c>
      <c r="B1783" s="9">
        <f t="shared" ca="1" si="339"/>
        <v>472</v>
      </c>
      <c r="C1783" s="10">
        <f t="shared" ca="1" si="340"/>
        <v>0</v>
      </c>
      <c r="D1783" s="11">
        <f t="shared" ca="1" si="348"/>
        <v>0.91039232841083162</v>
      </c>
      <c r="E1783" s="9">
        <f t="shared" ca="1" si="349"/>
        <v>467</v>
      </c>
      <c r="F1783" s="9">
        <f t="shared" ca="1" si="341"/>
        <v>5</v>
      </c>
      <c r="G1783" s="12" t="str">
        <f t="shared" ca="1" si="342"/>
        <v>No</v>
      </c>
      <c r="H1783" s="12">
        <f t="shared" ca="1" si="350"/>
        <v>0</v>
      </c>
      <c r="I1783" s="10">
        <f t="shared" ca="1" si="343"/>
        <v>1</v>
      </c>
      <c r="J1783" s="13">
        <f t="shared" ca="1" si="344"/>
        <v>0</v>
      </c>
      <c r="K1783" s="14">
        <f t="shared" ca="1" si="345"/>
        <v>1</v>
      </c>
      <c r="L1783" s="14">
        <f t="shared" ca="1" si="346"/>
        <v>0</v>
      </c>
      <c r="M1783" s="15">
        <f t="shared" ca="1" si="347"/>
        <v>1</v>
      </c>
      <c r="N1783" s="16">
        <f ca="1">SUM($M$9:M1783)/A1783</f>
        <v>337.24552112676071</v>
      </c>
    </row>
    <row r="1784" spans="1:14" x14ac:dyDescent="0.25">
      <c r="A1784" s="8">
        <v>1776</v>
      </c>
      <c r="B1784" s="9">
        <f t="shared" ca="1" si="339"/>
        <v>1805</v>
      </c>
      <c r="C1784" s="10">
        <f t="shared" ca="1" si="340"/>
        <v>1800</v>
      </c>
      <c r="D1784" s="11">
        <f t="shared" ca="1" si="348"/>
        <v>0.66867263412780398</v>
      </c>
      <c r="E1784" s="9">
        <f t="shared" ca="1" si="349"/>
        <v>421</v>
      </c>
      <c r="F1784" s="9">
        <f t="shared" ca="1" si="341"/>
        <v>1384</v>
      </c>
      <c r="G1784" s="12" t="str">
        <f t="shared" ca="1" si="342"/>
        <v>No</v>
      </c>
      <c r="H1784" s="12">
        <f t="shared" ca="1" si="350"/>
        <v>0</v>
      </c>
      <c r="I1784" s="10">
        <f t="shared" ca="1" si="343"/>
        <v>0</v>
      </c>
      <c r="J1784" s="13">
        <f t="shared" ca="1" si="344"/>
        <v>0</v>
      </c>
      <c r="K1784" s="14">
        <f t="shared" ca="1" si="345"/>
        <v>276.8</v>
      </c>
      <c r="L1784" s="14">
        <f t="shared" ca="1" si="346"/>
        <v>0</v>
      </c>
      <c r="M1784" s="15">
        <f t="shared" ca="1" si="347"/>
        <v>276.8</v>
      </c>
      <c r="N1784" s="16">
        <f ca="1">SUM($M$9:M1784)/A1784</f>
        <v>337.21148648648665</v>
      </c>
    </row>
    <row r="1785" spans="1:14" x14ac:dyDescent="0.25">
      <c r="A1785" s="8">
        <v>1777</v>
      </c>
      <c r="B1785" s="9">
        <f t="shared" ca="1" si="339"/>
        <v>1384</v>
      </c>
      <c r="C1785" s="10">
        <f t="shared" ca="1" si="340"/>
        <v>0</v>
      </c>
      <c r="D1785" s="11">
        <f t="shared" ca="1" si="348"/>
        <v>0.29210652490845723</v>
      </c>
      <c r="E1785" s="9">
        <f t="shared" ca="1" si="349"/>
        <v>372</v>
      </c>
      <c r="F1785" s="9">
        <f t="shared" ca="1" si="341"/>
        <v>1012</v>
      </c>
      <c r="G1785" s="12" t="str">
        <f t="shared" ca="1" si="342"/>
        <v>Yes</v>
      </c>
      <c r="H1785" s="12">
        <f t="shared" ca="1" si="350"/>
        <v>0.34575338632810093</v>
      </c>
      <c r="I1785" s="10">
        <f t="shared" ca="1" si="343"/>
        <v>1</v>
      </c>
      <c r="J1785" s="13">
        <f t="shared" ca="1" si="344"/>
        <v>300</v>
      </c>
      <c r="K1785" s="14">
        <f t="shared" ca="1" si="345"/>
        <v>202.4</v>
      </c>
      <c r="L1785" s="14">
        <f t="shared" ca="1" si="346"/>
        <v>0</v>
      </c>
      <c r="M1785" s="15">
        <f t="shared" ca="1" si="347"/>
        <v>502.4</v>
      </c>
      <c r="N1785" s="16">
        <f ca="1">SUM($M$9:M1785)/A1785</f>
        <v>337.30444569499173</v>
      </c>
    </row>
    <row r="1786" spans="1:14" x14ac:dyDescent="0.25">
      <c r="A1786" s="8">
        <v>1778</v>
      </c>
      <c r="B1786" s="9">
        <f t="shared" ca="1" si="339"/>
        <v>2812</v>
      </c>
      <c r="C1786" s="10">
        <f t="shared" ca="1" si="340"/>
        <v>1800</v>
      </c>
      <c r="D1786" s="11">
        <f t="shared" ca="1" si="348"/>
        <v>0.10774984968984502</v>
      </c>
      <c r="E1786" s="9">
        <f t="shared" ca="1" si="349"/>
        <v>338</v>
      </c>
      <c r="F1786" s="9">
        <f t="shared" ca="1" si="341"/>
        <v>2474</v>
      </c>
      <c r="G1786" s="12" t="str">
        <f t="shared" ca="1" si="342"/>
        <v>No</v>
      </c>
      <c r="H1786" s="12">
        <f t="shared" ca="1" si="350"/>
        <v>0</v>
      </c>
      <c r="I1786" s="10">
        <f t="shared" ca="1" si="343"/>
        <v>0</v>
      </c>
      <c r="J1786" s="13">
        <f t="shared" ca="1" si="344"/>
        <v>0</v>
      </c>
      <c r="K1786" s="14">
        <f t="shared" ca="1" si="345"/>
        <v>494.8</v>
      </c>
      <c r="L1786" s="14">
        <f t="shared" ca="1" si="346"/>
        <v>0</v>
      </c>
      <c r="M1786" s="15">
        <f t="shared" ca="1" si="347"/>
        <v>494.8</v>
      </c>
      <c r="N1786" s="16">
        <f ca="1">SUM($M$9:M1786)/A1786</f>
        <v>337.39302587176627</v>
      </c>
    </row>
    <row r="1787" spans="1:14" x14ac:dyDescent="0.25">
      <c r="A1787" s="8">
        <v>1779</v>
      </c>
      <c r="B1787" s="9">
        <f t="shared" ca="1" si="339"/>
        <v>2474</v>
      </c>
      <c r="C1787" s="10">
        <f t="shared" ca="1" si="340"/>
        <v>0</v>
      </c>
      <c r="D1787" s="11">
        <f t="shared" ca="1" si="348"/>
        <v>0.17855520165465499</v>
      </c>
      <c r="E1787" s="9">
        <f t="shared" ca="1" si="349"/>
        <v>353</v>
      </c>
      <c r="F1787" s="9">
        <f t="shared" ca="1" si="341"/>
        <v>2121</v>
      </c>
      <c r="G1787" s="12" t="str">
        <f t="shared" ca="1" si="342"/>
        <v>No</v>
      </c>
      <c r="H1787" s="12">
        <f t="shared" ca="1" si="350"/>
        <v>0</v>
      </c>
      <c r="I1787" s="10">
        <f t="shared" ca="1" si="343"/>
        <v>0</v>
      </c>
      <c r="J1787" s="13">
        <f t="shared" ca="1" si="344"/>
        <v>0</v>
      </c>
      <c r="K1787" s="14">
        <f t="shared" ca="1" si="345"/>
        <v>424.20000000000005</v>
      </c>
      <c r="L1787" s="14">
        <f t="shared" ca="1" si="346"/>
        <v>0</v>
      </c>
      <c r="M1787" s="15">
        <f t="shared" ca="1" si="347"/>
        <v>424.20000000000005</v>
      </c>
      <c r="N1787" s="16">
        <f ca="1">SUM($M$9:M1787)/A1787</f>
        <v>337.44182124789228</v>
      </c>
    </row>
    <row r="1788" spans="1:14" x14ac:dyDescent="0.25">
      <c r="A1788" s="8">
        <v>1780</v>
      </c>
      <c r="B1788" s="9">
        <f t="shared" ca="1" si="339"/>
        <v>2121</v>
      </c>
      <c r="C1788" s="10">
        <f t="shared" ca="1" si="340"/>
        <v>0</v>
      </c>
      <c r="D1788" s="11">
        <f t="shared" ca="1" si="348"/>
        <v>0.6914513168933395</v>
      </c>
      <c r="E1788" s="9">
        <f t="shared" ca="1" si="349"/>
        <v>424</v>
      </c>
      <c r="F1788" s="9">
        <f t="shared" ca="1" si="341"/>
        <v>1697</v>
      </c>
      <c r="G1788" s="12" t="str">
        <f t="shared" ca="1" si="342"/>
        <v>No</v>
      </c>
      <c r="H1788" s="12">
        <f t="shared" ca="1" si="350"/>
        <v>0</v>
      </c>
      <c r="I1788" s="10">
        <f t="shared" ca="1" si="343"/>
        <v>0</v>
      </c>
      <c r="J1788" s="13">
        <f t="shared" ca="1" si="344"/>
        <v>0</v>
      </c>
      <c r="K1788" s="14">
        <f t="shared" ca="1" si="345"/>
        <v>339.40000000000003</v>
      </c>
      <c r="L1788" s="14">
        <f t="shared" ca="1" si="346"/>
        <v>0</v>
      </c>
      <c r="M1788" s="15">
        <f t="shared" ca="1" si="347"/>
        <v>339.40000000000003</v>
      </c>
      <c r="N1788" s="16">
        <f ca="1">SUM($M$9:M1788)/A1788</f>
        <v>337.44292134831483</v>
      </c>
    </row>
    <row r="1789" spans="1:14" x14ac:dyDescent="0.25">
      <c r="A1789" s="8">
        <v>1781</v>
      </c>
      <c r="B1789" s="9">
        <f t="shared" ref="B1789:B1852" ca="1" si="351">IF(I1788=1,F1788+Quantity,F1788)</f>
        <v>1697</v>
      </c>
      <c r="C1789" s="10">
        <f t="shared" ref="C1789:C1852" ca="1" si="352">IF(I1788=1,Quantity,0)</f>
        <v>0</v>
      </c>
      <c r="D1789" s="11">
        <f t="shared" ca="1" si="348"/>
        <v>0.10779739006387457</v>
      </c>
      <c r="E1789" s="9">
        <f t="shared" ca="1" si="349"/>
        <v>338</v>
      </c>
      <c r="F1789" s="9">
        <f t="shared" ref="F1789:F1852" ca="1" si="353">IF(B1789+C1789-E1789&lt;0,0,B1789-E1789)</f>
        <v>1359</v>
      </c>
      <c r="G1789" s="12" t="str">
        <f t="shared" ref="G1789:G1852" ca="1" si="354">IF(B1789&lt;Point,IF(I1788=0,"Yes","No"),"No")</f>
        <v>No</v>
      </c>
      <c r="H1789" s="12">
        <f t="shared" ca="1" si="350"/>
        <v>0</v>
      </c>
      <c r="I1789" s="10">
        <f t="shared" ref="I1789:I1852" ca="1" si="355">IF(I1788&gt;0,I1788-1,(IF(G1789="Yes",(VLOOKUP(H1789,LTD,3)),0)))</f>
        <v>0</v>
      </c>
      <c r="J1789" s="13">
        <f t="shared" ref="J1789:J1852" ca="1" si="356">IF(G1789="Yes",Order_Cost,0)</f>
        <v>0</v>
      </c>
      <c r="K1789" s="14">
        <f t="shared" ref="K1789:K1852" ca="1" si="357">F1789*Holding_Cost</f>
        <v>271.8</v>
      </c>
      <c r="L1789" s="14">
        <f t="shared" ref="L1789:L1852" ca="1" si="358">IF(B1789+C1789&lt;E1789,Shortage_Cost*(E1789-B1789-C1789),0)</f>
        <v>0</v>
      </c>
      <c r="M1789" s="15">
        <f t="shared" ref="M1789:M1852" ca="1" si="359">SUM(J1789:L1789)</f>
        <v>271.8</v>
      </c>
      <c r="N1789" s="16">
        <f ca="1">SUM($M$9:M1789)/A1789</f>
        <v>337.40606400898395</v>
      </c>
    </row>
    <row r="1790" spans="1:14" x14ac:dyDescent="0.25">
      <c r="A1790" s="8">
        <v>1782</v>
      </c>
      <c r="B1790" s="9">
        <f t="shared" ca="1" si="351"/>
        <v>1359</v>
      </c>
      <c r="C1790" s="10">
        <f t="shared" ca="1" si="352"/>
        <v>0</v>
      </c>
      <c r="D1790" s="11">
        <f t="shared" ca="1" si="348"/>
        <v>0.19644540042962522</v>
      </c>
      <c r="E1790" s="9">
        <f t="shared" ca="1" si="349"/>
        <v>357</v>
      </c>
      <c r="F1790" s="9">
        <f t="shared" ca="1" si="353"/>
        <v>1002</v>
      </c>
      <c r="G1790" s="12" t="str">
        <f t="shared" ca="1" si="354"/>
        <v>Yes</v>
      </c>
      <c r="H1790" s="12">
        <f t="shared" ca="1" si="350"/>
        <v>0.35938532888838037</v>
      </c>
      <c r="I1790" s="10">
        <f t="shared" ca="1" si="355"/>
        <v>1</v>
      </c>
      <c r="J1790" s="13">
        <f t="shared" ca="1" si="356"/>
        <v>300</v>
      </c>
      <c r="K1790" s="14">
        <f t="shared" ca="1" si="357"/>
        <v>200.4</v>
      </c>
      <c r="L1790" s="14">
        <f t="shared" ca="1" si="358"/>
        <v>0</v>
      </c>
      <c r="M1790" s="15">
        <f t="shared" ca="1" si="359"/>
        <v>500.4</v>
      </c>
      <c r="N1790" s="16">
        <f ca="1">SUM($M$9:M1790)/A1790</f>
        <v>337.49753086419776</v>
      </c>
    </row>
    <row r="1791" spans="1:14" x14ac:dyDescent="0.25">
      <c r="A1791" s="8">
        <v>1783</v>
      </c>
      <c r="B1791" s="9">
        <f t="shared" ca="1" si="351"/>
        <v>2802</v>
      </c>
      <c r="C1791" s="10">
        <f t="shared" ca="1" si="352"/>
        <v>1800</v>
      </c>
      <c r="D1791" s="11">
        <f t="shared" ca="1" si="348"/>
        <v>0.6486564267907845</v>
      </c>
      <c r="E1791" s="9">
        <f t="shared" ca="1" si="349"/>
        <v>419</v>
      </c>
      <c r="F1791" s="9">
        <f t="shared" ca="1" si="353"/>
        <v>2383</v>
      </c>
      <c r="G1791" s="12" t="str">
        <f t="shared" ca="1" si="354"/>
        <v>No</v>
      </c>
      <c r="H1791" s="12">
        <f t="shared" ca="1" si="350"/>
        <v>0</v>
      </c>
      <c r="I1791" s="10">
        <f t="shared" ca="1" si="355"/>
        <v>0</v>
      </c>
      <c r="J1791" s="13">
        <f t="shared" ca="1" si="356"/>
        <v>0</v>
      </c>
      <c r="K1791" s="14">
        <f t="shared" ca="1" si="357"/>
        <v>476.6</v>
      </c>
      <c r="L1791" s="14">
        <f t="shared" ca="1" si="358"/>
        <v>0</v>
      </c>
      <c r="M1791" s="15">
        <f t="shared" ca="1" si="359"/>
        <v>476.6</v>
      </c>
      <c r="N1791" s="16">
        <f ca="1">SUM($M$9:M1791)/A1791</f>
        <v>337.57554683118366</v>
      </c>
    </row>
    <row r="1792" spans="1:14" x14ac:dyDescent="0.25">
      <c r="A1792" s="8">
        <v>1784</v>
      </c>
      <c r="B1792" s="9">
        <f t="shared" ca="1" si="351"/>
        <v>2383</v>
      </c>
      <c r="C1792" s="10">
        <f t="shared" ca="1" si="352"/>
        <v>0</v>
      </c>
      <c r="D1792" s="11">
        <f t="shared" ca="1" si="348"/>
        <v>0.27354382170192637</v>
      </c>
      <c r="E1792" s="9">
        <f t="shared" ca="1" si="349"/>
        <v>369</v>
      </c>
      <c r="F1792" s="9">
        <f t="shared" ca="1" si="353"/>
        <v>2014</v>
      </c>
      <c r="G1792" s="12" t="str">
        <f t="shared" ca="1" si="354"/>
        <v>No</v>
      </c>
      <c r="H1792" s="12">
        <f t="shared" ca="1" si="350"/>
        <v>0</v>
      </c>
      <c r="I1792" s="10">
        <f t="shared" ca="1" si="355"/>
        <v>0</v>
      </c>
      <c r="J1792" s="13">
        <f t="shared" ca="1" si="356"/>
        <v>0</v>
      </c>
      <c r="K1792" s="14">
        <f t="shared" ca="1" si="357"/>
        <v>402.8</v>
      </c>
      <c r="L1792" s="14">
        <f t="shared" ca="1" si="358"/>
        <v>0</v>
      </c>
      <c r="M1792" s="15">
        <f t="shared" ca="1" si="359"/>
        <v>402.8</v>
      </c>
      <c r="N1792" s="16">
        <f ca="1">SUM($M$9:M1792)/A1792</f>
        <v>337.61210762331865</v>
      </c>
    </row>
    <row r="1793" spans="1:14" x14ac:dyDescent="0.25">
      <c r="A1793" s="8">
        <v>1785</v>
      </c>
      <c r="B1793" s="9">
        <f t="shared" ca="1" si="351"/>
        <v>2014</v>
      </c>
      <c r="C1793" s="10">
        <f t="shared" ca="1" si="352"/>
        <v>0</v>
      </c>
      <c r="D1793" s="11">
        <f t="shared" ca="1" si="348"/>
        <v>0.96505963179545817</v>
      </c>
      <c r="E1793" s="9">
        <f t="shared" ca="1" si="349"/>
        <v>490</v>
      </c>
      <c r="F1793" s="9">
        <f t="shared" ca="1" si="353"/>
        <v>1524</v>
      </c>
      <c r="G1793" s="12" t="str">
        <f t="shared" ca="1" si="354"/>
        <v>No</v>
      </c>
      <c r="H1793" s="12">
        <f t="shared" ca="1" si="350"/>
        <v>0</v>
      </c>
      <c r="I1793" s="10">
        <f t="shared" ca="1" si="355"/>
        <v>0</v>
      </c>
      <c r="J1793" s="13">
        <f t="shared" ca="1" si="356"/>
        <v>0</v>
      </c>
      <c r="K1793" s="14">
        <f t="shared" ca="1" si="357"/>
        <v>304.8</v>
      </c>
      <c r="L1793" s="14">
        <f t="shared" ca="1" si="358"/>
        <v>0</v>
      </c>
      <c r="M1793" s="15">
        <f t="shared" ca="1" si="359"/>
        <v>304.8</v>
      </c>
      <c r="N1793" s="16">
        <f ca="1">SUM($M$9:M1793)/A1793</f>
        <v>337.59372549019639</v>
      </c>
    </row>
    <row r="1794" spans="1:14" x14ac:dyDescent="0.25">
      <c r="A1794" s="8">
        <v>1786</v>
      </c>
      <c r="B1794" s="9">
        <f t="shared" ca="1" si="351"/>
        <v>1524</v>
      </c>
      <c r="C1794" s="10">
        <f t="shared" ca="1" si="352"/>
        <v>0</v>
      </c>
      <c r="D1794" s="11">
        <f t="shared" ca="1" si="348"/>
        <v>0.29765993080011444</v>
      </c>
      <c r="E1794" s="9">
        <f t="shared" ca="1" si="349"/>
        <v>373</v>
      </c>
      <c r="F1794" s="9">
        <f t="shared" ca="1" si="353"/>
        <v>1151</v>
      </c>
      <c r="G1794" s="12" t="str">
        <f t="shared" ca="1" si="354"/>
        <v>No</v>
      </c>
      <c r="H1794" s="12">
        <f t="shared" ca="1" si="350"/>
        <v>0</v>
      </c>
      <c r="I1794" s="10">
        <f t="shared" ca="1" si="355"/>
        <v>0</v>
      </c>
      <c r="J1794" s="13">
        <f t="shared" ca="1" si="356"/>
        <v>0</v>
      </c>
      <c r="K1794" s="14">
        <f t="shared" ca="1" si="357"/>
        <v>230.20000000000002</v>
      </c>
      <c r="L1794" s="14">
        <f t="shared" ca="1" si="358"/>
        <v>0</v>
      </c>
      <c r="M1794" s="15">
        <f t="shared" ca="1" si="359"/>
        <v>230.20000000000002</v>
      </c>
      <c r="N1794" s="16">
        <f ca="1">SUM($M$9:M1794)/A1794</f>
        <v>337.53359462486026</v>
      </c>
    </row>
    <row r="1795" spans="1:14" x14ac:dyDescent="0.25">
      <c r="A1795" s="8">
        <v>1787</v>
      </c>
      <c r="B1795" s="9">
        <f t="shared" ca="1" si="351"/>
        <v>1151</v>
      </c>
      <c r="C1795" s="10">
        <f t="shared" ca="1" si="352"/>
        <v>0</v>
      </c>
      <c r="D1795" s="11">
        <f t="shared" ca="1" si="348"/>
        <v>0.59953899852338988</v>
      </c>
      <c r="E1795" s="9">
        <f t="shared" ca="1" si="349"/>
        <v>412</v>
      </c>
      <c r="F1795" s="9">
        <f t="shared" ca="1" si="353"/>
        <v>739</v>
      </c>
      <c r="G1795" s="12" t="str">
        <f t="shared" ca="1" si="354"/>
        <v>Yes</v>
      </c>
      <c r="H1795" s="12">
        <f t="shared" ca="1" si="350"/>
        <v>0.60529805391637215</v>
      </c>
      <c r="I1795" s="10">
        <f t="shared" ca="1" si="355"/>
        <v>1</v>
      </c>
      <c r="J1795" s="13">
        <f t="shared" ca="1" si="356"/>
        <v>300</v>
      </c>
      <c r="K1795" s="14">
        <f t="shared" ca="1" si="357"/>
        <v>147.80000000000001</v>
      </c>
      <c r="L1795" s="14">
        <f t="shared" ca="1" si="358"/>
        <v>0</v>
      </c>
      <c r="M1795" s="15">
        <f t="shared" ca="1" si="359"/>
        <v>447.8</v>
      </c>
      <c r="N1795" s="16">
        <f ca="1">SUM($M$9:M1795)/A1795</f>
        <v>337.59529938444348</v>
      </c>
    </row>
    <row r="1796" spans="1:14" x14ac:dyDescent="0.25">
      <c r="A1796" s="8">
        <v>1788</v>
      </c>
      <c r="B1796" s="9">
        <f t="shared" ca="1" si="351"/>
        <v>2539</v>
      </c>
      <c r="C1796" s="10">
        <f t="shared" ca="1" si="352"/>
        <v>1800</v>
      </c>
      <c r="D1796" s="11">
        <f t="shared" ca="1" si="348"/>
        <v>0.82064454700991207</v>
      </c>
      <c r="E1796" s="9">
        <f t="shared" ca="1" si="349"/>
        <v>445</v>
      </c>
      <c r="F1796" s="9">
        <f t="shared" ca="1" si="353"/>
        <v>2094</v>
      </c>
      <c r="G1796" s="12" t="str">
        <f t="shared" ca="1" si="354"/>
        <v>No</v>
      </c>
      <c r="H1796" s="12">
        <f t="shared" ca="1" si="350"/>
        <v>0</v>
      </c>
      <c r="I1796" s="10">
        <f t="shared" ca="1" si="355"/>
        <v>0</v>
      </c>
      <c r="J1796" s="13">
        <f t="shared" ca="1" si="356"/>
        <v>0</v>
      </c>
      <c r="K1796" s="14">
        <f t="shared" ca="1" si="357"/>
        <v>418.8</v>
      </c>
      <c r="L1796" s="14">
        <f t="shared" ca="1" si="358"/>
        <v>0</v>
      </c>
      <c r="M1796" s="15">
        <f t="shared" ca="1" si="359"/>
        <v>418.8</v>
      </c>
      <c r="N1796" s="16">
        <f ca="1">SUM($M$9:M1796)/A1796</f>
        <v>337.6407158836692</v>
      </c>
    </row>
    <row r="1797" spans="1:14" x14ac:dyDescent="0.25">
      <c r="A1797" s="8">
        <v>1789</v>
      </c>
      <c r="B1797" s="9">
        <f t="shared" ca="1" si="351"/>
        <v>2094</v>
      </c>
      <c r="C1797" s="10">
        <f t="shared" ca="1" si="352"/>
        <v>0</v>
      </c>
      <c r="D1797" s="11">
        <f t="shared" ca="1" si="348"/>
        <v>0.5441815816977783</v>
      </c>
      <c r="E1797" s="9">
        <f t="shared" ca="1" si="349"/>
        <v>405</v>
      </c>
      <c r="F1797" s="9">
        <f t="shared" ca="1" si="353"/>
        <v>1689</v>
      </c>
      <c r="G1797" s="12" t="str">
        <f t="shared" ca="1" si="354"/>
        <v>No</v>
      </c>
      <c r="H1797" s="12">
        <f t="shared" ca="1" si="350"/>
        <v>0</v>
      </c>
      <c r="I1797" s="10">
        <f t="shared" ca="1" si="355"/>
        <v>0</v>
      </c>
      <c r="J1797" s="13">
        <f t="shared" ca="1" si="356"/>
        <v>0</v>
      </c>
      <c r="K1797" s="14">
        <f t="shared" ca="1" si="357"/>
        <v>337.8</v>
      </c>
      <c r="L1797" s="14">
        <f t="shared" ca="1" si="358"/>
        <v>0</v>
      </c>
      <c r="M1797" s="15">
        <f t="shared" ca="1" si="359"/>
        <v>337.8</v>
      </c>
      <c r="N1797" s="16">
        <f ca="1">SUM($M$9:M1797)/A1797</f>
        <v>337.64080491894947</v>
      </c>
    </row>
    <row r="1798" spans="1:14" x14ac:dyDescent="0.25">
      <c r="A1798" s="8">
        <v>1790</v>
      </c>
      <c r="B1798" s="9">
        <f t="shared" ca="1" si="351"/>
        <v>1689</v>
      </c>
      <c r="C1798" s="10">
        <f t="shared" ca="1" si="352"/>
        <v>0</v>
      </c>
      <c r="D1798" s="11">
        <f t="shared" ca="1" si="348"/>
        <v>0.35569805199100901</v>
      </c>
      <c r="E1798" s="9">
        <f t="shared" ca="1" si="349"/>
        <v>381</v>
      </c>
      <c r="F1798" s="9">
        <f t="shared" ca="1" si="353"/>
        <v>1308</v>
      </c>
      <c r="G1798" s="12" t="str">
        <f t="shared" ca="1" si="354"/>
        <v>No</v>
      </c>
      <c r="H1798" s="12">
        <f t="shared" ca="1" si="350"/>
        <v>0</v>
      </c>
      <c r="I1798" s="10">
        <f t="shared" ca="1" si="355"/>
        <v>0</v>
      </c>
      <c r="J1798" s="13">
        <f t="shared" ca="1" si="356"/>
        <v>0</v>
      </c>
      <c r="K1798" s="14">
        <f t="shared" ca="1" si="357"/>
        <v>261.60000000000002</v>
      </c>
      <c r="L1798" s="14">
        <f t="shared" ca="1" si="358"/>
        <v>0</v>
      </c>
      <c r="M1798" s="15">
        <f t="shared" ca="1" si="359"/>
        <v>261.60000000000002</v>
      </c>
      <c r="N1798" s="16">
        <f ca="1">SUM($M$9:M1798)/A1798</f>
        <v>337.59832402234667</v>
      </c>
    </row>
    <row r="1799" spans="1:14" x14ac:dyDescent="0.25">
      <c r="A1799" s="8">
        <v>1791</v>
      </c>
      <c r="B1799" s="9">
        <f t="shared" ca="1" si="351"/>
        <v>1308</v>
      </c>
      <c r="C1799" s="10">
        <f t="shared" ca="1" si="352"/>
        <v>0</v>
      </c>
      <c r="D1799" s="11">
        <f t="shared" ca="1" si="348"/>
        <v>0.34267379295617417</v>
      </c>
      <c r="E1799" s="9">
        <f t="shared" ca="1" si="349"/>
        <v>379</v>
      </c>
      <c r="F1799" s="9">
        <f t="shared" ca="1" si="353"/>
        <v>929</v>
      </c>
      <c r="G1799" s="12" t="str">
        <f t="shared" ca="1" si="354"/>
        <v>Yes</v>
      </c>
      <c r="H1799" s="12">
        <f t="shared" ca="1" si="350"/>
        <v>0.69611314960830484</v>
      </c>
      <c r="I1799" s="10">
        <f t="shared" ca="1" si="355"/>
        <v>1</v>
      </c>
      <c r="J1799" s="13">
        <f t="shared" ca="1" si="356"/>
        <v>300</v>
      </c>
      <c r="K1799" s="14">
        <f t="shared" ca="1" si="357"/>
        <v>185.8</v>
      </c>
      <c r="L1799" s="14">
        <f t="shared" ca="1" si="358"/>
        <v>0</v>
      </c>
      <c r="M1799" s="15">
        <f t="shared" ca="1" si="359"/>
        <v>485.8</v>
      </c>
      <c r="N1799" s="16">
        <f ca="1">SUM($M$9:M1799)/A1799</f>
        <v>337.68107202680102</v>
      </c>
    </row>
    <row r="1800" spans="1:14" x14ac:dyDescent="0.25">
      <c r="A1800" s="8">
        <v>1792</v>
      </c>
      <c r="B1800" s="9">
        <f t="shared" ca="1" si="351"/>
        <v>2729</v>
      </c>
      <c r="C1800" s="10">
        <f t="shared" ca="1" si="352"/>
        <v>1800</v>
      </c>
      <c r="D1800" s="11">
        <f t="shared" ca="1" si="348"/>
        <v>0.51747112583726251</v>
      </c>
      <c r="E1800" s="9">
        <f t="shared" ca="1" si="349"/>
        <v>402</v>
      </c>
      <c r="F1800" s="9">
        <f t="shared" ca="1" si="353"/>
        <v>2327</v>
      </c>
      <c r="G1800" s="12" t="str">
        <f t="shared" ca="1" si="354"/>
        <v>No</v>
      </c>
      <c r="H1800" s="12">
        <f t="shared" ca="1" si="350"/>
        <v>0</v>
      </c>
      <c r="I1800" s="10">
        <f t="shared" ca="1" si="355"/>
        <v>0</v>
      </c>
      <c r="J1800" s="13">
        <f t="shared" ca="1" si="356"/>
        <v>0</v>
      </c>
      <c r="K1800" s="14">
        <f t="shared" ca="1" si="357"/>
        <v>465.40000000000003</v>
      </c>
      <c r="L1800" s="14">
        <f t="shared" ca="1" si="358"/>
        <v>0</v>
      </c>
      <c r="M1800" s="15">
        <f t="shared" ca="1" si="359"/>
        <v>465.40000000000003</v>
      </c>
      <c r="N1800" s="16">
        <f ca="1">SUM($M$9:M1800)/A1800</f>
        <v>337.75234375000036</v>
      </c>
    </row>
    <row r="1801" spans="1:14" x14ac:dyDescent="0.25">
      <c r="A1801" s="8">
        <v>1793</v>
      </c>
      <c r="B1801" s="9">
        <f t="shared" ca="1" si="351"/>
        <v>2327</v>
      </c>
      <c r="C1801" s="10">
        <f t="shared" ca="1" si="352"/>
        <v>0</v>
      </c>
      <c r="D1801" s="11">
        <f t="shared" ca="1" si="348"/>
        <v>0.47301066084433363</v>
      </c>
      <c r="E1801" s="9">
        <f t="shared" ca="1" si="349"/>
        <v>396</v>
      </c>
      <c r="F1801" s="9">
        <f t="shared" ca="1" si="353"/>
        <v>1931</v>
      </c>
      <c r="G1801" s="12" t="str">
        <f t="shared" ca="1" si="354"/>
        <v>No</v>
      </c>
      <c r="H1801" s="12">
        <f t="shared" ca="1" si="350"/>
        <v>0</v>
      </c>
      <c r="I1801" s="10">
        <f t="shared" ca="1" si="355"/>
        <v>0</v>
      </c>
      <c r="J1801" s="13">
        <f t="shared" ca="1" si="356"/>
        <v>0</v>
      </c>
      <c r="K1801" s="14">
        <f t="shared" ca="1" si="357"/>
        <v>386.20000000000005</v>
      </c>
      <c r="L1801" s="14">
        <f t="shared" ca="1" si="358"/>
        <v>0</v>
      </c>
      <c r="M1801" s="15">
        <f t="shared" ca="1" si="359"/>
        <v>386.20000000000005</v>
      </c>
      <c r="N1801" s="16">
        <f ca="1">SUM($M$9:M1801)/A1801</f>
        <v>337.77936419408843</v>
      </c>
    </row>
    <row r="1802" spans="1:14" x14ac:dyDescent="0.25">
      <c r="A1802" s="8">
        <v>1794</v>
      </c>
      <c r="B1802" s="9">
        <f t="shared" ca="1" si="351"/>
        <v>1931</v>
      </c>
      <c r="C1802" s="10">
        <f t="shared" ca="1" si="352"/>
        <v>0</v>
      </c>
      <c r="D1802" s="11">
        <f t="shared" ref="D1802:D1865" ca="1" si="360">RAND()</f>
        <v>0.95982320547520761</v>
      </c>
      <c r="E1802" s="9">
        <f t="shared" ref="E1802:E1865" ca="1" si="361">INT(NORMINV(D1802,D_Mean,D_StdDev))</f>
        <v>487</v>
      </c>
      <c r="F1802" s="9">
        <f t="shared" ca="1" si="353"/>
        <v>1444</v>
      </c>
      <c r="G1802" s="12" t="str">
        <f t="shared" ca="1" si="354"/>
        <v>No</v>
      </c>
      <c r="H1802" s="12">
        <f t="shared" ref="H1802:H1865" ca="1" si="362">IF(G1802="Yes",RAND(),0)</f>
        <v>0</v>
      </c>
      <c r="I1802" s="10">
        <f t="shared" ca="1" si="355"/>
        <v>0</v>
      </c>
      <c r="J1802" s="13">
        <f t="shared" ca="1" si="356"/>
        <v>0</v>
      </c>
      <c r="K1802" s="14">
        <f t="shared" ca="1" si="357"/>
        <v>288.8</v>
      </c>
      <c r="L1802" s="14">
        <f t="shared" ca="1" si="358"/>
        <v>0</v>
      </c>
      <c r="M1802" s="15">
        <f t="shared" ca="1" si="359"/>
        <v>288.8</v>
      </c>
      <c r="N1802" s="16">
        <f ca="1">SUM($M$9:M1802)/A1802</f>
        <v>337.75206243032369</v>
      </c>
    </row>
    <row r="1803" spans="1:14" x14ac:dyDescent="0.25">
      <c r="A1803" s="8">
        <v>1795</v>
      </c>
      <c r="B1803" s="9">
        <f t="shared" ca="1" si="351"/>
        <v>1444</v>
      </c>
      <c r="C1803" s="10">
        <f t="shared" ca="1" si="352"/>
        <v>0</v>
      </c>
      <c r="D1803" s="11">
        <f t="shared" ca="1" si="360"/>
        <v>0.65560508978478571</v>
      </c>
      <c r="E1803" s="9">
        <f t="shared" ca="1" si="361"/>
        <v>420</v>
      </c>
      <c r="F1803" s="9">
        <f t="shared" ca="1" si="353"/>
        <v>1024</v>
      </c>
      <c r="G1803" s="12" t="str">
        <f t="shared" ca="1" si="354"/>
        <v>No</v>
      </c>
      <c r="H1803" s="12">
        <f t="shared" ca="1" si="362"/>
        <v>0</v>
      </c>
      <c r="I1803" s="10">
        <f t="shared" ca="1" si="355"/>
        <v>0</v>
      </c>
      <c r="J1803" s="13">
        <f t="shared" ca="1" si="356"/>
        <v>0</v>
      </c>
      <c r="K1803" s="14">
        <f t="shared" ca="1" si="357"/>
        <v>204.8</v>
      </c>
      <c r="L1803" s="14">
        <f t="shared" ca="1" si="358"/>
        <v>0</v>
      </c>
      <c r="M1803" s="15">
        <f t="shared" ca="1" si="359"/>
        <v>204.8</v>
      </c>
      <c r="N1803" s="16">
        <f ca="1">SUM($M$9:M1803)/A1803</f>
        <v>337.67799442896973</v>
      </c>
    </row>
    <row r="1804" spans="1:14" x14ac:dyDescent="0.25">
      <c r="A1804" s="8">
        <v>1796</v>
      </c>
      <c r="B1804" s="9">
        <f t="shared" ca="1" si="351"/>
        <v>1024</v>
      </c>
      <c r="C1804" s="10">
        <f t="shared" ca="1" si="352"/>
        <v>0</v>
      </c>
      <c r="D1804" s="11">
        <f t="shared" ca="1" si="360"/>
        <v>0.19064229404711008</v>
      </c>
      <c r="E1804" s="9">
        <f t="shared" ca="1" si="361"/>
        <v>356</v>
      </c>
      <c r="F1804" s="9">
        <f t="shared" ca="1" si="353"/>
        <v>668</v>
      </c>
      <c r="G1804" s="12" t="str">
        <f t="shared" ca="1" si="354"/>
        <v>Yes</v>
      </c>
      <c r="H1804" s="12">
        <f t="shared" ca="1" si="362"/>
        <v>0.80936205835574715</v>
      </c>
      <c r="I1804" s="10">
        <f t="shared" ca="1" si="355"/>
        <v>2</v>
      </c>
      <c r="J1804" s="13">
        <f t="shared" ca="1" si="356"/>
        <v>300</v>
      </c>
      <c r="K1804" s="14">
        <f t="shared" ca="1" si="357"/>
        <v>133.6</v>
      </c>
      <c r="L1804" s="14">
        <f t="shared" ca="1" si="358"/>
        <v>0</v>
      </c>
      <c r="M1804" s="15">
        <f t="shared" ca="1" si="359"/>
        <v>433.6</v>
      </c>
      <c r="N1804" s="16">
        <f ca="1">SUM($M$9:M1804)/A1804</f>
        <v>337.73140311804048</v>
      </c>
    </row>
    <row r="1805" spans="1:14" x14ac:dyDescent="0.25">
      <c r="A1805" s="8">
        <v>1797</v>
      </c>
      <c r="B1805" s="9">
        <f t="shared" ca="1" si="351"/>
        <v>668</v>
      </c>
      <c r="C1805" s="10">
        <f t="shared" ca="1" si="352"/>
        <v>0</v>
      </c>
      <c r="D1805" s="11">
        <f t="shared" ca="1" si="360"/>
        <v>0.98661164774384391</v>
      </c>
      <c r="E1805" s="9">
        <f t="shared" ca="1" si="361"/>
        <v>510</v>
      </c>
      <c r="F1805" s="9">
        <f t="shared" ca="1" si="353"/>
        <v>158</v>
      </c>
      <c r="G1805" s="12" t="str">
        <f t="shared" ca="1" si="354"/>
        <v>No</v>
      </c>
      <c r="H1805" s="12">
        <f t="shared" ca="1" si="362"/>
        <v>0</v>
      </c>
      <c r="I1805" s="10">
        <f t="shared" ca="1" si="355"/>
        <v>1</v>
      </c>
      <c r="J1805" s="13">
        <f t="shared" ca="1" si="356"/>
        <v>0</v>
      </c>
      <c r="K1805" s="14">
        <f t="shared" ca="1" si="357"/>
        <v>31.6</v>
      </c>
      <c r="L1805" s="14">
        <f t="shared" ca="1" si="358"/>
        <v>0</v>
      </c>
      <c r="M1805" s="15">
        <f t="shared" ca="1" si="359"/>
        <v>31.6</v>
      </c>
      <c r="N1805" s="16">
        <f ca="1">SUM($M$9:M1805)/A1805</f>
        <v>337.56104618809161</v>
      </c>
    </row>
    <row r="1806" spans="1:14" x14ac:dyDescent="0.25">
      <c r="A1806" s="8">
        <v>1798</v>
      </c>
      <c r="B1806" s="9">
        <f t="shared" ca="1" si="351"/>
        <v>1958</v>
      </c>
      <c r="C1806" s="10">
        <f t="shared" ca="1" si="352"/>
        <v>1800</v>
      </c>
      <c r="D1806" s="11">
        <f t="shared" ca="1" si="360"/>
        <v>0.33175131057006513</v>
      </c>
      <c r="E1806" s="9">
        <f t="shared" ca="1" si="361"/>
        <v>378</v>
      </c>
      <c r="F1806" s="9">
        <f t="shared" ca="1" si="353"/>
        <v>1580</v>
      </c>
      <c r="G1806" s="12" t="str">
        <f t="shared" ca="1" si="354"/>
        <v>No</v>
      </c>
      <c r="H1806" s="12">
        <f t="shared" ca="1" si="362"/>
        <v>0</v>
      </c>
      <c r="I1806" s="10">
        <f t="shared" ca="1" si="355"/>
        <v>0</v>
      </c>
      <c r="J1806" s="13">
        <f t="shared" ca="1" si="356"/>
        <v>0</v>
      </c>
      <c r="K1806" s="14">
        <f t="shared" ca="1" si="357"/>
        <v>316</v>
      </c>
      <c r="L1806" s="14">
        <f t="shared" ca="1" si="358"/>
        <v>0</v>
      </c>
      <c r="M1806" s="15">
        <f t="shared" ca="1" si="359"/>
        <v>316</v>
      </c>
      <c r="N1806" s="16">
        <f ca="1">SUM($M$9:M1806)/A1806</f>
        <v>337.54905450500593</v>
      </c>
    </row>
    <row r="1807" spans="1:14" x14ac:dyDescent="0.25">
      <c r="A1807" s="8">
        <v>1799</v>
      </c>
      <c r="B1807" s="9">
        <f t="shared" ca="1" si="351"/>
        <v>1580</v>
      </c>
      <c r="C1807" s="10">
        <f t="shared" ca="1" si="352"/>
        <v>0</v>
      </c>
      <c r="D1807" s="11">
        <f t="shared" ca="1" si="360"/>
        <v>0.50449425986575125</v>
      </c>
      <c r="E1807" s="9">
        <f t="shared" ca="1" si="361"/>
        <v>400</v>
      </c>
      <c r="F1807" s="9">
        <f t="shared" ca="1" si="353"/>
        <v>1180</v>
      </c>
      <c r="G1807" s="12" t="str">
        <f t="shared" ca="1" si="354"/>
        <v>No</v>
      </c>
      <c r="H1807" s="12">
        <f t="shared" ca="1" si="362"/>
        <v>0</v>
      </c>
      <c r="I1807" s="10">
        <f t="shared" ca="1" si="355"/>
        <v>0</v>
      </c>
      <c r="J1807" s="13">
        <f t="shared" ca="1" si="356"/>
        <v>0</v>
      </c>
      <c r="K1807" s="14">
        <f t="shared" ca="1" si="357"/>
        <v>236</v>
      </c>
      <c r="L1807" s="14">
        <f t="shared" ca="1" si="358"/>
        <v>0</v>
      </c>
      <c r="M1807" s="15">
        <f t="shared" ca="1" si="359"/>
        <v>236</v>
      </c>
      <c r="N1807" s="16">
        <f ca="1">SUM($M$9:M1807)/A1807</f>
        <v>337.49260700389141</v>
      </c>
    </row>
    <row r="1808" spans="1:14" x14ac:dyDescent="0.25">
      <c r="A1808" s="8">
        <v>1800</v>
      </c>
      <c r="B1808" s="9">
        <f t="shared" ca="1" si="351"/>
        <v>1180</v>
      </c>
      <c r="C1808" s="10">
        <f t="shared" ca="1" si="352"/>
        <v>0</v>
      </c>
      <c r="D1808" s="11">
        <f t="shared" ca="1" si="360"/>
        <v>0.82049422918807002</v>
      </c>
      <c r="E1808" s="9">
        <f t="shared" ca="1" si="361"/>
        <v>445</v>
      </c>
      <c r="F1808" s="9">
        <f t="shared" ca="1" si="353"/>
        <v>735</v>
      </c>
      <c r="G1808" s="12" t="str">
        <f t="shared" ca="1" si="354"/>
        <v>Yes</v>
      </c>
      <c r="H1808" s="12">
        <f t="shared" ca="1" si="362"/>
        <v>0.9403002863819464</v>
      </c>
      <c r="I1808" s="10">
        <f t="shared" ca="1" si="355"/>
        <v>3</v>
      </c>
      <c r="J1808" s="13">
        <f t="shared" ca="1" si="356"/>
        <v>300</v>
      </c>
      <c r="K1808" s="14">
        <f t="shared" ca="1" si="357"/>
        <v>147</v>
      </c>
      <c r="L1808" s="14">
        <f t="shared" ca="1" si="358"/>
        <v>0</v>
      </c>
      <c r="M1808" s="15">
        <f t="shared" ca="1" si="359"/>
        <v>447</v>
      </c>
      <c r="N1808" s="16">
        <f ca="1">SUM($M$9:M1808)/A1808</f>
        <v>337.55344444444478</v>
      </c>
    </row>
    <row r="1809" spans="1:14" x14ac:dyDescent="0.25">
      <c r="A1809" s="8">
        <v>1801</v>
      </c>
      <c r="B1809" s="9">
        <f t="shared" ca="1" si="351"/>
        <v>735</v>
      </c>
      <c r="C1809" s="10">
        <f t="shared" ca="1" si="352"/>
        <v>0</v>
      </c>
      <c r="D1809" s="11">
        <f t="shared" ca="1" si="360"/>
        <v>0.7199301583996065</v>
      </c>
      <c r="E1809" s="9">
        <f t="shared" ca="1" si="361"/>
        <v>429</v>
      </c>
      <c r="F1809" s="9">
        <f t="shared" ca="1" si="353"/>
        <v>306</v>
      </c>
      <c r="G1809" s="12" t="str">
        <f t="shared" ca="1" si="354"/>
        <v>No</v>
      </c>
      <c r="H1809" s="12">
        <f t="shared" ca="1" si="362"/>
        <v>0</v>
      </c>
      <c r="I1809" s="10">
        <f t="shared" ca="1" si="355"/>
        <v>2</v>
      </c>
      <c r="J1809" s="13">
        <f t="shared" ca="1" si="356"/>
        <v>0</v>
      </c>
      <c r="K1809" s="14">
        <f t="shared" ca="1" si="357"/>
        <v>61.2</v>
      </c>
      <c r="L1809" s="14">
        <f t="shared" ca="1" si="358"/>
        <v>0</v>
      </c>
      <c r="M1809" s="15">
        <f t="shared" ca="1" si="359"/>
        <v>61.2</v>
      </c>
      <c r="N1809" s="16">
        <f ca="1">SUM($M$9:M1809)/A1809</f>
        <v>337.40000000000032</v>
      </c>
    </row>
    <row r="1810" spans="1:14" x14ac:dyDescent="0.25">
      <c r="A1810" s="8">
        <v>1802</v>
      </c>
      <c r="B1810" s="9">
        <f t="shared" ca="1" si="351"/>
        <v>306</v>
      </c>
      <c r="C1810" s="10">
        <f t="shared" ca="1" si="352"/>
        <v>0</v>
      </c>
      <c r="D1810" s="11">
        <f t="shared" ca="1" si="360"/>
        <v>0.31836566046815251</v>
      </c>
      <c r="E1810" s="9">
        <f t="shared" ca="1" si="361"/>
        <v>376</v>
      </c>
      <c r="F1810" s="9">
        <f t="shared" ca="1" si="353"/>
        <v>0</v>
      </c>
      <c r="G1810" s="12" t="str">
        <f t="shared" ca="1" si="354"/>
        <v>No</v>
      </c>
      <c r="H1810" s="12">
        <f t="shared" ca="1" si="362"/>
        <v>0</v>
      </c>
      <c r="I1810" s="10">
        <f t="shared" ca="1" si="355"/>
        <v>1</v>
      </c>
      <c r="J1810" s="13">
        <f t="shared" ca="1" si="356"/>
        <v>0</v>
      </c>
      <c r="K1810" s="14">
        <f t="shared" ca="1" si="357"/>
        <v>0</v>
      </c>
      <c r="L1810" s="14">
        <f t="shared" ca="1" si="358"/>
        <v>140</v>
      </c>
      <c r="M1810" s="15">
        <f t="shared" ca="1" si="359"/>
        <v>140</v>
      </c>
      <c r="N1810" s="16">
        <f ca="1">SUM($M$9:M1810)/A1810</f>
        <v>337.29045504994485</v>
      </c>
    </row>
    <row r="1811" spans="1:14" x14ac:dyDescent="0.25">
      <c r="A1811" s="8">
        <v>1803</v>
      </c>
      <c r="B1811" s="9">
        <f t="shared" ca="1" si="351"/>
        <v>1800</v>
      </c>
      <c r="C1811" s="10">
        <f t="shared" ca="1" si="352"/>
        <v>1800</v>
      </c>
      <c r="D1811" s="11">
        <f t="shared" ca="1" si="360"/>
        <v>0.33260097968608349</v>
      </c>
      <c r="E1811" s="9">
        <f t="shared" ca="1" si="361"/>
        <v>378</v>
      </c>
      <c r="F1811" s="9">
        <f t="shared" ca="1" si="353"/>
        <v>1422</v>
      </c>
      <c r="G1811" s="12" t="str">
        <f t="shared" ca="1" si="354"/>
        <v>No</v>
      </c>
      <c r="H1811" s="12">
        <f t="shared" ca="1" si="362"/>
        <v>0</v>
      </c>
      <c r="I1811" s="10">
        <f t="shared" ca="1" si="355"/>
        <v>0</v>
      </c>
      <c r="J1811" s="13">
        <f t="shared" ca="1" si="356"/>
        <v>0</v>
      </c>
      <c r="K1811" s="14">
        <f t="shared" ca="1" si="357"/>
        <v>284.40000000000003</v>
      </c>
      <c r="L1811" s="14">
        <f t="shared" ca="1" si="358"/>
        <v>0</v>
      </c>
      <c r="M1811" s="15">
        <f t="shared" ca="1" si="359"/>
        <v>284.40000000000003</v>
      </c>
      <c r="N1811" s="16">
        <f ca="1">SUM($M$9:M1811)/A1811</f>
        <v>337.26112035496431</v>
      </c>
    </row>
    <row r="1812" spans="1:14" x14ac:dyDescent="0.25">
      <c r="A1812" s="8">
        <v>1804</v>
      </c>
      <c r="B1812" s="9">
        <f t="shared" ca="1" si="351"/>
        <v>1422</v>
      </c>
      <c r="C1812" s="10">
        <f t="shared" ca="1" si="352"/>
        <v>0</v>
      </c>
      <c r="D1812" s="11">
        <f t="shared" ca="1" si="360"/>
        <v>1.5277872308145479E-2</v>
      </c>
      <c r="E1812" s="9">
        <f t="shared" ca="1" si="361"/>
        <v>291</v>
      </c>
      <c r="F1812" s="9">
        <f t="shared" ca="1" si="353"/>
        <v>1131</v>
      </c>
      <c r="G1812" s="12" t="str">
        <f t="shared" ca="1" si="354"/>
        <v>No</v>
      </c>
      <c r="H1812" s="12">
        <f t="shared" ca="1" si="362"/>
        <v>0</v>
      </c>
      <c r="I1812" s="10">
        <f t="shared" ca="1" si="355"/>
        <v>0</v>
      </c>
      <c r="J1812" s="13">
        <f t="shared" ca="1" si="356"/>
        <v>0</v>
      </c>
      <c r="K1812" s="14">
        <f t="shared" ca="1" si="357"/>
        <v>226.20000000000002</v>
      </c>
      <c r="L1812" s="14">
        <f t="shared" ca="1" si="358"/>
        <v>0</v>
      </c>
      <c r="M1812" s="15">
        <f t="shared" ca="1" si="359"/>
        <v>226.20000000000002</v>
      </c>
      <c r="N1812" s="16">
        <f ca="1">SUM($M$9:M1812)/A1812</f>
        <v>337.19955654102029</v>
      </c>
    </row>
    <row r="1813" spans="1:14" x14ac:dyDescent="0.25">
      <c r="A1813" s="8">
        <v>1805</v>
      </c>
      <c r="B1813" s="9">
        <f t="shared" ca="1" si="351"/>
        <v>1131</v>
      </c>
      <c r="C1813" s="10">
        <f t="shared" ca="1" si="352"/>
        <v>0</v>
      </c>
      <c r="D1813" s="11">
        <f t="shared" ca="1" si="360"/>
        <v>0.26207347876446663</v>
      </c>
      <c r="E1813" s="9">
        <f t="shared" ca="1" si="361"/>
        <v>368</v>
      </c>
      <c r="F1813" s="9">
        <f t="shared" ca="1" si="353"/>
        <v>763</v>
      </c>
      <c r="G1813" s="12" t="str">
        <f t="shared" ca="1" si="354"/>
        <v>Yes</v>
      </c>
      <c r="H1813" s="12">
        <f t="shared" ca="1" si="362"/>
        <v>0.50195314081424969</v>
      </c>
      <c r="I1813" s="10">
        <f t="shared" ca="1" si="355"/>
        <v>1</v>
      </c>
      <c r="J1813" s="13">
        <f t="shared" ca="1" si="356"/>
        <v>300</v>
      </c>
      <c r="K1813" s="14">
        <f t="shared" ca="1" si="357"/>
        <v>152.6</v>
      </c>
      <c r="L1813" s="14">
        <f t="shared" ca="1" si="358"/>
        <v>0</v>
      </c>
      <c r="M1813" s="15">
        <f t="shared" ca="1" si="359"/>
        <v>452.6</v>
      </c>
      <c r="N1813" s="16">
        <f ca="1">SUM($M$9:M1813)/A1813</f>
        <v>337.26349030470948</v>
      </c>
    </row>
    <row r="1814" spans="1:14" x14ac:dyDescent="0.25">
      <c r="A1814" s="8">
        <v>1806</v>
      </c>
      <c r="B1814" s="9">
        <f t="shared" ca="1" si="351"/>
        <v>2563</v>
      </c>
      <c r="C1814" s="10">
        <f t="shared" ca="1" si="352"/>
        <v>1800</v>
      </c>
      <c r="D1814" s="11">
        <f t="shared" ca="1" si="360"/>
        <v>0.39203188999916172</v>
      </c>
      <c r="E1814" s="9">
        <f t="shared" ca="1" si="361"/>
        <v>386</v>
      </c>
      <c r="F1814" s="9">
        <f t="shared" ca="1" si="353"/>
        <v>2177</v>
      </c>
      <c r="G1814" s="12" t="str">
        <f t="shared" ca="1" si="354"/>
        <v>No</v>
      </c>
      <c r="H1814" s="12">
        <f t="shared" ca="1" si="362"/>
        <v>0</v>
      </c>
      <c r="I1814" s="10">
        <f t="shared" ca="1" si="355"/>
        <v>0</v>
      </c>
      <c r="J1814" s="13">
        <f t="shared" ca="1" si="356"/>
        <v>0</v>
      </c>
      <c r="K1814" s="14">
        <f t="shared" ca="1" si="357"/>
        <v>435.40000000000003</v>
      </c>
      <c r="L1814" s="14">
        <f t="shared" ca="1" si="358"/>
        <v>0</v>
      </c>
      <c r="M1814" s="15">
        <f t="shared" ca="1" si="359"/>
        <v>435.40000000000003</v>
      </c>
      <c r="N1814" s="16">
        <f ca="1">SUM($M$9:M1814)/A1814</f>
        <v>337.31782945736467</v>
      </c>
    </row>
    <row r="1815" spans="1:14" x14ac:dyDescent="0.25">
      <c r="A1815" s="8">
        <v>1807</v>
      </c>
      <c r="B1815" s="9">
        <f t="shared" ca="1" si="351"/>
        <v>2177</v>
      </c>
      <c r="C1815" s="10">
        <f t="shared" ca="1" si="352"/>
        <v>0</v>
      </c>
      <c r="D1815" s="11">
        <f t="shared" ca="1" si="360"/>
        <v>0.3114020692798759</v>
      </c>
      <c r="E1815" s="9">
        <f t="shared" ca="1" si="361"/>
        <v>375</v>
      </c>
      <c r="F1815" s="9">
        <f t="shared" ca="1" si="353"/>
        <v>1802</v>
      </c>
      <c r="G1815" s="12" t="str">
        <f t="shared" ca="1" si="354"/>
        <v>No</v>
      </c>
      <c r="H1815" s="12">
        <f t="shared" ca="1" si="362"/>
        <v>0</v>
      </c>
      <c r="I1815" s="10">
        <f t="shared" ca="1" si="355"/>
        <v>0</v>
      </c>
      <c r="J1815" s="13">
        <f t="shared" ca="1" si="356"/>
        <v>0</v>
      </c>
      <c r="K1815" s="14">
        <f t="shared" ca="1" si="357"/>
        <v>360.40000000000003</v>
      </c>
      <c r="L1815" s="14">
        <f t="shared" ca="1" si="358"/>
        <v>0</v>
      </c>
      <c r="M1815" s="15">
        <f t="shared" ca="1" si="359"/>
        <v>360.40000000000003</v>
      </c>
      <c r="N1815" s="16">
        <f ca="1">SUM($M$9:M1815)/A1815</f>
        <v>337.33060320974022</v>
      </c>
    </row>
    <row r="1816" spans="1:14" x14ac:dyDescent="0.25">
      <c r="A1816" s="8">
        <v>1808</v>
      </c>
      <c r="B1816" s="9">
        <f t="shared" ca="1" si="351"/>
        <v>1802</v>
      </c>
      <c r="C1816" s="10">
        <f t="shared" ca="1" si="352"/>
        <v>0</v>
      </c>
      <c r="D1816" s="11">
        <f t="shared" ca="1" si="360"/>
        <v>0.46897866282807654</v>
      </c>
      <c r="E1816" s="9">
        <f t="shared" ca="1" si="361"/>
        <v>396</v>
      </c>
      <c r="F1816" s="9">
        <f t="shared" ca="1" si="353"/>
        <v>1406</v>
      </c>
      <c r="G1816" s="12" t="str">
        <f t="shared" ca="1" si="354"/>
        <v>No</v>
      </c>
      <c r="H1816" s="12">
        <f t="shared" ca="1" si="362"/>
        <v>0</v>
      </c>
      <c r="I1816" s="10">
        <f t="shared" ca="1" si="355"/>
        <v>0</v>
      </c>
      <c r="J1816" s="13">
        <f t="shared" ca="1" si="356"/>
        <v>0</v>
      </c>
      <c r="K1816" s="14">
        <f t="shared" ca="1" si="357"/>
        <v>281.2</v>
      </c>
      <c r="L1816" s="14">
        <f t="shared" ca="1" si="358"/>
        <v>0</v>
      </c>
      <c r="M1816" s="15">
        <f t="shared" ca="1" si="359"/>
        <v>281.2</v>
      </c>
      <c r="N1816" s="16">
        <f ca="1">SUM($M$9:M1816)/A1816</f>
        <v>337.29955752212419</v>
      </c>
    </row>
    <row r="1817" spans="1:14" x14ac:dyDescent="0.25">
      <c r="A1817" s="8">
        <v>1809</v>
      </c>
      <c r="B1817" s="9">
        <f t="shared" ca="1" si="351"/>
        <v>1406</v>
      </c>
      <c r="C1817" s="10">
        <f t="shared" ca="1" si="352"/>
        <v>0</v>
      </c>
      <c r="D1817" s="11">
        <f t="shared" ca="1" si="360"/>
        <v>0.19188402290032847</v>
      </c>
      <c r="E1817" s="9">
        <f t="shared" ca="1" si="361"/>
        <v>356</v>
      </c>
      <c r="F1817" s="9">
        <f t="shared" ca="1" si="353"/>
        <v>1050</v>
      </c>
      <c r="G1817" s="12" t="str">
        <f t="shared" ca="1" si="354"/>
        <v>No</v>
      </c>
      <c r="H1817" s="12">
        <f t="shared" ca="1" si="362"/>
        <v>0</v>
      </c>
      <c r="I1817" s="10">
        <f t="shared" ca="1" si="355"/>
        <v>0</v>
      </c>
      <c r="J1817" s="13">
        <f t="shared" ca="1" si="356"/>
        <v>0</v>
      </c>
      <c r="K1817" s="14">
        <f t="shared" ca="1" si="357"/>
        <v>210</v>
      </c>
      <c r="L1817" s="14">
        <f t="shared" ca="1" si="358"/>
        <v>0</v>
      </c>
      <c r="M1817" s="15">
        <f t="shared" ca="1" si="359"/>
        <v>210</v>
      </c>
      <c r="N1817" s="16">
        <f ca="1">SUM($M$9:M1817)/A1817</f>
        <v>337.2291873963519</v>
      </c>
    </row>
    <row r="1818" spans="1:14" x14ac:dyDescent="0.25">
      <c r="A1818" s="8">
        <v>1810</v>
      </c>
      <c r="B1818" s="9">
        <f t="shared" ca="1" si="351"/>
        <v>1050</v>
      </c>
      <c r="C1818" s="10">
        <f t="shared" ca="1" si="352"/>
        <v>0</v>
      </c>
      <c r="D1818" s="11">
        <f t="shared" ca="1" si="360"/>
        <v>0.78763379856426385</v>
      </c>
      <c r="E1818" s="9">
        <f t="shared" ca="1" si="361"/>
        <v>439</v>
      </c>
      <c r="F1818" s="9">
        <f t="shared" ca="1" si="353"/>
        <v>611</v>
      </c>
      <c r="G1818" s="12" t="str">
        <f t="shared" ca="1" si="354"/>
        <v>Yes</v>
      </c>
      <c r="H1818" s="12">
        <f t="shared" ca="1" si="362"/>
        <v>0.91433222711531825</v>
      </c>
      <c r="I1818" s="10">
        <f t="shared" ca="1" si="355"/>
        <v>3</v>
      </c>
      <c r="J1818" s="13">
        <f t="shared" ca="1" si="356"/>
        <v>300</v>
      </c>
      <c r="K1818" s="14">
        <f t="shared" ca="1" si="357"/>
        <v>122.2</v>
      </c>
      <c r="L1818" s="14">
        <f t="shared" ca="1" si="358"/>
        <v>0</v>
      </c>
      <c r="M1818" s="15">
        <f t="shared" ca="1" si="359"/>
        <v>422.2</v>
      </c>
      <c r="N1818" s="16">
        <f ca="1">SUM($M$9:M1818)/A1818</f>
        <v>337.27613259668539</v>
      </c>
    </row>
    <row r="1819" spans="1:14" x14ac:dyDescent="0.25">
      <c r="A1819" s="8">
        <v>1811</v>
      </c>
      <c r="B1819" s="9">
        <f t="shared" ca="1" si="351"/>
        <v>611</v>
      </c>
      <c r="C1819" s="10">
        <f t="shared" ca="1" si="352"/>
        <v>0</v>
      </c>
      <c r="D1819" s="11">
        <f t="shared" ca="1" si="360"/>
        <v>0.10617989139479578</v>
      </c>
      <c r="E1819" s="9">
        <f t="shared" ca="1" si="361"/>
        <v>337</v>
      </c>
      <c r="F1819" s="9">
        <f t="shared" ca="1" si="353"/>
        <v>274</v>
      </c>
      <c r="G1819" s="12" t="str">
        <f t="shared" ca="1" si="354"/>
        <v>No</v>
      </c>
      <c r="H1819" s="12">
        <f t="shared" ca="1" si="362"/>
        <v>0</v>
      </c>
      <c r="I1819" s="10">
        <f t="shared" ca="1" si="355"/>
        <v>2</v>
      </c>
      <c r="J1819" s="13">
        <f t="shared" ca="1" si="356"/>
        <v>0</v>
      </c>
      <c r="K1819" s="14">
        <f t="shared" ca="1" si="357"/>
        <v>54.800000000000004</v>
      </c>
      <c r="L1819" s="14">
        <f t="shared" ca="1" si="358"/>
        <v>0</v>
      </c>
      <c r="M1819" s="15">
        <f t="shared" ca="1" si="359"/>
        <v>54.800000000000004</v>
      </c>
      <c r="N1819" s="16">
        <f ca="1">SUM($M$9:M1819)/A1819</f>
        <v>337.12015461071263</v>
      </c>
    </row>
    <row r="1820" spans="1:14" x14ac:dyDescent="0.25">
      <c r="A1820" s="8">
        <v>1812</v>
      </c>
      <c r="B1820" s="9">
        <f t="shared" ca="1" si="351"/>
        <v>274</v>
      </c>
      <c r="C1820" s="10">
        <f t="shared" ca="1" si="352"/>
        <v>0</v>
      </c>
      <c r="D1820" s="11">
        <f t="shared" ca="1" si="360"/>
        <v>0.66507519238225754</v>
      </c>
      <c r="E1820" s="9">
        <f t="shared" ca="1" si="361"/>
        <v>421</v>
      </c>
      <c r="F1820" s="9">
        <f t="shared" ca="1" si="353"/>
        <v>0</v>
      </c>
      <c r="G1820" s="12" t="str">
        <f t="shared" ca="1" si="354"/>
        <v>No</v>
      </c>
      <c r="H1820" s="12">
        <f t="shared" ca="1" si="362"/>
        <v>0</v>
      </c>
      <c r="I1820" s="10">
        <f t="shared" ca="1" si="355"/>
        <v>1</v>
      </c>
      <c r="J1820" s="13">
        <f t="shared" ca="1" si="356"/>
        <v>0</v>
      </c>
      <c r="K1820" s="14">
        <f t="shared" ca="1" si="357"/>
        <v>0</v>
      </c>
      <c r="L1820" s="14">
        <f t="shared" ca="1" si="358"/>
        <v>294</v>
      </c>
      <c r="M1820" s="15">
        <f t="shared" ca="1" si="359"/>
        <v>294</v>
      </c>
      <c r="N1820" s="16">
        <f ca="1">SUM($M$9:M1820)/A1820</f>
        <v>337.09635761589436</v>
      </c>
    </row>
    <row r="1821" spans="1:14" x14ac:dyDescent="0.25">
      <c r="A1821" s="8">
        <v>1813</v>
      </c>
      <c r="B1821" s="9">
        <f t="shared" ca="1" si="351"/>
        <v>1800</v>
      </c>
      <c r="C1821" s="10">
        <f t="shared" ca="1" si="352"/>
        <v>1800</v>
      </c>
      <c r="D1821" s="11">
        <f t="shared" ca="1" si="360"/>
        <v>0.14240220617240307</v>
      </c>
      <c r="E1821" s="9">
        <f t="shared" ca="1" si="361"/>
        <v>346</v>
      </c>
      <c r="F1821" s="9">
        <f t="shared" ca="1" si="353"/>
        <v>1454</v>
      </c>
      <c r="G1821" s="12" t="str">
        <f t="shared" ca="1" si="354"/>
        <v>No</v>
      </c>
      <c r="H1821" s="12">
        <f t="shared" ca="1" si="362"/>
        <v>0</v>
      </c>
      <c r="I1821" s="10">
        <f t="shared" ca="1" si="355"/>
        <v>0</v>
      </c>
      <c r="J1821" s="13">
        <f t="shared" ca="1" si="356"/>
        <v>0</v>
      </c>
      <c r="K1821" s="14">
        <f t="shared" ca="1" si="357"/>
        <v>290.8</v>
      </c>
      <c r="L1821" s="14">
        <f t="shared" ca="1" si="358"/>
        <v>0</v>
      </c>
      <c r="M1821" s="15">
        <f t="shared" ca="1" si="359"/>
        <v>290.8</v>
      </c>
      <c r="N1821" s="16">
        <f ca="1">SUM($M$9:M1821)/A1821</f>
        <v>337.07082184225072</v>
      </c>
    </row>
    <row r="1822" spans="1:14" x14ac:dyDescent="0.25">
      <c r="A1822" s="8">
        <v>1814</v>
      </c>
      <c r="B1822" s="9">
        <f t="shared" ca="1" si="351"/>
        <v>1454</v>
      </c>
      <c r="C1822" s="10">
        <f t="shared" ca="1" si="352"/>
        <v>0</v>
      </c>
      <c r="D1822" s="11">
        <f t="shared" ca="1" si="360"/>
        <v>7.0957598776196007E-2</v>
      </c>
      <c r="E1822" s="9">
        <f t="shared" ca="1" si="361"/>
        <v>326</v>
      </c>
      <c r="F1822" s="9">
        <f t="shared" ca="1" si="353"/>
        <v>1128</v>
      </c>
      <c r="G1822" s="12" t="str">
        <f t="shared" ca="1" si="354"/>
        <v>No</v>
      </c>
      <c r="H1822" s="12">
        <f t="shared" ca="1" si="362"/>
        <v>0</v>
      </c>
      <c r="I1822" s="10">
        <f t="shared" ca="1" si="355"/>
        <v>0</v>
      </c>
      <c r="J1822" s="13">
        <f t="shared" ca="1" si="356"/>
        <v>0</v>
      </c>
      <c r="K1822" s="14">
        <f t="shared" ca="1" si="357"/>
        <v>225.60000000000002</v>
      </c>
      <c r="L1822" s="14">
        <f t="shared" ca="1" si="358"/>
        <v>0</v>
      </c>
      <c r="M1822" s="15">
        <f t="shared" ca="1" si="359"/>
        <v>225.60000000000002</v>
      </c>
      <c r="N1822" s="16">
        <f ca="1">SUM($M$9:M1822)/A1822</f>
        <v>337.00937155457586</v>
      </c>
    </row>
    <row r="1823" spans="1:14" x14ac:dyDescent="0.25">
      <c r="A1823" s="8">
        <v>1815</v>
      </c>
      <c r="B1823" s="9">
        <f t="shared" ca="1" si="351"/>
        <v>1128</v>
      </c>
      <c r="C1823" s="10">
        <f t="shared" ca="1" si="352"/>
        <v>0</v>
      </c>
      <c r="D1823" s="11">
        <f t="shared" ca="1" si="360"/>
        <v>7.6787645057662557E-2</v>
      </c>
      <c r="E1823" s="9">
        <f t="shared" ca="1" si="361"/>
        <v>328</v>
      </c>
      <c r="F1823" s="9">
        <f t="shared" ca="1" si="353"/>
        <v>800</v>
      </c>
      <c r="G1823" s="12" t="str">
        <f t="shared" ca="1" si="354"/>
        <v>Yes</v>
      </c>
      <c r="H1823" s="12">
        <f t="shared" ca="1" si="362"/>
        <v>0.57685221339792003</v>
      </c>
      <c r="I1823" s="10">
        <f t="shared" ca="1" si="355"/>
        <v>1</v>
      </c>
      <c r="J1823" s="13">
        <f t="shared" ca="1" si="356"/>
        <v>300</v>
      </c>
      <c r="K1823" s="14">
        <f t="shared" ca="1" si="357"/>
        <v>160</v>
      </c>
      <c r="L1823" s="14">
        <f t="shared" ca="1" si="358"/>
        <v>0</v>
      </c>
      <c r="M1823" s="15">
        <f t="shared" ca="1" si="359"/>
        <v>460</v>
      </c>
      <c r="N1823" s="16">
        <f ca="1">SUM($M$9:M1823)/A1823</f>
        <v>337.07713498622621</v>
      </c>
    </row>
    <row r="1824" spans="1:14" x14ac:dyDescent="0.25">
      <c r="A1824" s="8">
        <v>1816</v>
      </c>
      <c r="B1824" s="9">
        <f t="shared" ca="1" si="351"/>
        <v>2600</v>
      </c>
      <c r="C1824" s="10">
        <f t="shared" ca="1" si="352"/>
        <v>1800</v>
      </c>
      <c r="D1824" s="11">
        <f t="shared" ca="1" si="360"/>
        <v>0.79803836835400821</v>
      </c>
      <c r="E1824" s="9">
        <f t="shared" ca="1" si="361"/>
        <v>441</v>
      </c>
      <c r="F1824" s="9">
        <f t="shared" ca="1" si="353"/>
        <v>2159</v>
      </c>
      <c r="G1824" s="12" t="str">
        <f t="shared" ca="1" si="354"/>
        <v>No</v>
      </c>
      <c r="H1824" s="12">
        <f t="shared" ca="1" si="362"/>
        <v>0</v>
      </c>
      <c r="I1824" s="10">
        <f t="shared" ca="1" si="355"/>
        <v>0</v>
      </c>
      <c r="J1824" s="13">
        <f t="shared" ca="1" si="356"/>
        <v>0</v>
      </c>
      <c r="K1824" s="14">
        <f t="shared" ca="1" si="357"/>
        <v>431.8</v>
      </c>
      <c r="L1824" s="14">
        <f t="shared" ca="1" si="358"/>
        <v>0</v>
      </c>
      <c r="M1824" s="15">
        <f t="shared" ca="1" si="359"/>
        <v>431.8</v>
      </c>
      <c r="N1824" s="16">
        <f ca="1">SUM($M$9:M1824)/A1824</f>
        <v>337.12929515418534</v>
      </c>
    </row>
    <row r="1825" spans="1:14" x14ac:dyDescent="0.25">
      <c r="A1825" s="8">
        <v>1817</v>
      </c>
      <c r="B1825" s="9">
        <f t="shared" ca="1" si="351"/>
        <v>2159</v>
      </c>
      <c r="C1825" s="10">
        <f t="shared" ca="1" si="352"/>
        <v>0</v>
      </c>
      <c r="D1825" s="11">
        <f t="shared" ca="1" si="360"/>
        <v>0.14088093201048624</v>
      </c>
      <c r="E1825" s="9">
        <f t="shared" ca="1" si="361"/>
        <v>346</v>
      </c>
      <c r="F1825" s="9">
        <f t="shared" ca="1" si="353"/>
        <v>1813</v>
      </c>
      <c r="G1825" s="12" t="str">
        <f t="shared" ca="1" si="354"/>
        <v>No</v>
      </c>
      <c r="H1825" s="12">
        <f t="shared" ca="1" si="362"/>
        <v>0</v>
      </c>
      <c r="I1825" s="10">
        <f t="shared" ca="1" si="355"/>
        <v>0</v>
      </c>
      <c r="J1825" s="13">
        <f t="shared" ca="1" si="356"/>
        <v>0</v>
      </c>
      <c r="K1825" s="14">
        <f t="shared" ca="1" si="357"/>
        <v>362.6</v>
      </c>
      <c r="L1825" s="14">
        <f t="shared" ca="1" si="358"/>
        <v>0</v>
      </c>
      <c r="M1825" s="15">
        <f t="shared" ca="1" si="359"/>
        <v>362.6</v>
      </c>
      <c r="N1825" s="16">
        <f ca="1">SUM($M$9:M1825)/A1825</f>
        <v>337.14331315355014</v>
      </c>
    </row>
    <row r="1826" spans="1:14" x14ac:dyDescent="0.25">
      <c r="A1826" s="8">
        <v>1818</v>
      </c>
      <c r="B1826" s="9">
        <f t="shared" ca="1" si="351"/>
        <v>1813</v>
      </c>
      <c r="C1826" s="10">
        <f t="shared" ca="1" si="352"/>
        <v>0</v>
      </c>
      <c r="D1826" s="11">
        <f t="shared" ca="1" si="360"/>
        <v>0.56913019314918789</v>
      </c>
      <c r="E1826" s="9">
        <f t="shared" ca="1" si="361"/>
        <v>408</v>
      </c>
      <c r="F1826" s="9">
        <f t="shared" ca="1" si="353"/>
        <v>1405</v>
      </c>
      <c r="G1826" s="12" t="str">
        <f t="shared" ca="1" si="354"/>
        <v>No</v>
      </c>
      <c r="H1826" s="12">
        <f t="shared" ca="1" si="362"/>
        <v>0</v>
      </c>
      <c r="I1826" s="10">
        <f t="shared" ca="1" si="355"/>
        <v>0</v>
      </c>
      <c r="J1826" s="13">
        <f t="shared" ca="1" si="356"/>
        <v>0</v>
      </c>
      <c r="K1826" s="14">
        <f t="shared" ca="1" si="357"/>
        <v>281</v>
      </c>
      <c r="L1826" s="14">
        <f t="shared" ca="1" si="358"/>
        <v>0</v>
      </c>
      <c r="M1826" s="15">
        <f t="shared" ca="1" si="359"/>
        <v>281</v>
      </c>
      <c r="N1826" s="16">
        <f ca="1">SUM($M$9:M1826)/A1826</f>
        <v>337.11243124312466</v>
      </c>
    </row>
    <row r="1827" spans="1:14" x14ac:dyDescent="0.25">
      <c r="A1827" s="8">
        <v>1819</v>
      </c>
      <c r="B1827" s="9">
        <f t="shared" ca="1" si="351"/>
        <v>1405</v>
      </c>
      <c r="C1827" s="10">
        <f t="shared" ca="1" si="352"/>
        <v>0</v>
      </c>
      <c r="D1827" s="11">
        <f t="shared" ca="1" si="360"/>
        <v>0.98274577211863823</v>
      </c>
      <c r="E1827" s="9">
        <f t="shared" ca="1" si="361"/>
        <v>505</v>
      </c>
      <c r="F1827" s="9">
        <f t="shared" ca="1" si="353"/>
        <v>900</v>
      </c>
      <c r="G1827" s="12" t="str">
        <f t="shared" ca="1" si="354"/>
        <v>No</v>
      </c>
      <c r="H1827" s="12">
        <f t="shared" ca="1" si="362"/>
        <v>0</v>
      </c>
      <c r="I1827" s="10">
        <f t="shared" ca="1" si="355"/>
        <v>0</v>
      </c>
      <c r="J1827" s="13">
        <f t="shared" ca="1" si="356"/>
        <v>0</v>
      </c>
      <c r="K1827" s="14">
        <f t="shared" ca="1" si="357"/>
        <v>180</v>
      </c>
      <c r="L1827" s="14">
        <f t="shared" ca="1" si="358"/>
        <v>0</v>
      </c>
      <c r="M1827" s="15">
        <f t="shared" ca="1" si="359"/>
        <v>180</v>
      </c>
      <c r="N1827" s="16">
        <f ca="1">SUM($M$9:M1827)/A1827</f>
        <v>337.02605827377715</v>
      </c>
    </row>
    <row r="1828" spans="1:14" x14ac:dyDescent="0.25">
      <c r="A1828" s="8">
        <v>1820</v>
      </c>
      <c r="B1828" s="9">
        <f t="shared" ca="1" si="351"/>
        <v>900</v>
      </c>
      <c r="C1828" s="10">
        <f t="shared" ca="1" si="352"/>
        <v>0</v>
      </c>
      <c r="D1828" s="11">
        <f t="shared" ca="1" si="360"/>
        <v>5.0970220391475474E-2</v>
      </c>
      <c r="E1828" s="9">
        <f t="shared" ca="1" si="361"/>
        <v>318</v>
      </c>
      <c r="F1828" s="9">
        <f t="shared" ca="1" si="353"/>
        <v>582</v>
      </c>
      <c r="G1828" s="12" t="str">
        <f t="shared" ca="1" si="354"/>
        <v>Yes</v>
      </c>
      <c r="H1828" s="12">
        <f t="shared" ca="1" si="362"/>
        <v>0.9106846107783515</v>
      </c>
      <c r="I1828" s="10">
        <f t="shared" ca="1" si="355"/>
        <v>3</v>
      </c>
      <c r="J1828" s="13">
        <f t="shared" ca="1" si="356"/>
        <v>300</v>
      </c>
      <c r="K1828" s="14">
        <f t="shared" ca="1" si="357"/>
        <v>116.4</v>
      </c>
      <c r="L1828" s="14">
        <f t="shared" ca="1" si="358"/>
        <v>0</v>
      </c>
      <c r="M1828" s="15">
        <f t="shared" ca="1" si="359"/>
        <v>416.4</v>
      </c>
      <c r="N1828" s="16">
        <f ca="1">SUM($M$9:M1828)/A1828</f>
        <v>337.06967032967066</v>
      </c>
    </row>
    <row r="1829" spans="1:14" x14ac:dyDescent="0.25">
      <c r="A1829" s="8">
        <v>1821</v>
      </c>
      <c r="B1829" s="9">
        <f t="shared" ca="1" si="351"/>
        <v>582</v>
      </c>
      <c r="C1829" s="10">
        <f t="shared" ca="1" si="352"/>
        <v>0</v>
      </c>
      <c r="D1829" s="11">
        <f t="shared" ca="1" si="360"/>
        <v>0.18569960901051286</v>
      </c>
      <c r="E1829" s="9">
        <f t="shared" ca="1" si="361"/>
        <v>355</v>
      </c>
      <c r="F1829" s="9">
        <f t="shared" ca="1" si="353"/>
        <v>227</v>
      </c>
      <c r="G1829" s="12" t="str">
        <f t="shared" ca="1" si="354"/>
        <v>No</v>
      </c>
      <c r="H1829" s="12">
        <f t="shared" ca="1" si="362"/>
        <v>0</v>
      </c>
      <c r="I1829" s="10">
        <f t="shared" ca="1" si="355"/>
        <v>2</v>
      </c>
      <c r="J1829" s="13">
        <f t="shared" ca="1" si="356"/>
        <v>0</v>
      </c>
      <c r="K1829" s="14">
        <f t="shared" ca="1" si="357"/>
        <v>45.400000000000006</v>
      </c>
      <c r="L1829" s="14">
        <f t="shared" ca="1" si="358"/>
        <v>0</v>
      </c>
      <c r="M1829" s="15">
        <f t="shared" ca="1" si="359"/>
        <v>45.400000000000006</v>
      </c>
      <c r="N1829" s="16">
        <f ca="1">SUM($M$9:M1829)/A1829</f>
        <v>336.90950027457478</v>
      </c>
    </row>
    <row r="1830" spans="1:14" x14ac:dyDescent="0.25">
      <c r="A1830" s="8">
        <v>1822</v>
      </c>
      <c r="B1830" s="9">
        <f t="shared" ca="1" si="351"/>
        <v>227</v>
      </c>
      <c r="C1830" s="10">
        <f t="shared" ca="1" si="352"/>
        <v>0</v>
      </c>
      <c r="D1830" s="11">
        <f t="shared" ca="1" si="360"/>
        <v>0.57347247505503529</v>
      </c>
      <c r="E1830" s="9">
        <f t="shared" ca="1" si="361"/>
        <v>409</v>
      </c>
      <c r="F1830" s="9">
        <f t="shared" ca="1" si="353"/>
        <v>0</v>
      </c>
      <c r="G1830" s="12" t="str">
        <f t="shared" ca="1" si="354"/>
        <v>No</v>
      </c>
      <c r="H1830" s="12">
        <f t="shared" ca="1" si="362"/>
        <v>0</v>
      </c>
      <c r="I1830" s="10">
        <f t="shared" ca="1" si="355"/>
        <v>1</v>
      </c>
      <c r="J1830" s="13">
        <f t="shared" ca="1" si="356"/>
        <v>0</v>
      </c>
      <c r="K1830" s="14">
        <f t="shared" ca="1" si="357"/>
        <v>0</v>
      </c>
      <c r="L1830" s="14">
        <f t="shared" ca="1" si="358"/>
        <v>364</v>
      </c>
      <c r="M1830" s="15">
        <f t="shared" ca="1" si="359"/>
        <v>364</v>
      </c>
      <c r="N1830" s="16">
        <f ca="1">SUM($M$9:M1830)/A1830</f>
        <v>336.9243688254669</v>
      </c>
    </row>
    <row r="1831" spans="1:14" x14ac:dyDescent="0.25">
      <c r="A1831" s="8">
        <v>1823</v>
      </c>
      <c r="B1831" s="9">
        <f t="shared" ca="1" si="351"/>
        <v>1800</v>
      </c>
      <c r="C1831" s="10">
        <f t="shared" ca="1" si="352"/>
        <v>1800</v>
      </c>
      <c r="D1831" s="11">
        <f t="shared" ca="1" si="360"/>
        <v>0.88604312980569644</v>
      </c>
      <c r="E1831" s="9">
        <f t="shared" ca="1" si="361"/>
        <v>460</v>
      </c>
      <c r="F1831" s="9">
        <f t="shared" ca="1" si="353"/>
        <v>1340</v>
      </c>
      <c r="G1831" s="12" t="str">
        <f t="shared" ca="1" si="354"/>
        <v>No</v>
      </c>
      <c r="H1831" s="12">
        <f t="shared" ca="1" si="362"/>
        <v>0</v>
      </c>
      <c r="I1831" s="10">
        <f t="shared" ca="1" si="355"/>
        <v>0</v>
      </c>
      <c r="J1831" s="13">
        <f t="shared" ca="1" si="356"/>
        <v>0</v>
      </c>
      <c r="K1831" s="14">
        <f t="shared" ca="1" si="357"/>
        <v>268</v>
      </c>
      <c r="L1831" s="14">
        <f t="shared" ca="1" si="358"/>
        <v>0</v>
      </c>
      <c r="M1831" s="15">
        <f t="shared" ca="1" si="359"/>
        <v>268</v>
      </c>
      <c r="N1831" s="16">
        <f ca="1">SUM($M$9:M1831)/A1831</f>
        <v>336.88656061437229</v>
      </c>
    </row>
    <row r="1832" spans="1:14" x14ac:dyDescent="0.25">
      <c r="A1832" s="8">
        <v>1824</v>
      </c>
      <c r="B1832" s="9">
        <f t="shared" ca="1" si="351"/>
        <v>1340</v>
      </c>
      <c r="C1832" s="10">
        <f t="shared" ca="1" si="352"/>
        <v>0</v>
      </c>
      <c r="D1832" s="11">
        <f t="shared" ca="1" si="360"/>
        <v>0.81909143347198665</v>
      </c>
      <c r="E1832" s="9">
        <f t="shared" ca="1" si="361"/>
        <v>445</v>
      </c>
      <c r="F1832" s="9">
        <f t="shared" ca="1" si="353"/>
        <v>895</v>
      </c>
      <c r="G1832" s="12" t="str">
        <f t="shared" ca="1" si="354"/>
        <v>Yes</v>
      </c>
      <c r="H1832" s="12">
        <f t="shared" ca="1" si="362"/>
        <v>0.67613216746909921</v>
      </c>
      <c r="I1832" s="10">
        <f t="shared" ca="1" si="355"/>
        <v>1</v>
      </c>
      <c r="J1832" s="13">
        <f t="shared" ca="1" si="356"/>
        <v>300</v>
      </c>
      <c r="K1832" s="14">
        <f t="shared" ca="1" si="357"/>
        <v>179</v>
      </c>
      <c r="L1832" s="14">
        <f t="shared" ca="1" si="358"/>
        <v>0</v>
      </c>
      <c r="M1832" s="15">
        <f t="shared" ca="1" si="359"/>
        <v>479</v>
      </c>
      <c r="N1832" s="16">
        <f ca="1">SUM($M$9:M1832)/A1832</f>
        <v>336.96447368421087</v>
      </c>
    </row>
    <row r="1833" spans="1:14" x14ac:dyDescent="0.25">
      <c r="A1833" s="8">
        <v>1825</v>
      </c>
      <c r="B1833" s="9">
        <f t="shared" ca="1" si="351"/>
        <v>2695</v>
      </c>
      <c r="C1833" s="10">
        <f t="shared" ca="1" si="352"/>
        <v>1800</v>
      </c>
      <c r="D1833" s="11">
        <f t="shared" ca="1" si="360"/>
        <v>0.9536558458343849</v>
      </c>
      <c r="E1833" s="9">
        <f t="shared" ca="1" si="361"/>
        <v>484</v>
      </c>
      <c r="F1833" s="9">
        <f t="shared" ca="1" si="353"/>
        <v>2211</v>
      </c>
      <c r="G1833" s="12" t="str">
        <f t="shared" ca="1" si="354"/>
        <v>No</v>
      </c>
      <c r="H1833" s="12">
        <f t="shared" ca="1" si="362"/>
        <v>0</v>
      </c>
      <c r="I1833" s="10">
        <f t="shared" ca="1" si="355"/>
        <v>0</v>
      </c>
      <c r="J1833" s="13">
        <f t="shared" ca="1" si="356"/>
        <v>0</v>
      </c>
      <c r="K1833" s="14">
        <f t="shared" ca="1" si="357"/>
        <v>442.20000000000005</v>
      </c>
      <c r="L1833" s="14">
        <f t="shared" ca="1" si="358"/>
        <v>0</v>
      </c>
      <c r="M1833" s="15">
        <f t="shared" ca="1" si="359"/>
        <v>442.20000000000005</v>
      </c>
      <c r="N1833" s="16">
        <f ca="1">SUM($M$9:M1833)/A1833</f>
        <v>337.02213698630169</v>
      </c>
    </row>
    <row r="1834" spans="1:14" x14ac:dyDescent="0.25">
      <c r="A1834" s="8">
        <v>1826</v>
      </c>
      <c r="B1834" s="9">
        <f t="shared" ca="1" si="351"/>
        <v>2211</v>
      </c>
      <c r="C1834" s="10">
        <f t="shared" ca="1" si="352"/>
        <v>0</v>
      </c>
      <c r="D1834" s="11">
        <f t="shared" ca="1" si="360"/>
        <v>0.56863110367982928</v>
      </c>
      <c r="E1834" s="9">
        <f t="shared" ca="1" si="361"/>
        <v>408</v>
      </c>
      <c r="F1834" s="9">
        <f t="shared" ca="1" si="353"/>
        <v>1803</v>
      </c>
      <c r="G1834" s="12" t="str">
        <f t="shared" ca="1" si="354"/>
        <v>No</v>
      </c>
      <c r="H1834" s="12">
        <f t="shared" ca="1" si="362"/>
        <v>0</v>
      </c>
      <c r="I1834" s="10">
        <f t="shared" ca="1" si="355"/>
        <v>0</v>
      </c>
      <c r="J1834" s="13">
        <f t="shared" ca="1" si="356"/>
        <v>0</v>
      </c>
      <c r="K1834" s="14">
        <f t="shared" ca="1" si="357"/>
        <v>360.6</v>
      </c>
      <c r="L1834" s="14">
        <f t="shared" ca="1" si="358"/>
        <v>0</v>
      </c>
      <c r="M1834" s="15">
        <f t="shared" ca="1" si="359"/>
        <v>360.6</v>
      </c>
      <c r="N1834" s="16">
        <f ca="1">SUM($M$9:M1834)/A1834</f>
        <v>337.03504928806166</v>
      </c>
    </row>
    <row r="1835" spans="1:14" x14ac:dyDescent="0.25">
      <c r="A1835" s="8">
        <v>1827</v>
      </c>
      <c r="B1835" s="9">
        <f t="shared" ca="1" si="351"/>
        <v>1803</v>
      </c>
      <c r="C1835" s="10">
        <f t="shared" ca="1" si="352"/>
        <v>0</v>
      </c>
      <c r="D1835" s="11">
        <f t="shared" ca="1" si="360"/>
        <v>0.36083928032496715</v>
      </c>
      <c r="E1835" s="9">
        <f t="shared" ca="1" si="361"/>
        <v>382</v>
      </c>
      <c r="F1835" s="9">
        <f t="shared" ca="1" si="353"/>
        <v>1421</v>
      </c>
      <c r="G1835" s="12" t="str">
        <f t="shared" ca="1" si="354"/>
        <v>No</v>
      </c>
      <c r="H1835" s="12">
        <f t="shared" ca="1" si="362"/>
        <v>0</v>
      </c>
      <c r="I1835" s="10">
        <f t="shared" ca="1" si="355"/>
        <v>0</v>
      </c>
      <c r="J1835" s="13">
        <f t="shared" ca="1" si="356"/>
        <v>0</v>
      </c>
      <c r="K1835" s="14">
        <f t="shared" ca="1" si="357"/>
        <v>284.2</v>
      </c>
      <c r="L1835" s="14">
        <f t="shared" ca="1" si="358"/>
        <v>0</v>
      </c>
      <c r="M1835" s="15">
        <f t="shared" ca="1" si="359"/>
        <v>284.2</v>
      </c>
      <c r="N1835" s="16">
        <f ca="1">SUM($M$9:M1835)/A1835</f>
        <v>337.00613026819951</v>
      </c>
    </row>
    <row r="1836" spans="1:14" x14ac:dyDescent="0.25">
      <c r="A1836" s="8">
        <v>1828</v>
      </c>
      <c r="B1836" s="9">
        <f t="shared" ca="1" si="351"/>
        <v>1421</v>
      </c>
      <c r="C1836" s="10">
        <f t="shared" ca="1" si="352"/>
        <v>0</v>
      </c>
      <c r="D1836" s="11">
        <f t="shared" ca="1" si="360"/>
        <v>0.51779261277091804</v>
      </c>
      <c r="E1836" s="9">
        <f t="shared" ca="1" si="361"/>
        <v>402</v>
      </c>
      <c r="F1836" s="9">
        <f t="shared" ca="1" si="353"/>
        <v>1019</v>
      </c>
      <c r="G1836" s="12" t="str">
        <f t="shared" ca="1" si="354"/>
        <v>No</v>
      </c>
      <c r="H1836" s="12">
        <f t="shared" ca="1" si="362"/>
        <v>0</v>
      </c>
      <c r="I1836" s="10">
        <f t="shared" ca="1" si="355"/>
        <v>0</v>
      </c>
      <c r="J1836" s="13">
        <f t="shared" ca="1" si="356"/>
        <v>0</v>
      </c>
      <c r="K1836" s="14">
        <f t="shared" ca="1" si="357"/>
        <v>203.8</v>
      </c>
      <c r="L1836" s="14">
        <f t="shared" ca="1" si="358"/>
        <v>0</v>
      </c>
      <c r="M1836" s="15">
        <f t="shared" ca="1" si="359"/>
        <v>203.8</v>
      </c>
      <c r="N1836" s="16">
        <f ca="1">SUM($M$9:M1836)/A1836</f>
        <v>336.93326039387341</v>
      </c>
    </row>
    <row r="1837" spans="1:14" x14ac:dyDescent="0.25">
      <c r="A1837" s="8">
        <v>1829</v>
      </c>
      <c r="B1837" s="9">
        <f t="shared" ca="1" si="351"/>
        <v>1019</v>
      </c>
      <c r="C1837" s="10">
        <f t="shared" ca="1" si="352"/>
        <v>0</v>
      </c>
      <c r="D1837" s="11">
        <f t="shared" ca="1" si="360"/>
        <v>0.96172406568721513</v>
      </c>
      <c r="E1837" s="9">
        <f t="shared" ca="1" si="361"/>
        <v>488</v>
      </c>
      <c r="F1837" s="9">
        <f t="shared" ca="1" si="353"/>
        <v>531</v>
      </c>
      <c r="G1837" s="12" t="str">
        <f t="shared" ca="1" si="354"/>
        <v>Yes</v>
      </c>
      <c r="H1837" s="12">
        <f t="shared" ca="1" si="362"/>
        <v>0.42071959473785536</v>
      </c>
      <c r="I1837" s="10">
        <f t="shared" ca="1" si="355"/>
        <v>1</v>
      </c>
      <c r="J1837" s="13">
        <f t="shared" ca="1" si="356"/>
        <v>300</v>
      </c>
      <c r="K1837" s="14">
        <f t="shared" ca="1" si="357"/>
        <v>106.2</v>
      </c>
      <c r="L1837" s="14">
        <f t="shared" ca="1" si="358"/>
        <v>0</v>
      </c>
      <c r="M1837" s="15">
        <f t="shared" ca="1" si="359"/>
        <v>406.2</v>
      </c>
      <c r="N1837" s="16">
        <f ca="1">SUM($M$9:M1837)/A1837</f>
        <v>336.97113176599265</v>
      </c>
    </row>
    <row r="1838" spans="1:14" x14ac:dyDescent="0.25">
      <c r="A1838" s="8">
        <v>1830</v>
      </c>
      <c r="B1838" s="9">
        <f t="shared" ca="1" si="351"/>
        <v>2331</v>
      </c>
      <c r="C1838" s="10">
        <f t="shared" ca="1" si="352"/>
        <v>1800</v>
      </c>
      <c r="D1838" s="11">
        <f t="shared" ca="1" si="360"/>
        <v>0.22624032377876124</v>
      </c>
      <c r="E1838" s="9">
        <f t="shared" ca="1" si="361"/>
        <v>362</v>
      </c>
      <c r="F1838" s="9">
        <f t="shared" ca="1" si="353"/>
        <v>1969</v>
      </c>
      <c r="G1838" s="12" t="str">
        <f t="shared" ca="1" si="354"/>
        <v>No</v>
      </c>
      <c r="H1838" s="12">
        <f t="shared" ca="1" si="362"/>
        <v>0</v>
      </c>
      <c r="I1838" s="10">
        <f t="shared" ca="1" si="355"/>
        <v>0</v>
      </c>
      <c r="J1838" s="13">
        <f t="shared" ca="1" si="356"/>
        <v>0</v>
      </c>
      <c r="K1838" s="14">
        <f t="shared" ca="1" si="357"/>
        <v>393.8</v>
      </c>
      <c r="L1838" s="14">
        <f t="shared" ca="1" si="358"/>
        <v>0</v>
      </c>
      <c r="M1838" s="15">
        <f t="shared" ca="1" si="359"/>
        <v>393.8</v>
      </c>
      <c r="N1838" s="16">
        <f ca="1">SUM($M$9:M1838)/A1838</f>
        <v>337.00218579235002</v>
      </c>
    </row>
    <row r="1839" spans="1:14" x14ac:dyDescent="0.25">
      <c r="A1839" s="8">
        <v>1831</v>
      </c>
      <c r="B1839" s="9">
        <f t="shared" ca="1" si="351"/>
        <v>1969</v>
      </c>
      <c r="C1839" s="10">
        <f t="shared" ca="1" si="352"/>
        <v>0</v>
      </c>
      <c r="D1839" s="11">
        <f t="shared" ca="1" si="360"/>
        <v>0.1956263073904424</v>
      </c>
      <c r="E1839" s="9">
        <f t="shared" ca="1" si="361"/>
        <v>357</v>
      </c>
      <c r="F1839" s="9">
        <f t="shared" ca="1" si="353"/>
        <v>1612</v>
      </c>
      <c r="G1839" s="12" t="str">
        <f t="shared" ca="1" si="354"/>
        <v>No</v>
      </c>
      <c r="H1839" s="12">
        <f t="shared" ca="1" si="362"/>
        <v>0</v>
      </c>
      <c r="I1839" s="10">
        <f t="shared" ca="1" si="355"/>
        <v>0</v>
      </c>
      <c r="J1839" s="13">
        <f t="shared" ca="1" si="356"/>
        <v>0</v>
      </c>
      <c r="K1839" s="14">
        <f t="shared" ca="1" si="357"/>
        <v>322.40000000000003</v>
      </c>
      <c r="L1839" s="14">
        <f t="shared" ca="1" si="358"/>
        <v>0</v>
      </c>
      <c r="M1839" s="15">
        <f t="shared" ca="1" si="359"/>
        <v>322.40000000000003</v>
      </c>
      <c r="N1839" s="16">
        <f ca="1">SUM($M$9:M1839)/A1839</f>
        <v>336.99421081376329</v>
      </c>
    </row>
    <row r="1840" spans="1:14" x14ac:dyDescent="0.25">
      <c r="A1840" s="8">
        <v>1832</v>
      </c>
      <c r="B1840" s="9">
        <f t="shared" ca="1" si="351"/>
        <v>1612</v>
      </c>
      <c r="C1840" s="10">
        <f t="shared" ca="1" si="352"/>
        <v>0</v>
      </c>
      <c r="D1840" s="11">
        <f t="shared" ca="1" si="360"/>
        <v>0.12723734004535359</v>
      </c>
      <c r="E1840" s="9">
        <f t="shared" ca="1" si="361"/>
        <v>343</v>
      </c>
      <c r="F1840" s="9">
        <f t="shared" ca="1" si="353"/>
        <v>1269</v>
      </c>
      <c r="G1840" s="12" t="str">
        <f t="shared" ca="1" si="354"/>
        <v>No</v>
      </c>
      <c r="H1840" s="12">
        <f t="shared" ca="1" si="362"/>
        <v>0</v>
      </c>
      <c r="I1840" s="10">
        <f t="shared" ca="1" si="355"/>
        <v>0</v>
      </c>
      <c r="J1840" s="13">
        <f t="shared" ca="1" si="356"/>
        <v>0</v>
      </c>
      <c r="K1840" s="14">
        <f t="shared" ca="1" si="357"/>
        <v>253.8</v>
      </c>
      <c r="L1840" s="14">
        <f t="shared" ca="1" si="358"/>
        <v>0</v>
      </c>
      <c r="M1840" s="15">
        <f t="shared" ca="1" si="359"/>
        <v>253.8</v>
      </c>
      <c r="N1840" s="16">
        <f ca="1">SUM($M$9:M1840)/A1840</f>
        <v>336.94879912663794</v>
      </c>
    </row>
    <row r="1841" spans="1:14" x14ac:dyDescent="0.25">
      <c r="A1841" s="8">
        <v>1833</v>
      </c>
      <c r="B1841" s="9">
        <f t="shared" ca="1" si="351"/>
        <v>1269</v>
      </c>
      <c r="C1841" s="10">
        <f t="shared" ca="1" si="352"/>
        <v>0</v>
      </c>
      <c r="D1841" s="11">
        <f t="shared" ca="1" si="360"/>
        <v>0.32637561283658112</v>
      </c>
      <c r="E1841" s="9">
        <f t="shared" ca="1" si="361"/>
        <v>377</v>
      </c>
      <c r="F1841" s="9">
        <f t="shared" ca="1" si="353"/>
        <v>892</v>
      </c>
      <c r="G1841" s="12" t="str">
        <f t="shared" ca="1" si="354"/>
        <v>Yes</v>
      </c>
      <c r="H1841" s="12">
        <f t="shared" ca="1" si="362"/>
        <v>0.28308065813315841</v>
      </c>
      <c r="I1841" s="10">
        <f t="shared" ca="1" si="355"/>
        <v>1</v>
      </c>
      <c r="J1841" s="13">
        <f t="shared" ca="1" si="356"/>
        <v>300</v>
      </c>
      <c r="K1841" s="14">
        <f t="shared" ca="1" si="357"/>
        <v>178.4</v>
      </c>
      <c r="L1841" s="14">
        <f t="shared" ca="1" si="358"/>
        <v>0</v>
      </c>
      <c r="M1841" s="15">
        <f t="shared" ca="1" si="359"/>
        <v>478.4</v>
      </c>
      <c r="N1841" s="16">
        <f ca="1">SUM($M$9:M1841)/A1841</f>
        <v>337.02596835788364</v>
      </c>
    </row>
    <row r="1842" spans="1:14" x14ac:dyDescent="0.25">
      <c r="A1842" s="8">
        <v>1834</v>
      </c>
      <c r="B1842" s="9">
        <f t="shared" ca="1" si="351"/>
        <v>2692</v>
      </c>
      <c r="C1842" s="10">
        <f t="shared" ca="1" si="352"/>
        <v>1800</v>
      </c>
      <c r="D1842" s="11">
        <f t="shared" ca="1" si="360"/>
        <v>0.16486384060325943</v>
      </c>
      <c r="E1842" s="9">
        <f t="shared" ca="1" si="361"/>
        <v>351</v>
      </c>
      <c r="F1842" s="9">
        <f t="shared" ca="1" si="353"/>
        <v>2341</v>
      </c>
      <c r="G1842" s="12" t="str">
        <f t="shared" ca="1" si="354"/>
        <v>No</v>
      </c>
      <c r="H1842" s="12">
        <f t="shared" ca="1" si="362"/>
        <v>0</v>
      </c>
      <c r="I1842" s="10">
        <f t="shared" ca="1" si="355"/>
        <v>0</v>
      </c>
      <c r="J1842" s="13">
        <f t="shared" ca="1" si="356"/>
        <v>0</v>
      </c>
      <c r="K1842" s="14">
        <f t="shared" ca="1" si="357"/>
        <v>468.20000000000005</v>
      </c>
      <c r="L1842" s="14">
        <f t="shared" ca="1" si="358"/>
        <v>0</v>
      </c>
      <c r="M1842" s="15">
        <f t="shared" ca="1" si="359"/>
        <v>468.20000000000005</v>
      </c>
      <c r="N1842" s="16">
        <f ca="1">SUM($M$9:M1842)/A1842</f>
        <v>337.09749182115627</v>
      </c>
    </row>
    <row r="1843" spans="1:14" x14ac:dyDescent="0.25">
      <c r="A1843" s="8">
        <v>1835</v>
      </c>
      <c r="B1843" s="9">
        <f t="shared" ca="1" si="351"/>
        <v>2341</v>
      </c>
      <c r="C1843" s="10">
        <f t="shared" ca="1" si="352"/>
        <v>0</v>
      </c>
      <c r="D1843" s="11">
        <f t="shared" ca="1" si="360"/>
        <v>0.31275006882603051</v>
      </c>
      <c r="E1843" s="9">
        <f t="shared" ca="1" si="361"/>
        <v>375</v>
      </c>
      <c r="F1843" s="9">
        <f t="shared" ca="1" si="353"/>
        <v>1966</v>
      </c>
      <c r="G1843" s="12" t="str">
        <f t="shared" ca="1" si="354"/>
        <v>No</v>
      </c>
      <c r="H1843" s="12">
        <f t="shared" ca="1" si="362"/>
        <v>0</v>
      </c>
      <c r="I1843" s="10">
        <f t="shared" ca="1" si="355"/>
        <v>0</v>
      </c>
      <c r="J1843" s="13">
        <f t="shared" ca="1" si="356"/>
        <v>0</v>
      </c>
      <c r="K1843" s="14">
        <f t="shared" ca="1" si="357"/>
        <v>393.20000000000005</v>
      </c>
      <c r="L1843" s="14">
        <f t="shared" ca="1" si="358"/>
        <v>0</v>
      </c>
      <c r="M1843" s="15">
        <f t="shared" ca="1" si="359"/>
        <v>393.20000000000005</v>
      </c>
      <c r="N1843" s="16">
        <f ca="1">SUM($M$9:M1843)/A1843</f>
        <v>337.12806539509569</v>
      </c>
    </row>
    <row r="1844" spans="1:14" x14ac:dyDescent="0.25">
      <c r="A1844" s="8">
        <v>1836</v>
      </c>
      <c r="B1844" s="9">
        <f t="shared" ca="1" si="351"/>
        <v>1966</v>
      </c>
      <c r="C1844" s="10">
        <f t="shared" ca="1" si="352"/>
        <v>0</v>
      </c>
      <c r="D1844" s="11">
        <f t="shared" ca="1" si="360"/>
        <v>0.91325106867113204</v>
      </c>
      <c r="E1844" s="9">
        <f t="shared" ca="1" si="361"/>
        <v>468</v>
      </c>
      <c r="F1844" s="9">
        <f t="shared" ca="1" si="353"/>
        <v>1498</v>
      </c>
      <c r="G1844" s="12" t="str">
        <f t="shared" ca="1" si="354"/>
        <v>No</v>
      </c>
      <c r="H1844" s="12">
        <f t="shared" ca="1" si="362"/>
        <v>0</v>
      </c>
      <c r="I1844" s="10">
        <f t="shared" ca="1" si="355"/>
        <v>0</v>
      </c>
      <c r="J1844" s="13">
        <f t="shared" ca="1" si="356"/>
        <v>0</v>
      </c>
      <c r="K1844" s="14">
        <f t="shared" ca="1" si="357"/>
        <v>299.60000000000002</v>
      </c>
      <c r="L1844" s="14">
        <f t="shared" ca="1" si="358"/>
        <v>0</v>
      </c>
      <c r="M1844" s="15">
        <f t="shared" ca="1" si="359"/>
        <v>299.60000000000002</v>
      </c>
      <c r="N1844" s="16">
        <f ca="1">SUM($M$9:M1844)/A1844</f>
        <v>337.10762527233146</v>
      </c>
    </row>
    <row r="1845" spans="1:14" x14ac:dyDescent="0.25">
      <c r="A1845" s="8">
        <v>1837</v>
      </c>
      <c r="B1845" s="9">
        <f t="shared" ca="1" si="351"/>
        <v>1498</v>
      </c>
      <c r="C1845" s="10">
        <f t="shared" ca="1" si="352"/>
        <v>0</v>
      </c>
      <c r="D1845" s="11">
        <f t="shared" ca="1" si="360"/>
        <v>6.4084697073707564E-2</v>
      </c>
      <c r="E1845" s="9">
        <f t="shared" ca="1" si="361"/>
        <v>323</v>
      </c>
      <c r="F1845" s="9">
        <f t="shared" ca="1" si="353"/>
        <v>1175</v>
      </c>
      <c r="G1845" s="12" t="str">
        <f t="shared" ca="1" si="354"/>
        <v>No</v>
      </c>
      <c r="H1845" s="12">
        <f t="shared" ca="1" si="362"/>
        <v>0</v>
      </c>
      <c r="I1845" s="10">
        <f t="shared" ca="1" si="355"/>
        <v>0</v>
      </c>
      <c r="J1845" s="13">
        <f t="shared" ca="1" si="356"/>
        <v>0</v>
      </c>
      <c r="K1845" s="14">
        <f t="shared" ca="1" si="357"/>
        <v>235</v>
      </c>
      <c r="L1845" s="14">
        <f t="shared" ca="1" si="358"/>
        <v>0</v>
      </c>
      <c r="M1845" s="15">
        <f t="shared" ca="1" si="359"/>
        <v>235</v>
      </c>
      <c r="N1845" s="16">
        <f ca="1">SUM($M$9:M1845)/A1845</f>
        <v>337.05204137180215</v>
      </c>
    </row>
    <row r="1846" spans="1:14" x14ac:dyDescent="0.25">
      <c r="A1846" s="8">
        <v>1838</v>
      </c>
      <c r="B1846" s="9">
        <f t="shared" ca="1" si="351"/>
        <v>1175</v>
      </c>
      <c r="C1846" s="10">
        <f t="shared" ca="1" si="352"/>
        <v>0</v>
      </c>
      <c r="D1846" s="11">
        <f t="shared" ca="1" si="360"/>
        <v>0.26675313373146003</v>
      </c>
      <c r="E1846" s="9">
        <f t="shared" ca="1" si="361"/>
        <v>368</v>
      </c>
      <c r="F1846" s="9">
        <f t="shared" ca="1" si="353"/>
        <v>807</v>
      </c>
      <c r="G1846" s="12" t="str">
        <f t="shared" ca="1" si="354"/>
        <v>Yes</v>
      </c>
      <c r="H1846" s="12">
        <f t="shared" ca="1" si="362"/>
        <v>9.9380239805428872E-3</v>
      </c>
      <c r="I1846" s="10">
        <f t="shared" ca="1" si="355"/>
        <v>1</v>
      </c>
      <c r="J1846" s="13">
        <f t="shared" ca="1" si="356"/>
        <v>300</v>
      </c>
      <c r="K1846" s="14">
        <f t="shared" ca="1" si="357"/>
        <v>161.4</v>
      </c>
      <c r="L1846" s="14">
        <f t="shared" ca="1" si="358"/>
        <v>0</v>
      </c>
      <c r="M1846" s="15">
        <f t="shared" ca="1" si="359"/>
        <v>461.4</v>
      </c>
      <c r="N1846" s="16">
        <f ca="1">SUM($M$9:M1846)/A1846</f>
        <v>337.11969532100142</v>
      </c>
    </row>
    <row r="1847" spans="1:14" x14ac:dyDescent="0.25">
      <c r="A1847" s="8">
        <v>1839</v>
      </c>
      <c r="B1847" s="9">
        <f t="shared" ca="1" si="351"/>
        <v>2607</v>
      </c>
      <c r="C1847" s="10">
        <f t="shared" ca="1" si="352"/>
        <v>1800</v>
      </c>
      <c r="D1847" s="11">
        <f t="shared" ca="1" si="360"/>
        <v>0.75067965554018568</v>
      </c>
      <c r="E1847" s="9">
        <f t="shared" ca="1" si="361"/>
        <v>433</v>
      </c>
      <c r="F1847" s="9">
        <f t="shared" ca="1" si="353"/>
        <v>2174</v>
      </c>
      <c r="G1847" s="12" t="str">
        <f t="shared" ca="1" si="354"/>
        <v>No</v>
      </c>
      <c r="H1847" s="12">
        <f t="shared" ca="1" si="362"/>
        <v>0</v>
      </c>
      <c r="I1847" s="10">
        <f t="shared" ca="1" si="355"/>
        <v>0</v>
      </c>
      <c r="J1847" s="13">
        <f t="shared" ca="1" si="356"/>
        <v>0</v>
      </c>
      <c r="K1847" s="14">
        <f t="shared" ca="1" si="357"/>
        <v>434.8</v>
      </c>
      <c r="L1847" s="14">
        <f t="shared" ca="1" si="358"/>
        <v>0</v>
      </c>
      <c r="M1847" s="15">
        <f t="shared" ca="1" si="359"/>
        <v>434.8</v>
      </c>
      <c r="N1847" s="16">
        <f ca="1">SUM($M$9:M1847)/A1847</f>
        <v>337.17281131049515</v>
      </c>
    </row>
    <row r="1848" spans="1:14" x14ac:dyDescent="0.25">
      <c r="A1848" s="8">
        <v>1840</v>
      </c>
      <c r="B1848" s="9">
        <f t="shared" ca="1" si="351"/>
        <v>2174</v>
      </c>
      <c r="C1848" s="10">
        <f t="shared" ca="1" si="352"/>
        <v>0</v>
      </c>
      <c r="D1848" s="11">
        <f t="shared" ca="1" si="360"/>
        <v>0.40740075378087248</v>
      </c>
      <c r="E1848" s="9">
        <f t="shared" ca="1" si="361"/>
        <v>388</v>
      </c>
      <c r="F1848" s="9">
        <f t="shared" ca="1" si="353"/>
        <v>1786</v>
      </c>
      <c r="G1848" s="12" t="str">
        <f t="shared" ca="1" si="354"/>
        <v>No</v>
      </c>
      <c r="H1848" s="12">
        <f t="shared" ca="1" si="362"/>
        <v>0</v>
      </c>
      <c r="I1848" s="10">
        <f t="shared" ca="1" si="355"/>
        <v>0</v>
      </c>
      <c r="J1848" s="13">
        <f t="shared" ca="1" si="356"/>
        <v>0</v>
      </c>
      <c r="K1848" s="14">
        <f t="shared" ca="1" si="357"/>
        <v>357.20000000000005</v>
      </c>
      <c r="L1848" s="14">
        <f t="shared" ca="1" si="358"/>
        <v>0</v>
      </c>
      <c r="M1848" s="15">
        <f t="shared" ca="1" si="359"/>
        <v>357.20000000000005</v>
      </c>
      <c r="N1848" s="16">
        <f ca="1">SUM($M$9:M1848)/A1848</f>
        <v>337.18369565217421</v>
      </c>
    </row>
    <row r="1849" spans="1:14" x14ac:dyDescent="0.25">
      <c r="A1849" s="8">
        <v>1841</v>
      </c>
      <c r="B1849" s="9">
        <f t="shared" ca="1" si="351"/>
        <v>1786</v>
      </c>
      <c r="C1849" s="10">
        <f t="shared" ca="1" si="352"/>
        <v>0</v>
      </c>
      <c r="D1849" s="11">
        <f t="shared" ca="1" si="360"/>
        <v>0.48093429737466153</v>
      </c>
      <c r="E1849" s="9">
        <f t="shared" ca="1" si="361"/>
        <v>397</v>
      </c>
      <c r="F1849" s="9">
        <f t="shared" ca="1" si="353"/>
        <v>1389</v>
      </c>
      <c r="G1849" s="12" t="str">
        <f t="shared" ca="1" si="354"/>
        <v>No</v>
      </c>
      <c r="H1849" s="12">
        <f t="shared" ca="1" si="362"/>
        <v>0</v>
      </c>
      <c r="I1849" s="10">
        <f t="shared" ca="1" si="355"/>
        <v>0</v>
      </c>
      <c r="J1849" s="13">
        <f t="shared" ca="1" si="356"/>
        <v>0</v>
      </c>
      <c r="K1849" s="14">
        <f t="shared" ca="1" si="357"/>
        <v>277.8</v>
      </c>
      <c r="L1849" s="14">
        <f t="shared" ca="1" si="358"/>
        <v>0</v>
      </c>
      <c r="M1849" s="15">
        <f t="shared" ca="1" si="359"/>
        <v>277.8</v>
      </c>
      <c r="N1849" s="16">
        <f ca="1">SUM($M$9:M1849)/A1849</f>
        <v>337.15143943508997</v>
      </c>
    </row>
    <row r="1850" spans="1:14" x14ac:dyDescent="0.25">
      <c r="A1850" s="8">
        <v>1842</v>
      </c>
      <c r="B1850" s="9">
        <f t="shared" ca="1" si="351"/>
        <v>1389</v>
      </c>
      <c r="C1850" s="10">
        <f t="shared" ca="1" si="352"/>
        <v>0</v>
      </c>
      <c r="D1850" s="11">
        <f t="shared" ca="1" si="360"/>
        <v>0.73635982801448774</v>
      </c>
      <c r="E1850" s="9">
        <f t="shared" ca="1" si="361"/>
        <v>431</v>
      </c>
      <c r="F1850" s="9">
        <f t="shared" ca="1" si="353"/>
        <v>958</v>
      </c>
      <c r="G1850" s="12" t="str">
        <f t="shared" ca="1" si="354"/>
        <v>Yes</v>
      </c>
      <c r="H1850" s="12">
        <f t="shared" ca="1" si="362"/>
        <v>6.6382807276603395E-2</v>
      </c>
      <c r="I1850" s="10">
        <f t="shared" ca="1" si="355"/>
        <v>1</v>
      </c>
      <c r="J1850" s="13">
        <f t="shared" ca="1" si="356"/>
        <v>300</v>
      </c>
      <c r="K1850" s="14">
        <f t="shared" ca="1" si="357"/>
        <v>191.60000000000002</v>
      </c>
      <c r="L1850" s="14">
        <f t="shared" ca="1" si="358"/>
        <v>0</v>
      </c>
      <c r="M1850" s="15">
        <f t="shared" ca="1" si="359"/>
        <v>491.6</v>
      </c>
      <c r="N1850" s="16">
        <f ca="1">SUM($M$9:M1850)/A1850</f>
        <v>337.2352877307278</v>
      </c>
    </row>
    <row r="1851" spans="1:14" x14ac:dyDescent="0.25">
      <c r="A1851" s="8">
        <v>1843</v>
      </c>
      <c r="B1851" s="9">
        <f t="shared" ca="1" si="351"/>
        <v>2758</v>
      </c>
      <c r="C1851" s="10">
        <f t="shared" ca="1" si="352"/>
        <v>1800</v>
      </c>
      <c r="D1851" s="11">
        <f t="shared" ca="1" si="360"/>
        <v>0.64862181447218625</v>
      </c>
      <c r="E1851" s="9">
        <f t="shared" ca="1" si="361"/>
        <v>419</v>
      </c>
      <c r="F1851" s="9">
        <f t="shared" ca="1" si="353"/>
        <v>2339</v>
      </c>
      <c r="G1851" s="12" t="str">
        <f t="shared" ca="1" si="354"/>
        <v>No</v>
      </c>
      <c r="H1851" s="12">
        <f t="shared" ca="1" si="362"/>
        <v>0</v>
      </c>
      <c r="I1851" s="10">
        <f t="shared" ca="1" si="355"/>
        <v>0</v>
      </c>
      <c r="J1851" s="13">
        <f t="shared" ca="1" si="356"/>
        <v>0</v>
      </c>
      <c r="K1851" s="14">
        <f t="shared" ca="1" si="357"/>
        <v>467.8</v>
      </c>
      <c r="L1851" s="14">
        <f t="shared" ca="1" si="358"/>
        <v>0</v>
      </c>
      <c r="M1851" s="15">
        <f t="shared" ca="1" si="359"/>
        <v>467.8</v>
      </c>
      <c r="N1851" s="16">
        <f ca="1">SUM($M$9:M1851)/A1851</f>
        <v>337.3061313076509</v>
      </c>
    </row>
    <row r="1852" spans="1:14" x14ac:dyDescent="0.25">
      <c r="A1852" s="8">
        <v>1844</v>
      </c>
      <c r="B1852" s="9">
        <f t="shared" ca="1" si="351"/>
        <v>2339</v>
      </c>
      <c r="C1852" s="10">
        <f t="shared" ca="1" si="352"/>
        <v>0</v>
      </c>
      <c r="D1852" s="11">
        <f t="shared" ca="1" si="360"/>
        <v>0.77706760896652116</v>
      </c>
      <c r="E1852" s="9">
        <f t="shared" ca="1" si="361"/>
        <v>438</v>
      </c>
      <c r="F1852" s="9">
        <f t="shared" ca="1" si="353"/>
        <v>1901</v>
      </c>
      <c r="G1852" s="12" t="str">
        <f t="shared" ca="1" si="354"/>
        <v>No</v>
      </c>
      <c r="H1852" s="12">
        <f t="shared" ca="1" si="362"/>
        <v>0</v>
      </c>
      <c r="I1852" s="10">
        <f t="shared" ca="1" si="355"/>
        <v>0</v>
      </c>
      <c r="J1852" s="13">
        <f t="shared" ca="1" si="356"/>
        <v>0</v>
      </c>
      <c r="K1852" s="14">
        <f t="shared" ca="1" si="357"/>
        <v>380.20000000000005</v>
      </c>
      <c r="L1852" s="14">
        <f t="shared" ca="1" si="358"/>
        <v>0</v>
      </c>
      <c r="M1852" s="15">
        <f t="shared" ca="1" si="359"/>
        <v>380.20000000000005</v>
      </c>
      <c r="N1852" s="16">
        <f ca="1">SUM($M$9:M1852)/A1852</f>
        <v>337.32939262472917</v>
      </c>
    </row>
    <row r="1853" spans="1:14" x14ac:dyDescent="0.25">
      <c r="A1853" s="8">
        <v>1845</v>
      </c>
      <c r="B1853" s="9">
        <f t="shared" ref="B1853:B1916" ca="1" si="363">IF(I1852=1,F1852+Quantity,F1852)</f>
        <v>1901</v>
      </c>
      <c r="C1853" s="10">
        <f t="shared" ref="C1853:C1916" ca="1" si="364">IF(I1852=1,Quantity,0)</f>
        <v>0</v>
      </c>
      <c r="D1853" s="11">
        <f t="shared" ca="1" si="360"/>
        <v>0.13414511394195039</v>
      </c>
      <c r="E1853" s="9">
        <f t="shared" ca="1" si="361"/>
        <v>344</v>
      </c>
      <c r="F1853" s="9">
        <f t="shared" ref="F1853:F1916" ca="1" si="365">IF(B1853+C1853-E1853&lt;0,0,B1853-E1853)</f>
        <v>1557</v>
      </c>
      <c r="G1853" s="12" t="str">
        <f t="shared" ref="G1853:G1916" ca="1" si="366">IF(B1853&lt;Point,IF(I1852=0,"Yes","No"),"No")</f>
        <v>No</v>
      </c>
      <c r="H1853" s="12">
        <f t="shared" ca="1" si="362"/>
        <v>0</v>
      </c>
      <c r="I1853" s="10">
        <f t="shared" ref="I1853:I1916" ca="1" si="367">IF(I1852&gt;0,I1852-1,(IF(G1853="Yes",(VLOOKUP(H1853,LTD,3)),0)))</f>
        <v>0</v>
      </c>
      <c r="J1853" s="13">
        <f t="shared" ref="J1853:J1916" ca="1" si="368">IF(G1853="Yes",Order_Cost,0)</f>
        <v>0</v>
      </c>
      <c r="K1853" s="14">
        <f t="shared" ref="K1853:K1916" ca="1" si="369">F1853*Holding_Cost</f>
        <v>311.40000000000003</v>
      </c>
      <c r="L1853" s="14">
        <f t="shared" ref="L1853:L1916" ca="1" si="370">IF(B1853+C1853&lt;E1853,Shortage_Cost*(E1853-B1853-C1853),0)</f>
        <v>0</v>
      </c>
      <c r="M1853" s="15">
        <f t="shared" ref="M1853:M1916" ca="1" si="371">SUM(J1853:L1853)</f>
        <v>311.40000000000003</v>
      </c>
      <c r="N1853" s="16">
        <f ca="1">SUM($M$9:M1853)/A1853</f>
        <v>337.31533875338789</v>
      </c>
    </row>
    <row r="1854" spans="1:14" x14ac:dyDescent="0.25">
      <c r="A1854" s="8">
        <v>1846</v>
      </c>
      <c r="B1854" s="9">
        <f t="shared" ca="1" si="363"/>
        <v>1557</v>
      </c>
      <c r="C1854" s="10">
        <f t="shared" ca="1" si="364"/>
        <v>0</v>
      </c>
      <c r="D1854" s="11">
        <f t="shared" ca="1" si="360"/>
        <v>0.60826564735663879</v>
      </c>
      <c r="E1854" s="9">
        <f t="shared" ca="1" si="361"/>
        <v>413</v>
      </c>
      <c r="F1854" s="9">
        <f t="shared" ca="1" si="365"/>
        <v>1144</v>
      </c>
      <c r="G1854" s="12" t="str">
        <f t="shared" ca="1" si="366"/>
        <v>No</v>
      </c>
      <c r="H1854" s="12">
        <f t="shared" ca="1" si="362"/>
        <v>0</v>
      </c>
      <c r="I1854" s="10">
        <f t="shared" ca="1" si="367"/>
        <v>0</v>
      </c>
      <c r="J1854" s="13">
        <f t="shared" ca="1" si="368"/>
        <v>0</v>
      </c>
      <c r="K1854" s="14">
        <f t="shared" ca="1" si="369"/>
        <v>228.8</v>
      </c>
      <c r="L1854" s="14">
        <f t="shared" ca="1" si="370"/>
        <v>0</v>
      </c>
      <c r="M1854" s="15">
        <f t="shared" ca="1" si="371"/>
        <v>228.8</v>
      </c>
      <c r="N1854" s="16">
        <f ca="1">SUM($M$9:M1854)/A1854</f>
        <v>337.25655471289309</v>
      </c>
    </row>
    <row r="1855" spans="1:14" x14ac:dyDescent="0.25">
      <c r="A1855" s="8">
        <v>1847</v>
      </c>
      <c r="B1855" s="9">
        <f t="shared" ca="1" si="363"/>
        <v>1144</v>
      </c>
      <c r="C1855" s="10">
        <f t="shared" ca="1" si="364"/>
        <v>0</v>
      </c>
      <c r="D1855" s="11">
        <f t="shared" ca="1" si="360"/>
        <v>0.5145622114956182</v>
      </c>
      <c r="E1855" s="9">
        <f t="shared" ca="1" si="361"/>
        <v>401</v>
      </c>
      <c r="F1855" s="9">
        <f t="shared" ca="1" si="365"/>
        <v>743</v>
      </c>
      <c r="G1855" s="12" t="str">
        <f t="shared" ca="1" si="366"/>
        <v>Yes</v>
      </c>
      <c r="H1855" s="12">
        <f t="shared" ca="1" si="362"/>
        <v>0.89887311868364328</v>
      </c>
      <c r="I1855" s="10">
        <f t="shared" ca="1" si="367"/>
        <v>2</v>
      </c>
      <c r="J1855" s="13">
        <f t="shared" ca="1" si="368"/>
        <v>300</v>
      </c>
      <c r="K1855" s="14">
        <f t="shared" ca="1" si="369"/>
        <v>148.6</v>
      </c>
      <c r="L1855" s="14">
        <f t="shared" ca="1" si="370"/>
        <v>0</v>
      </c>
      <c r="M1855" s="15">
        <f t="shared" ca="1" si="371"/>
        <v>448.6</v>
      </c>
      <c r="N1855" s="16">
        <f ca="1">SUM($M$9:M1855)/A1855</f>
        <v>337.3168381158639</v>
      </c>
    </row>
    <row r="1856" spans="1:14" x14ac:dyDescent="0.25">
      <c r="A1856" s="8">
        <v>1848</v>
      </c>
      <c r="B1856" s="9">
        <f t="shared" ca="1" si="363"/>
        <v>743</v>
      </c>
      <c r="C1856" s="10">
        <f t="shared" ca="1" si="364"/>
        <v>0</v>
      </c>
      <c r="D1856" s="11">
        <f t="shared" ca="1" si="360"/>
        <v>0.13210197412077607</v>
      </c>
      <c r="E1856" s="9">
        <f t="shared" ca="1" si="361"/>
        <v>344</v>
      </c>
      <c r="F1856" s="9">
        <f t="shared" ca="1" si="365"/>
        <v>399</v>
      </c>
      <c r="G1856" s="12" t="str">
        <f t="shared" ca="1" si="366"/>
        <v>No</v>
      </c>
      <c r="H1856" s="12">
        <f t="shared" ca="1" si="362"/>
        <v>0</v>
      </c>
      <c r="I1856" s="10">
        <f t="shared" ca="1" si="367"/>
        <v>1</v>
      </c>
      <c r="J1856" s="13">
        <f t="shared" ca="1" si="368"/>
        <v>0</v>
      </c>
      <c r="K1856" s="14">
        <f t="shared" ca="1" si="369"/>
        <v>79.800000000000011</v>
      </c>
      <c r="L1856" s="14">
        <f t="shared" ca="1" si="370"/>
        <v>0</v>
      </c>
      <c r="M1856" s="15">
        <f t="shared" ca="1" si="371"/>
        <v>79.800000000000011</v>
      </c>
      <c r="N1856" s="16">
        <f ca="1">SUM($M$9:M1856)/A1856</f>
        <v>337.17748917748958</v>
      </c>
    </row>
    <row r="1857" spans="1:14" x14ac:dyDescent="0.25">
      <c r="A1857" s="8">
        <v>1849</v>
      </c>
      <c r="B1857" s="9">
        <f t="shared" ca="1" si="363"/>
        <v>2199</v>
      </c>
      <c r="C1857" s="10">
        <f t="shared" ca="1" si="364"/>
        <v>1800</v>
      </c>
      <c r="D1857" s="11">
        <f t="shared" ca="1" si="360"/>
        <v>0.30093467444279309</v>
      </c>
      <c r="E1857" s="9">
        <f t="shared" ca="1" si="361"/>
        <v>373</v>
      </c>
      <c r="F1857" s="9">
        <f t="shared" ca="1" si="365"/>
        <v>1826</v>
      </c>
      <c r="G1857" s="12" t="str">
        <f t="shared" ca="1" si="366"/>
        <v>No</v>
      </c>
      <c r="H1857" s="12">
        <f t="shared" ca="1" si="362"/>
        <v>0</v>
      </c>
      <c r="I1857" s="10">
        <f t="shared" ca="1" si="367"/>
        <v>0</v>
      </c>
      <c r="J1857" s="13">
        <f t="shared" ca="1" si="368"/>
        <v>0</v>
      </c>
      <c r="K1857" s="14">
        <f t="shared" ca="1" si="369"/>
        <v>365.20000000000005</v>
      </c>
      <c r="L1857" s="14">
        <f t="shared" ca="1" si="370"/>
        <v>0</v>
      </c>
      <c r="M1857" s="15">
        <f t="shared" ca="1" si="371"/>
        <v>365.20000000000005</v>
      </c>
      <c r="N1857" s="16">
        <f ca="1">SUM($M$9:M1857)/A1857</f>
        <v>337.19264467279646</v>
      </c>
    </row>
    <row r="1858" spans="1:14" x14ac:dyDescent="0.25">
      <c r="A1858" s="8">
        <v>1850</v>
      </c>
      <c r="B1858" s="9">
        <f t="shared" ca="1" si="363"/>
        <v>1826</v>
      </c>
      <c r="C1858" s="10">
        <f t="shared" ca="1" si="364"/>
        <v>0</v>
      </c>
      <c r="D1858" s="11">
        <f t="shared" ca="1" si="360"/>
        <v>0.19854652363858427</v>
      </c>
      <c r="E1858" s="9">
        <f t="shared" ca="1" si="361"/>
        <v>357</v>
      </c>
      <c r="F1858" s="9">
        <f t="shared" ca="1" si="365"/>
        <v>1469</v>
      </c>
      <c r="G1858" s="12" t="str">
        <f t="shared" ca="1" si="366"/>
        <v>No</v>
      </c>
      <c r="H1858" s="12">
        <f t="shared" ca="1" si="362"/>
        <v>0</v>
      </c>
      <c r="I1858" s="10">
        <f t="shared" ca="1" si="367"/>
        <v>0</v>
      </c>
      <c r="J1858" s="13">
        <f t="shared" ca="1" si="368"/>
        <v>0</v>
      </c>
      <c r="K1858" s="14">
        <f t="shared" ca="1" si="369"/>
        <v>293.8</v>
      </c>
      <c r="L1858" s="14">
        <f t="shared" ca="1" si="370"/>
        <v>0</v>
      </c>
      <c r="M1858" s="15">
        <f t="shared" ca="1" si="371"/>
        <v>293.8</v>
      </c>
      <c r="N1858" s="16">
        <f ca="1">SUM($M$9:M1858)/A1858</f>
        <v>337.16918918918958</v>
      </c>
    </row>
    <row r="1859" spans="1:14" x14ac:dyDescent="0.25">
      <c r="A1859" s="8">
        <v>1851</v>
      </c>
      <c r="B1859" s="9">
        <f t="shared" ca="1" si="363"/>
        <v>1469</v>
      </c>
      <c r="C1859" s="10">
        <f t="shared" ca="1" si="364"/>
        <v>0</v>
      </c>
      <c r="D1859" s="11">
        <f t="shared" ca="1" si="360"/>
        <v>0.4322403818849988</v>
      </c>
      <c r="E1859" s="9">
        <f t="shared" ca="1" si="361"/>
        <v>391</v>
      </c>
      <c r="F1859" s="9">
        <f t="shared" ca="1" si="365"/>
        <v>1078</v>
      </c>
      <c r="G1859" s="12" t="str">
        <f t="shared" ca="1" si="366"/>
        <v>No</v>
      </c>
      <c r="H1859" s="12">
        <f t="shared" ca="1" si="362"/>
        <v>0</v>
      </c>
      <c r="I1859" s="10">
        <f t="shared" ca="1" si="367"/>
        <v>0</v>
      </c>
      <c r="J1859" s="13">
        <f t="shared" ca="1" si="368"/>
        <v>0</v>
      </c>
      <c r="K1859" s="14">
        <f t="shared" ca="1" si="369"/>
        <v>215.60000000000002</v>
      </c>
      <c r="L1859" s="14">
        <f t="shared" ca="1" si="370"/>
        <v>0</v>
      </c>
      <c r="M1859" s="15">
        <f t="shared" ca="1" si="371"/>
        <v>215.60000000000002</v>
      </c>
      <c r="N1859" s="16">
        <f ca="1">SUM($M$9:M1859)/A1859</f>
        <v>337.10351161534345</v>
      </c>
    </row>
    <row r="1860" spans="1:14" x14ac:dyDescent="0.25">
      <c r="A1860" s="8">
        <v>1852</v>
      </c>
      <c r="B1860" s="9">
        <f t="shared" ca="1" si="363"/>
        <v>1078</v>
      </c>
      <c r="C1860" s="10">
        <f t="shared" ca="1" si="364"/>
        <v>0</v>
      </c>
      <c r="D1860" s="11">
        <f t="shared" ca="1" si="360"/>
        <v>0.81898560576461743</v>
      </c>
      <c r="E1860" s="9">
        <f t="shared" ca="1" si="361"/>
        <v>445</v>
      </c>
      <c r="F1860" s="9">
        <f t="shared" ca="1" si="365"/>
        <v>633</v>
      </c>
      <c r="G1860" s="12" t="str">
        <f t="shared" ca="1" si="366"/>
        <v>Yes</v>
      </c>
      <c r="H1860" s="12">
        <f t="shared" ca="1" si="362"/>
        <v>0.66209293606323183</v>
      </c>
      <c r="I1860" s="10">
        <f t="shared" ca="1" si="367"/>
        <v>1</v>
      </c>
      <c r="J1860" s="13">
        <f t="shared" ca="1" si="368"/>
        <v>300</v>
      </c>
      <c r="K1860" s="14">
        <f t="shared" ca="1" si="369"/>
        <v>126.60000000000001</v>
      </c>
      <c r="L1860" s="14">
        <f t="shared" ca="1" si="370"/>
        <v>0</v>
      </c>
      <c r="M1860" s="15">
        <f t="shared" ca="1" si="371"/>
        <v>426.6</v>
      </c>
      <c r="N1860" s="16">
        <f ca="1">SUM($M$9:M1860)/A1860</f>
        <v>337.15183585313213</v>
      </c>
    </row>
    <row r="1861" spans="1:14" x14ac:dyDescent="0.25">
      <c r="A1861" s="8">
        <v>1853</v>
      </c>
      <c r="B1861" s="9">
        <f t="shared" ca="1" si="363"/>
        <v>2433</v>
      </c>
      <c r="C1861" s="10">
        <f t="shared" ca="1" si="364"/>
        <v>1800</v>
      </c>
      <c r="D1861" s="11">
        <f t="shared" ca="1" si="360"/>
        <v>0.59928273357315975</v>
      </c>
      <c r="E1861" s="9">
        <f t="shared" ca="1" si="361"/>
        <v>412</v>
      </c>
      <c r="F1861" s="9">
        <f t="shared" ca="1" si="365"/>
        <v>2021</v>
      </c>
      <c r="G1861" s="12" t="str">
        <f t="shared" ca="1" si="366"/>
        <v>No</v>
      </c>
      <c r="H1861" s="12">
        <f t="shared" ca="1" si="362"/>
        <v>0</v>
      </c>
      <c r="I1861" s="10">
        <f t="shared" ca="1" si="367"/>
        <v>0</v>
      </c>
      <c r="J1861" s="13">
        <f t="shared" ca="1" si="368"/>
        <v>0</v>
      </c>
      <c r="K1861" s="14">
        <f t="shared" ca="1" si="369"/>
        <v>404.20000000000005</v>
      </c>
      <c r="L1861" s="14">
        <f t="shared" ca="1" si="370"/>
        <v>0</v>
      </c>
      <c r="M1861" s="15">
        <f t="shared" ca="1" si="371"/>
        <v>404.20000000000005</v>
      </c>
      <c r="N1861" s="16">
        <f ca="1">SUM($M$9:M1861)/A1861</f>
        <v>337.188019427955</v>
      </c>
    </row>
    <row r="1862" spans="1:14" x14ac:dyDescent="0.25">
      <c r="A1862" s="8">
        <v>1854</v>
      </c>
      <c r="B1862" s="9">
        <f t="shared" ca="1" si="363"/>
        <v>2021</v>
      </c>
      <c r="C1862" s="10">
        <f t="shared" ca="1" si="364"/>
        <v>0</v>
      </c>
      <c r="D1862" s="11">
        <f t="shared" ca="1" si="360"/>
        <v>0.493534335636999</v>
      </c>
      <c r="E1862" s="9">
        <f t="shared" ca="1" si="361"/>
        <v>399</v>
      </c>
      <c r="F1862" s="9">
        <f t="shared" ca="1" si="365"/>
        <v>1622</v>
      </c>
      <c r="G1862" s="12" t="str">
        <f t="shared" ca="1" si="366"/>
        <v>No</v>
      </c>
      <c r="H1862" s="12">
        <f t="shared" ca="1" si="362"/>
        <v>0</v>
      </c>
      <c r="I1862" s="10">
        <f t="shared" ca="1" si="367"/>
        <v>0</v>
      </c>
      <c r="J1862" s="13">
        <f t="shared" ca="1" si="368"/>
        <v>0</v>
      </c>
      <c r="K1862" s="14">
        <f t="shared" ca="1" si="369"/>
        <v>324.40000000000003</v>
      </c>
      <c r="L1862" s="14">
        <f t="shared" ca="1" si="370"/>
        <v>0</v>
      </c>
      <c r="M1862" s="15">
        <f t="shared" ca="1" si="371"/>
        <v>324.40000000000003</v>
      </c>
      <c r="N1862" s="16">
        <f ca="1">SUM($M$9:M1862)/A1862</f>
        <v>337.18112189859795</v>
      </c>
    </row>
    <row r="1863" spans="1:14" x14ac:dyDescent="0.25">
      <c r="A1863" s="8">
        <v>1855</v>
      </c>
      <c r="B1863" s="9">
        <f t="shared" ca="1" si="363"/>
        <v>1622</v>
      </c>
      <c r="C1863" s="10">
        <f t="shared" ca="1" si="364"/>
        <v>0</v>
      </c>
      <c r="D1863" s="11">
        <f t="shared" ca="1" si="360"/>
        <v>0.59339945975674513</v>
      </c>
      <c r="E1863" s="9">
        <f t="shared" ca="1" si="361"/>
        <v>411</v>
      </c>
      <c r="F1863" s="9">
        <f t="shared" ca="1" si="365"/>
        <v>1211</v>
      </c>
      <c r="G1863" s="12" t="str">
        <f t="shared" ca="1" si="366"/>
        <v>No</v>
      </c>
      <c r="H1863" s="12">
        <f t="shared" ca="1" si="362"/>
        <v>0</v>
      </c>
      <c r="I1863" s="10">
        <f t="shared" ca="1" si="367"/>
        <v>0</v>
      </c>
      <c r="J1863" s="13">
        <f t="shared" ca="1" si="368"/>
        <v>0</v>
      </c>
      <c r="K1863" s="14">
        <f t="shared" ca="1" si="369"/>
        <v>242.20000000000002</v>
      </c>
      <c r="L1863" s="14">
        <f t="shared" ca="1" si="370"/>
        <v>0</v>
      </c>
      <c r="M1863" s="15">
        <f t="shared" ca="1" si="371"/>
        <v>242.20000000000002</v>
      </c>
      <c r="N1863" s="16">
        <f ca="1">SUM($M$9:M1863)/A1863</f>
        <v>337.12991913746663</v>
      </c>
    </row>
    <row r="1864" spans="1:14" x14ac:dyDescent="0.25">
      <c r="A1864" s="8">
        <v>1856</v>
      </c>
      <c r="B1864" s="9">
        <f t="shared" ca="1" si="363"/>
        <v>1211</v>
      </c>
      <c r="C1864" s="10">
        <f t="shared" ca="1" si="364"/>
        <v>0</v>
      </c>
      <c r="D1864" s="11">
        <f t="shared" ca="1" si="360"/>
        <v>8.6460313735274852E-3</v>
      </c>
      <c r="E1864" s="9">
        <f t="shared" ca="1" si="361"/>
        <v>280</v>
      </c>
      <c r="F1864" s="9">
        <f t="shared" ca="1" si="365"/>
        <v>931</v>
      </c>
      <c r="G1864" s="12" t="str">
        <f t="shared" ca="1" si="366"/>
        <v>Yes</v>
      </c>
      <c r="H1864" s="12">
        <f t="shared" ca="1" si="362"/>
        <v>0.97823365284581065</v>
      </c>
      <c r="I1864" s="10">
        <f t="shared" ca="1" si="367"/>
        <v>3</v>
      </c>
      <c r="J1864" s="13">
        <f t="shared" ca="1" si="368"/>
        <v>300</v>
      </c>
      <c r="K1864" s="14">
        <f t="shared" ca="1" si="369"/>
        <v>186.20000000000002</v>
      </c>
      <c r="L1864" s="14">
        <f t="shared" ca="1" si="370"/>
        <v>0</v>
      </c>
      <c r="M1864" s="15">
        <f t="shared" ca="1" si="371"/>
        <v>486.20000000000005</v>
      </c>
      <c r="N1864" s="16">
        <f ca="1">SUM($M$9:M1864)/A1864</f>
        <v>337.2102370689658</v>
      </c>
    </row>
    <row r="1865" spans="1:14" x14ac:dyDescent="0.25">
      <c r="A1865" s="8">
        <v>1857</v>
      </c>
      <c r="B1865" s="9">
        <f t="shared" ca="1" si="363"/>
        <v>931</v>
      </c>
      <c r="C1865" s="10">
        <f t="shared" ca="1" si="364"/>
        <v>0</v>
      </c>
      <c r="D1865" s="11">
        <f t="shared" ca="1" si="360"/>
        <v>0.18330282389295571</v>
      </c>
      <c r="E1865" s="9">
        <f t="shared" ca="1" si="361"/>
        <v>354</v>
      </c>
      <c r="F1865" s="9">
        <f t="shared" ca="1" si="365"/>
        <v>577</v>
      </c>
      <c r="G1865" s="12" t="str">
        <f t="shared" ca="1" si="366"/>
        <v>No</v>
      </c>
      <c r="H1865" s="12">
        <f t="shared" ca="1" si="362"/>
        <v>0</v>
      </c>
      <c r="I1865" s="10">
        <f t="shared" ca="1" si="367"/>
        <v>2</v>
      </c>
      <c r="J1865" s="13">
        <f t="shared" ca="1" si="368"/>
        <v>0</v>
      </c>
      <c r="K1865" s="14">
        <f t="shared" ca="1" si="369"/>
        <v>115.4</v>
      </c>
      <c r="L1865" s="14">
        <f t="shared" ca="1" si="370"/>
        <v>0</v>
      </c>
      <c r="M1865" s="15">
        <f t="shared" ca="1" si="371"/>
        <v>115.4</v>
      </c>
      <c r="N1865" s="16">
        <f ca="1">SUM($M$9:M1865)/A1865</f>
        <v>337.09079159935408</v>
      </c>
    </row>
    <row r="1866" spans="1:14" x14ac:dyDescent="0.25">
      <c r="A1866" s="8">
        <v>1858</v>
      </c>
      <c r="B1866" s="9">
        <f t="shared" ca="1" si="363"/>
        <v>577</v>
      </c>
      <c r="C1866" s="10">
        <f t="shared" ca="1" si="364"/>
        <v>0</v>
      </c>
      <c r="D1866" s="11">
        <f t="shared" ref="D1866:D1929" ca="1" si="372">RAND()</f>
        <v>0.31277118166383833</v>
      </c>
      <c r="E1866" s="9">
        <f t="shared" ref="E1866:E1929" ca="1" si="373">INT(NORMINV(D1866,D_Mean,D_StdDev))</f>
        <v>375</v>
      </c>
      <c r="F1866" s="9">
        <f t="shared" ca="1" si="365"/>
        <v>202</v>
      </c>
      <c r="G1866" s="12" t="str">
        <f t="shared" ca="1" si="366"/>
        <v>No</v>
      </c>
      <c r="H1866" s="12">
        <f t="shared" ref="H1866:H1929" ca="1" si="374">IF(G1866="Yes",RAND(),0)</f>
        <v>0</v>
      </c>
      <c r="I1866" s="10">
        <f t="shared" ca="1" si="367"/>
        <v>1</v>
      </c>
      <c r="J1866" s="13">
        <f t="shared" ca="1" si="368"/>
        <v>0</v>
      </c>
      <c r="K1866" s="14">
        <f t="shared" ca="1" si="369"/>
        <v>40.400000000000006</v>
      </c>
      <c r="L1866" s="14">
        <f t="shared" ca="1" si="370"/>
        <v>0</v>
      </c>
      <c r="M1866" s="15">
        <f t="shared" ca="1" si="371"/>
        <v>40.400000000000006</v>
      </c>
      <c r="N1866" s="16">
        <f ca="1">SUM($M$9:M1866)/A1866</f>
        <v>336.93110871905304</v>
      </c>
    </row>
    <row r="1867" spans="1:14" x14ac:dyDescent="0.25">
      <c r="A1867" s="8">
        <v>1859</v>
      </c>
      <c r="B1867" s="9">
        <f t="shared" ca="1" si="363"/>
        <v>2002</v>
      </c>
      <c r="C1867" s="10">
        <f t="shared" ca="1" si="364"/>
        <v>1800</v>
      </c>
      <c r="D1867" s="11">
        <f t="shared" ca="1" si="372"/>
        <v>0.71205927281282688</v>
      </c>
      <c r="E1867" s="9">
        <f t="shared" ca="1" si="373"/>
        <v>427</v>
      </c>
      <c r="F1867" s="9">
        <f t="shared" ca="1" si="365"/>
        <v>1575</v>
      </c>
      <c r="G1867" s="12" t="str">
        <f t="shared" ca="1" si="366"/>
        <v>No</v>
      </c>
      <c r="H1867" s="12">
        <f t="shared" ca="1" si="374"/>
        <v>0</v>
      </c>
      <c r="I1867" s="10">
        <f t="shared" ca="1" si="367"/>
        <v>0</v>
      </c>
      <c r="J1867" s="13">
        <f t="shared" ca="1" si="368"/>
        <v>0</v>
      </c>
      <c r="K1867" s="14">
        <f t="shared" ca="1" si="369"/>
        <v>315</v>
      </c>
      <c r="L1867" s="14">
        <f t="shared" ca="1" si="370"/>
        <v>0</v>
      </c>
      <c r="M1867" s="15">
        <f t="shared" ca="1" si="371"/>
        <v>315</v>
      </c>
      <c r="N1867" s="16">
        <f ca="1">SUM($M$9:M1867)/A1867</f>
        <v>336.91931145777329</v>
      </c>
    </row>
    <row r="1868" spans="1:14" x14ac:dyDescent="0.25">
      <c r="A1868" s="8">
        <v>1860</v>
      </c>
      <c r="B1868" s="9">
        <f t="shared" ca="1" si="363"/>
        <v>1575</v>
      </c>
      <c r="C1868" s="10">
        <f t="shared" ca="1" si="364"/>
        <v>0</v>
      </c>
      <c r="D1868" s="11">
        <f t="shared" ca="1" si="372"/>
        <v>0.72463928162781077</v>
      </c>
      <c r="E1868" s="9">
        <f t="shared" ca="1" si="373"/>
        <v>429</v>
      </c>
      <c r="F1868" s="9">
        <f t="shared" ca="1" si="365"/>
        <v>1146</v>
      </c>
      <c r="G1868" s="12" t="str">
        <f t="shared" ca="1" si="366"/>
        <v>No</v>
      </c>
      <c r="H1868" s="12">
        <f t="shared" ca="1" si="374"/>
        <v>0</v>
      </c>
      <c r="I1868" s="10">
        <f t="shared" ca="1" si="367"/>
        <v>0</v>
      </c>
      <c r="J1868" s="13">
        <f t="shared" ca="1" si="368"/>
        <v>0</v>
      </c>
      <c r="K1868" s="14">
        <f t="shared" ca="1" si="369"/>
        <v>229.20000000000002</v>
      </c>
      <c r="L1868" s="14">
        <f t="shared" ca="1" si="370"/>
        <v>0</v>
      </c>
      <c r="M1868" s="15">
        <f t="shared" ca="1" si="371"/>
        <v>229.20000000000002</v>
      </c>
      <c r="N1868" s="16">
        <f ca="1">SUM($M$9:M1868)/A1868</f>
        <v>336.86139784946266</v>
      </c>
    </row>
    <row r="1869" spans="1:14" x14ac:dyDescent="0.25">
      <c r="A1869" s="8">
        <v>1861</v>
      </c>
      <c r="B1869" s="9">
        <f t="shared" ca="1" si="363"/>
        <v>1146</v>
      </c>
      <c r="C1869" s="10">
        <f t="shared" ca="1" si="364"/>
        <v>0</v>
      </c>
      <c r="D1869" s="11">
        <f t="shared" ca="1" si="372"/>
        <v>0.18779977268201109</v>
      </c>
      <c r="E1869" s="9">
        <f t="shared" ca="1" si="373"/>
        <v>355</v>
      </c>
      <c r="F1869" s="9">
        <f t="shared" ca="1" si="365"/>
        <v>791</v>
      </c>
      <c r="G1869" s="12" t="str">
        <f t="shared" ca="1" si="366"/>
        <v>Yes</v>
      </c>
      <c r="H1869" s="12">
        <f t="shared" ca="1" si="374"/>
        <v>0.85843531226226388</v>
      </c>
      <c r="I1869" s="10">
        <f t="shared" ca="1" si="367"/>
        <v>2</v>
      </c>
      <c r="J1869" s="13">
        <f t="shared" ca="1" si="368"/>
        <v>300</v>
      </c>
      <c r="K1869" s="14">
        <f t="shared" ca="1" si="369"/>
        <v>158.20000000000002</v>
      </c>
      <c r="L1869" s="14">
        <f t="shared" ca="1" si="370"/>
        <v>0</v>
      </c>
      <c r="M1869" s="15">
        <f t="shared" ca="1" si="371"/>
        <v>458.20000000000005</v>
      </c>
      <c r="N1869" s="16">
        <f ca="1">SUM($M$9:M1869)/A1869</f>
        <v>336.92659860290195</v>
      </c>
    </row>
    <row r="1870" spans="1:14" x14ac:dyDescent="0.25">
      <c r="A1870" s="8">
        <v>1862</v>
      </c>
      <c r="B1870" s="9">
        <f t="shared" ca="1" si="363"/>
        <v>791</v>
      </c>
      <c r="C1870" s="10">
        <f t="shared" ca="1" si="364"/>
        <v>0</v>
      </c>
      <c r="D1870" s="11">
        <f t="shared" ca="1" si="372"/>
        <v>7.6218378946502741E-2</v>
      </c>
      <c r="E1870" s="9">
        <f t="shared" ca="1" si="373"/>
        <v>328</v>
      </c>
      <c r="F1870" s="9">
        <f t="shared" ca="1" si="365"/>
        <v>463</v>
      </c>
      <c r="G1870" s="12" t="str">
        <f t="shared" ca="1" si="366"/>
        <v>No</v>
      </c>
      <c r="H1870" s="12">
        <f t="shared" ca="1" si="374"/>
        <v>0</v>
      </c>
      <c r="I1870" s="10">
        <f t="shared" ca="1" si="367"/>
        <v>1</v>
      </c>
      <c r="J1870" s="13">
        <f t="shared" ca="1" si="368"/>
        <v>0</v>
      </c>
      <c r="K1870" s="14">
        <f t="shared" ca="1" si="369"/>
        <v>92.600000000000009</v>
      </c>
      <c r="L1870" s="14">
        <f t="shared" ca="1" si="370"/>
        <v>0</v>
      </c>
      <c r="M1870" s="15">
        <f t="shared" ca="1" si="371"/>
        <v>92.600000000000009</v>
      </c>
      <c r="N1870" s="16">
        <f ca="1">SUM($M$9:M1870)/A1870</f>
        <v>336.79538131041915</v>
      </c>
    </row>
    <row r="1871" spans="1:14" x14ac:dyDescent="0.25">
      <c r="A1871" s="8">
        <v>1863</v>
      </c>
      <c r="B1871" s="9">
        <f t="shared" ca="1" si="363"/>
        <v>2263</v>
      </c>
      <c r="C1871" s="10">
        <f t="shared" ca="1" si="364"/>
        <v>1800</v>
      </c>
      <c r="D1871" s="11">
        <f t="shared" ca="1" si="372"/>
        <v>0.33320122489384041</v>
      </c>
      <c r="E1871" s="9">
        <f t="shared" ca="1" si="373"/>
        <v>378</v>
      </c>
      <c r="F1871" s="9">
        <f t="shared" ca="1" si="365"/>
        <v>1885</v>
      </c>
      <c r="G1871" s="12" t="str">
        <f t="shared" ca="1" si="366"/>
        <v>No</v>
      </c>
      <c r="H1871" s="12">
        <f t="shared" ca="1" si="374"/>
        <v>0</v>
      </c>
      <c r="I1871" s="10">
        <f t="shared" ca="1" si="367"/>
        <v>0</v>
      </c>
      <c r="J1871" s="13">
        <f t="shared" ca="1" si="368"/>
        <v>0</v>
      </c>
      <c r="K1871" s="14">
        <f t="shared" ca="1" si="369"/>
        <v>377</v>
      </c>
      <c r="L1871" s="14">
        <f t="shared" ca="1" si="370"/>
        <v>0</v>
      </c>
      <c r="M1871" s="15">
        <f t="shared" ca="1" si="371"/>
        <v>377</v>
      </c>
      <c r="N1871" s="16">
        <f ca="1">SUM($M$9:M1871)/A1871</f>
        <v>336.8169618894259</v>
      </c>
    </row>
    <row r="1872" spans="1:14" x14ac:dyDescent="0.25">
      <c r="A1872" s="8">
        <v>1864</v>
      </c>
      <c r="B1872" s="9">
        <f t="shared" ca="1" si="363"/>
        <v>1885</v>
      </c>
      <c r="C1872" s="10">
        <f t="shared" ca="1" si="364"/>
        <v>0</v>
      </c>
      <c r="D1872" s="11">
        <f t="shared" ca="1" si="372"/>
        <v>0.82930245224567167</v>
      </c>
      <c r="E1872" s="9">
        <f t="shared" ca="1" si="373"/>
        <v>447</v>
      </c>
      <c r="F1872" s="9">
        <f t="shared" ca="1" si="365"/>
        <v>1438</v>
      </c>
      <c r="G1872" s="12" t="str">
        <f t="shared" ca="1" si="366"/>
        <v>No</v>
      </c>
      <c r="H1872" s="12">
        <f t="shared" ca="1" si="374"/>
        <v>0</v>
      </c>
      <c r="I1872" s="10">
        <f t="shared" ca="1" si="367"/>
        <v>0</v>
      </c>
      <c r="J1872" s="13">
        <f t="shared" ca="1" si="368"/>
        <v>0</v>
      </c>
      <c r="K1872" s="14">
        <f t="shared" ca="1" si="369"/>
        <v>287.60000000000002</v>
      </c>
      <c r="L1872" s="14">
        <f t="shared" ca="1" si="370"/>
        <v>0</v>
      </c>
      <c r="M1872" s="15">
        <f t="shared" ca="1" si="371"/>
        <v>287.60000000000002</v>
      </c>
      <c r="N1872" s="16">
        <f ca="1">SUM($M$9:M1872)/A1872</f>
        <v>336.79055793991438</v>
      </c>
    </row>
    <row r="1873" spans="1:14" x14ac:dyDescent="0.25">
      <c r="A1873" s="8">
        <v>1865</v>
      </c>
      <c r="B1873" s="9">
        <f t="shared" ca="1" si="363"/>
        <v>1438</v>
      </c>
      <c r="C1873" s="10">
        <f t="shared" ca="1" si="364"/>
        <v>0</v>
      </c>
      <c r="D1873" s="11">
        <f t="shared" ca="1" si="372"/>
        <v>0.27695197790908566</v>
      </c>
      <c r="E1873" s="9">
        <f t="shared" ca="1" si="373"/>
        <v>370</v>
      </c>
      <c r="F1873" s="9">
        <f t="shared" ca="1" si="365"/>
        <v>1068</v>
      </c>
      <c r="G1873" s="12" t="str">
        <f t="shared" ca="1" si="366"/>
        <v>No</v>
      </c>
      <c r="H1873" s="12">
        <f t="shared" ca="1" si="374"/>
        <v>0</v>
      </c>
      <c r="I1873" s="10">
        <f t="shared" ca="1" si="367"/>
        <v>0</v>
      </c>
      <c r="J1873" s="13">
        <f t="shared" ca="1" si="368"/>
        <v>0</v>
      </c>
      <c r="K1873" s="14">
        <f t="shared" ca="1" si="369"/>
        <v>213.60000000000002</v>
      </c>
      <c r="L1873" s="14">
        <f t="shared" ca="1" si="370"/>
        <v>0</v>
      </c>
      <c r="M1873" s="15">
        <f t="shared" ca="1" si="371"/>
        <v>213.60000000000002</v>
      </c>
      <c r="N1873" s="16">
        <f ca="1">SUM($M$9:M1873)/A1873</f>
        <v>336.72450402144796</v>
      </c>
    </row>
    <row r="1874" spans="1:14" x14ac:dyDescent="0.25">
      <c r="A1874" s="8">
        <v>1866</v>
      </c>
      <c r="B1874" s="9">
        <f t="shared" ca="1" si="363"/>
        <v>1068</v>
      </c>
      <c r="C1874" s="10">
        <f t="shared" ca="1" si="364"/>
        <v>0</v>
      </c>
      <c r="D1874" s="11">
        <f t="shared" ca="1" si="372"/>
        <v>0.13063683681249649</v>
      </c>
      <c r="E1874" s="9">
        <f t="shared" ca="1" si="373"/>
        <v>343</v>
      </c>
      <c r="F1874" s="9">
        <f t="shared" ca="1" si="365"/>
        <v>725</v>
      </c>
      <c r="G1874" s="12" t="str">
        <f t="shared" ca="1" si="366"/>
        <v>Yes</v>
      </c>
      <c r="H1874" s="12">
        <f t="shared" ca="1" si="374"/>
        <v>0.60923929026557999</v>
      </c>
      <c r="I1874" s="10">
        <f t="shared" ca="1" si="367"/>
        <v>1</v>
      </c>
      <c r="J1874" s="13">
        <f t="shared" ca="1" si="368"/>
        <v>300</v>
      </c>
      <c r="K1874" s="14">
        <f t="shared" ca="1" si="369"/>
        <v>145</v>
      </c>
      <c r="L1874" s="14">
        <f t="shared" ca="1" si="370"/>
        <v>0</v>
      </c>
      <c r="M1874" s="15">
        <f t="shared" ca="1" si="371"/>
        <v>445</v>
      </c>
      <c r="N1874" s="16">
        <f ca="1">SUM($M$9:M1874)/A1874</f>
        <v>336.78252947481263</v>
      </c>
    </row>
    <row r="1875" spans="1:14" x14ac:dyDescent="0.25">
      <c r="A1875" s="8">
        <v>1867</v>
      </c>
      <c r="B1875" s="9">
        <f t="shared" ca="1" si="363"/>
        <v>2525</v>
      </c>
      <c r="C1875" s="10">
        <f t="shared" ca="1" si="364"/>
        <v>1800</v>
      </c>
      <c r="D1875" s="11">
        <f t="shared" ca="1" si="372"/>
        <v>0.86266901579909738</v>
      </c>
      <c r="E1875" s="9">
        <f t="shared" ca="1" si="373"/>
        <v>454</v>
      </c>
      <c r="F1875" s="9">
        <f t="shared" ca="1" si="365"/>
        <v>2071</v>
      </c>
      <c r="G1875" s="12" t="str">
        <f t="shared" ca="1" si="366"/>
        <v>No</v>
      </c>
      <c r="H1875" s="12">
        <f t="shared" ca="1" si="374"/>
        <v>0</v>
      </c>
      <c r="I1875" s="10">
        <f t="shared" ca="1" si="367"/>
        <v>0</v>
      </c>
      <c r="J1875" s="13">
        <f t="shared" ca="1" si="368"/>
        <v>0</v>
      </c>
      <c r="K1875" s="14">
        <f t="shared" ca="1" si="369"/>
        <v>414.20000000000005</v>
      </c>
      <c r="L1875" s="14">
        <f t="shared" ca="1" si="370"/>
        <v>0</v>
      </c>
      <c r="M1875" s="15">
        <f t="shared" ca="1" si="371"/>
        <v>414.20000000000005</v>
      </c>
      <c r="N1875" s="16">
        <f ca="1">SUM($M$9:M1875)/A1875</f>
        <v>336.82399571505107</v>
      </c>
    </row>
    <row r="1876" spans="1:14" x14ac:dyDescent="0.25">
      <c r="A1876" s="8">
        <v>1868</v>
      </c>
      <c r="B1876" s="9">
        <f t="shared" ca="1" si="363"/>
        <v>2071</v>
      </c>
      <c r="C1876" s="10">
        <f t="shared" ca="1" si="364"/>
        <v>0</v>
      </c>
      <c r="D1876" s="11">
        <f t="shared" ca="1" si="372"/>
        <v>0.71914670033067618</v>
      </c>
      <c r="E1876" s="9">
        <f t="shared" ca="1" si="373"/>
        <v>429</v>
      </c>
      <c r="F1876" s="9">
        <f t="shared" ca="1" si="365"/>
        <v>1642</v>
      </c>
      <c r="G1876" s="12" t="str">
        <f t="shared" ca="1" si="366"/>
        <v>No</v>
      </c>
      <c r="H1876" s="12">
        <f t="shared" ca="1" si="374"/>
        <v>0</v>
      </c>
      <c r="I1876" s="10">
        <f t="shared" ca="1" si="367"/>
        <v>0</v>
      </c>
      <c r="J1876" s="13">
        <f t="shared" ca="1" si="368"/>
        <v>0</v>
      </c>
      <c r="K1876" s="14">
        <f t="shared" ca="1" si="369"/>
        <v>328.40000000000003</v>
      </c>
      <c r="L1876" s="14">
        <f t="shared" ca="1" si="370"/>
        <v>0</v>
      </c>
      <c r="M1876" s="15">
        <f t="shared" ca="1" si="371"/>
        <v>328.40000000000003</v>
      </c>
      <c r="N1876" s="16">
        <f ca="1">SUM($M$9:M1876)/A1876</f>
        <v>336.81948608137066</v>
      </c>
    </row>
    <row r="1877" spans="1:14" x14ac:dyDescent="0.25">
      <c r="A1877" s="8">
        <v>1869</v>
      </c>
      <c r="B1877" s="9">
        <f t="shared" ca="1" si="363"/>
        <v>1642</v>
      </c>
      <c r="C1877" s="10">
        <f t="shared" ca="1" si="364"/>
        <v>0</v>
      </c>
      <c r="D1877" s="11">
        <f t="shared" ca="1" si="372"/>
        <v>0.102157241347547</v>
      </c>
      <c r="E1877" s="9">
        <f t="shared" ca="1" si="373"/>
        <v>336</v>
      </c>
      <c r="F1877" s="9">
        <f t="shared" ca="1" si="365"/>
        <v>1306</v>
      </c>
      <c r="G1877" s="12" t="str">
        <f t="shared" ca="1" si="366"/>
        <v>No</v>
      </c>
      <c r="H1877" s="12">
        <f t="shared" ca="1" si="374"/>
        <v>0</v>
      </c>
      <c r="I1877" s="10">
        <f t="shared" ca="1" si="367"/>
        <v>0</v>
      </c>
      <c r="J1877" s="13">
        <f t="shared" ca="1" si="368"/>
        <v>0</v>
      </c>
      <c r="K1877" s="14">
        <f t="shared" ca="1" si="369"/>
        <v>261.2</v>
      </c>
      <c r="L1877" s="14">
        <f t="shared" ca="1" si="370"/>
        <v>0</v>
      </c>
      <c r="M1877" s="15">
        <f t="shared" ca="1" si="371"/>
        <v>261.2</v>
      </c>
      <c r="N1877" s="16">
        <f ca="1">SUM($M$9:M1877)/A1877</f>
        <v>336.77902621722865</v>
      </c>
    </row>
    <row r="1878" spans="1:14" x14ac:dyDescent="0.25">
      <c r="A1878" s="8">
        <v>1870</v>
      </c>
      <c r="B1878" s="9">
        <f t="shared" ca="1" si="363"/>
        <v>1306</v>
      </c>
      <c r="C1878" s="10">
        <f t="shared" ca="1" si="364"/>
        <v>0</v>
      </c>
      <c r="D1878" s="11">
        <f t="shared" ca="1" si="372"/>
        <v>0.6774624579726356</v>
      </c>
      <c r="E1878" s="9">
        <f t="shared" ca="1" si="373"/>
        <v>423</v>
      </c>
      <c r="F1878" s="9">
        <f t="shared" ca="1" si="365"/>
        <v>883</v>
      </c>
      <c r="G1878" s="12" t="str">
        <f t="shared" ca="1" si="366"/>
        <v>Yes</v>
      </c>
      <c r="H1878" s="12">
        <f t="shared" ca="1" si="374"/>
        <v>0.1232757027872815</v>
      </c>
      <c r="I1878" s="10">
        <f t="shared" ca="1" si="367"/>
        <v>1</v>
      </c>
      <c r="J1878" s="13">
        <f t="shared" ca="1" si="368"/>
        <v>300</v>
      </c>
      <c r="K1878" s="14">
        <f t="shared" ca="1" si="369"/>
        <v>176.60000000000002</v>
      </c>
      <c r="L1878" s="14">
        <f t="shared" ca="1" si="370"/>
        <v>0</v>
      </c>
      <c r="M1878" s="15">
        <f t="shared" ca="1" si="371"/>
        <v>476.6</v>
      </c>
      <c r="N1878" s="16">
        <f ca="1">SUM($M$9:M1878)/A1878</f>
        <v>336.85379679144404</v>
      </c>
    </row>
    <row r="1879" spans="1:14" x14ac:dyDescent="0.25">
      <c r="A1879" s="8">
        <v>1871</v>
      </c>
      <c r="B1879" s="9">
        <f t="shared" ca="1" si="363"/>
        <v>2683</v>
      </c>
      <c r="C1879" s="10">
        <f t="shared" ca="1" si="364"/>
        <v>1800</v>
      </c>
      <c r="D1879" s="11">
        <f t="shared" ca="1" si="372"/>
        <v>0.18458052194274344</v>
      </c>
      <c r="E1879" s="9">
        <f t="shared" ca="1" si="373"/>
        <v>355</v>
      </c>
      <c r="F1879" s="9">
        <f t="shared" ca="1" si="365"/>
        <v>2328</v>
      </c>
      <c r="G1879" s="12" t="str">
        <f t="shared" ca="1" si="366"/>
        <v>No</v>
      </c>
      <c r="H1879" s="12">
        <f t="shared" ca="1" si="374"/>
        <v>0</v>
      </c>
      <c r="I1879" s="10">
        <f t="shared" ca="1" si="367"/>
        <v>0</v>
      </c>
      <c r="J1879" s="13">
        <f t="shared" ca="1" si="368"/>
        <v>0</v>
      </c>
      <c r="K1879" s="14">
        <f t="shared" ca="1" si="369"/>
        <v>465.6</v>
      </c>
      <c r="L1879" s="14">
        <f t="shared" ca="1" si="370"/>
        <v>0</v>
      </c>
      <c r="M1879" s="15">
        <f t="shared" ca="1" si="371"/>
        <v>465.6</v>
      </c>
      <c r="N1879" s="16">
        <f ca="1">SUM($M$9:M1879)/A1879</f>
        <v>336.92260823089271</v>
      </c>
    </row>
    <row r="1880" spans="1:14" x14ac:dyDescent="0.25">
      <c r="A1880" s="8">
        <v>1872</v>
      </c>
      <c r="B1880" s="9">
        <f t="shared" ca="1" si="363"/>
        <v>2328</v>
      </c>
      <c r="C1880" s="10">
        <f t="shared" ca="1" si="364"/>
        <v>0</v>
      </c>
      <c r="D1880" s="11">
        <f t="shared" ca="1" si="372"/>
        <v>0.27047999915019283</v>
      </c>
      <c r="E1880" s="9">
        <f t="shared" ca="1" si="373"/>
        <v>369</v>
      </c>
      <c r="F1880" s="9">
        <f t="shared" ca="1" si="365"/>
        <v>1959</v>
      </c>
      <c r="G1880" s="12" t="str">
        <f t="shared" ca="1" si="366"/>
        <v>No</v>
      </c>
      <c r="H1880" s="12">
        <f t="shared" ca="1" si="374"/>
        <v>0</v>
      </c>
      <c r="I1880" s="10">
        <f t="shared" ca="1" si="367"/>
        <v>0</v>
      </c>
      <c r="J1880" s="13">
        <f t="shared" ca="1" si="368"/>
        <v>0</v>
      </c>
      <c r="K1880" s="14">
        <f t="shared" ca="1" si="369"/>
        <v>391.8</v>
      </c>
      <c r="L1880" s="14">
        <f t="shared" ca="1" si="370"/>
        <v>0</v>
      </c>
      <c r="M1880" s="15">
        <f t="shared" ca="1" si="371"/>
        <v>391.8</v>
      </c>
      <c r="N1880" s="16">
        <f ca="1">SUM($M$9:M1880)/A1880</f>
        <v>336.95192307692326</v>
      </c>
    </row>
    <row r="1881" spans="1:14" x14ac:dyDescent="0.25">
      <c r="A1881" s="8">
        <v>1873</v>
      </c>
      <c r="B1881" s="9">
        <f t="shared" ca="1" si="363"/>
        <v>1959</v>
      </c>
      <c r="C1881" s="10">
        <f t="shared" ca="1" si="364"/>
        <v>0</v>
      </c>
      <c r="D1881" s="11">
        <f t="shared" ca="1" si="372"/>
        <v>0.38895544471555865</v>
      </c>
      <c r="E1881" s="9">
        <f t="shared" ca="1" si="373"/>
        <v>385</v>
      </c>
      <c r="F1881" s="9">
        <f t="shared" ca="1" si="365"/>
        <v>1574</v>
      </c>
      <c r="G1881" s="12" t="str">
        <f t="shared" ca="1" si="366"/>
        <v>No</v>
      </c>
      <c r="H1881" s="12">
        <f t="shared" ca="1" si="374"/>
        <v>0</v>
      </c>
      <c r="I1881" s="10">
        <f t="shared" ca="1" si="367"/>
        <v>0</v>
      </c>
      <c r="J1881" s="13">
        <f t="shared" ca="1" si="368"/>
        <v>0</v>
      </c>
      <c r="K1881" s="14">
        <f t="shared" ca="1" si="369"/>
        <v>314.8</v>
      </c>
      <c r="L1881" s="14">
        <f t="shared" ca="1" si="370"/>
        <v>0</v>
      </c>
      <c r="M1881" s="15">
        <f t="shared" ca="1" si="371"/>
        <v>314.8</v>
      </c>
      <c r="N1881" s="16">
        <f ca="1">SUM($M$9:M1881)/A1881</f>
        <v>336.94009610250953</v>
      </c>
    </row>
    <row r="1882" spans="1:14" x14ac:dyDescent="0.25">
      <c r="A1882" s="8">
        <v>1874</v>
      </c>
      <c r="B1882" s="9">
        <f t="shared" ca="1" si="363"/>
        <v>1574</v>
      </c>
      <c r="C1882" s="10">
        <f t="shared" ca="1" si="364"/>
        <v>0</v>
      </c>
      <c r="D1882" s="11">
        <f t="shared" ca="1" si="372"/>
        <v>0.45517613226832121</v>
      </c>
      <c r="E1882" s="9">
        <f t="shared" ca="1" si="373"/>
        <v>394</v>
      </c>
      <c r="F1882" s="9">
        <f t="shared" ca="1" si="365"/>
        <v>1180</v>
      </c>
      <c r="G1882" s="12" t="str">
        <f t="shared" ca="1" si="366"/>
        <v>No</v>
      </c>
      <c r="H1882" s="12">
        <f t="shared" ca="1" si="374"/>
        <v>0</v>
      </c>
      <c r="I1882" s="10">
        <f t="shared" ca="1" si="367"/>
        <v>0</v>
      </c>
      <c r="J1882" s="13">
        <f t="shared" ca="1" si="368"/>
        <v>0</v>
      </c>
      <c r="K1882" s="14">
        <f t="shared" ca="1" si="369"/>
        <v>236</v>
      </c>
      <c r="L1882" s="14">
        <f t="shared" ca="1" si="370"/>
        <v>0</v>
      </c>
      <c r="M1882" s="15">
        <f t="shared" ca="1" si="371"/>
        <v>236</v>
      </c>
      <c r="N1882" s="16">
        <f ca="1">SUM($M$9:M1882)/A1882</f>
        <v>336.88623265741751</v>
      </c>
    </row>
    <row r="1883" spans="1:14" x14ac:dyDescent="0.25">
      <c r="A1883" s="8">
        <v>1875</v>
      </c>
      <c r="B1883" s="9">
        <f t="shared" ca="1" si="363"/>
        <v>1180</v>
      </c>
      <c r="C1883" s="10">
        <f t="shared" ca="1" si="364"/>
        <v>0</v>
      </c>
      <c r="D1883" s="11">
        <f t="shared" ca="1" si="372"/>
        <v>0.87179721307287283</v>
      </c>
      <c r="E1883" s="9">
        <f t="shared" ca="1" si="373"/>
        <v>456</v>
      </c>
      <c r="F1883" s="9">
        <f t="shared" ca="1" si="365"/>
        <v>724</v>
      </c>
      <c r="G1883" s="12" t="str">
        <f t="shared" ca="1" si="366"/>
        <v>Yes</v>
      </c>
      <c r="H1883" s="12">
        <f t="shared" ca="1" si="374"/>
        <v>0.97654379519026158</v>
      </c>
      <c r="I1883" s="10">
        <f t="shared" ca="1" si="367"/>
        <v>3</v>
      </c>
      <c r="J1883" s="13">
        <f t="shared" ca="1" si="368"/>
        <v>300</v>
      </c>
      <c r="K1883" s="14">
        <f t="shared" ca="1" si="369"/>
        <v>144.80000000000001</v>
      </c>
      <c r="L1883" s="14">
        <f t="shared" ca="1" si="370"/>
        <v>0</v>
      </c>
      <c r="M1883" s="15">
        <f t="shared" ca="1" si="371"/>
        <v>444.8</v>
      </c>
      <c r="N1883" s="16">
        <f ca="1">SUM($M$9:M1883)/A1883</f>
        <v>336.94378666666688</v>
      </c>
    </row>
    <row r="1884" spans="1:14" x14ac:dyDescent="0.25">
      <c r="A1884" s="8">
        <v>1876</v>
      </c>
      <c r="B1884" s="9">
        <f t="shared" ca="1" si="363"/>
        <v>724</v>
      </c>
      <c r="C1884" s="10">
        <f t="shared" ca="1" si="364"/>
        <v>0</v>
      </c>
      <c r="D1884" s="11">
        <f t="shared" ca="1" si="372"/>
        <v>0.54051986149969</v>
      </c>
      <c r="E1884" s="9">
        <f t="shared" ca="1" si="373"/>
        <v>405</v>
      </c>
      <c r="F1884" s="9">
        <f t="shared" ca="1" si="365"/>
        <v>319</v>
      </c>
      <c r="G1884" s="12" t="str">
        <f t="shared" ca="1" si="366"/>
        <v>No</v>
      </c>
      <c r="H1884" s="12">
        <f t="shared" ca="1" si="374"/>
        <v>0</v>
      </c>
      <c r="I1884" s="10">
        <f t="shared" ca="1" si="367"/>
        <v>2</v>
      </c>
      <c r="J1884" s="13">
        <f t="shared" ca="1" si="368"/>
        <v>0</v>
      </c>
      <c r="K1884" s="14">
        <f t="shared" ca="1" si="369"/>
        <v>63.800000000000004</v>
      </c>
      <c r="L1884" s="14">
        <f t="shared" ca="1" si="370"/>
        <v>0</v>
      </c>
      <c r="M1884" s="15">
        <f t="shared" ca="1" si="371"/>
        <v>63.800000000000004</v>
      </c>
      <c r="N1884" s="16">
        <f ca="1">SUM($M$9:M1884)/A1884</f>
        <v>336.7981876332625</v>
      </c>
    </row>
    <row r="1885" spans="1:14" x14ac:dyDescent="0.25">
      <c r="A1885" s="8">
        <v>1877</v>
      </c>
      <c r="B1885" s="9">
        <f t="shared" ca="1" si="363"/>
        <v>319</v>
      </c>
      <c r="C1885" s="10">
        <f t="shared" ca="1" si="364"/>
        <v>0</v>
      </c>
      <c r="D1885" s="11">
        <f t="shared" ca="1" si="372"/>
        <v>0.12458358954120674</v>
      </c>
      <c r="E1885" s="9">
        <f t="shared" ca="1" si="373"/>
        <v>342</v>
      </c>
      <c r="F1885" s="9">
        <f t="shared" ca="1" si="365"/>
        <v>0</v>
      </c>
      <c r="G1885" s="12" t="str">
        <f t="shared" ca="1" si="366"/>
        <v>No</v>
      </c>
      <c r="H1885" s="12">
        <f t="shared" ca="1" si="374"/>
        <v>0</v>
      </c>
      <c r="I1885" s="10">
        <f t="shared" ca="1" si="367"/>
        <v>1</v>
      </c>
      <c r="J1885" s="13">
        <f t="shared" ca="1" si="368"/>
        <v>0</v>
      </c>
      <c r="K1885" s="14">
        <f t="shared" ca="1" si="369"/>
        <v>0</v>
      </c>
      <c r="L1885" s="14">
        <f t="shared" ca="1" si="370"/>
        <v>46</v>
      </c>
      <c r="M1885" s="15">
        <f t="shared" ca="1" si="371"/>
        <v>46</v>
      </c>
      <c r="N1885" s="16">
        <f ca="1">SUM($M$9:M1885)/A1885</f>
        <v>336.64326052210998</v>
      </c>
    </row>
    <row r="1886" spans="1:14" x14ac:dyDescent="0.25">
      <c r="A1886" s="8">
        <v>1878</v>
      </c>
      <c r="B1886" s="9">
        <f t="shared" ca="1" si="363"/>
        <v>1800</v>
      </c>
      <c r="C1886" s="10">
        <f t="shared" ca="1" si="364"/>
        <v>1800</v>
      </c>
      <c r="D1886" s="11">
        <f t="shared" ca="1" si="372"/>
        <v>0.52129908336423758</v>
      </c>
      <c r="E1886" s="9">
        <f t="shared" ca="1" si="373"/>
        <v>402</v>
      </c>
      <c r="F1886" s="9">
        <f t="shared" ca="1" si="365"/>
        <v>1398</v>
      </c>
      <c r="G1886" s="12" t="str">
        <f t="shared" ca="1" si="366"/>
        <v>No</v>
      </c>
      <c r="H1886" s="12">
        <f t="shared" ca="1" si="374"/>
        <v>0</v>
      </c>
      <c r="I1886" s="10">
        <f t="shared" ca="1" si="367"/>
        <v>0</v>
      </c>
      <c r="J1886" s="13">
        <f t="shared" ca="1" si="368"/>
        <v>0</v>
      </c>
      <c r="K1886" s="14">
        <f t="shared" ca="1" si="369"/>
        <v>279.60000000000002</v>
      </c>
      <c r="L1886" s="14">
        <f t="shared" ca="1" si="370"/>
        <v>0</v>
      </c>
      <c r="M1886" s="15">
        <f t="shared" ca="1" si="371"/>
        <v>279.60000000000002</v>
      </c>
      <c r="N1886" s="16">
        <f ca="1">SUM($M$9:M1886)/A1886</f>
        <v>336.61288604898851</v>
      </c>
    </row>
    <row r="1887" spans="1:14" x14ac:dyDescent="0.25">
      <c r="A1887" s="8">
        <v>1879</v>
      </c>
      <c r="B1887" s="9">
        <f t="shared" ca="1" si="363"/>
        <v>1398</v>
      </c>
      <c r="C1887" s="10">
        <f t="shared" ca="1" si="364"/>
        <v>0</v>
      </c>
      <c r="D1887" s="11">
        <f t="shared" ca="1" si="372"/>
        <v>0.24019859815592781</v>
      </c>
      <c r="E1887" s="9">
        <f t="shared" ca="1" si="373"/>
        <v>364</v>
      </c>
      <c r="F1887" s="9">
        <f t="shared" ca="1" si="365"/>
        <v>1034</v>
      </c>
      <c r="G1887" s="12" t="str">
        <f t="shared" ca="1" si="366"/>
        <v>Yes</v>
      </c>
      <c r="H1887" s="12">
        <f t="shared" ca="1" si="374"/>
        <v>0.88187783375369744</v>
      </c>
      <c r="I1887" s="10">
        <f t="shared" ca="1" si="367"/>
        <v>2</v>
      </c>
      <c r="J1887" s="13">
        <f t="shared" ca="1" si="368"/>
        <v>300</v>
      </c>
      <c r="K1887" s="14">
        <f t="shared" ca="1" si="369"/>
        <v>206.8</v>
      </c>
      <c r="L1887" s="14">
        <f t="shared" ca="1" si="370"/>
        <v>0</v>
      </c>
      <c r="M1887" s="15">
        <f t="shared" ca="1" si="371"/>
        <v>506.8</v>
      </c>
      <c r="N1887" s="16">
        <f ca="1">SUM($M$9:M1887)/A1887</f>
        <v>336.70345928685498</v>
      </c>
    </row>
    <row r="1888" spans="1:14" x14ac:dyDescent="0.25">
      <c r="A1888" s="8">
        <v>1880</v>
      </c>
      <c r="B1888" s="9">
        <f t="shared" ca="1" si="363"/>
        <v>1034</v>
      </c>
      <c r="C1888" s="10">
        <f t="shared" ca="1" si="364"/>
        <v>0</v>
      </c>
      <c r="D1888" s="11">
        <f t="shared" ca="1" si="372"/>
        <v>0.63864801251132419</v>
      </c>
      <c r="E1888" s="9">
        <f t="shared" ca="1" si="373"/>
        <v>417</v>
      </c>
      <c r="F1888" s="9">
        <f t="shared" ca="1" si="365"/>
        <v>617</v>
      </c>
      <c r="G1888" s="12" t="str">
        <f t="shared" ca="1" si="366"/>
        <v>No</v>
      </c>
      <c r="H1888" s="12">
        <f t="shared" ca="1" si="374"/>
        <v>0</v>
      </c>
      <c r="I1888" s="10">
        <f t="shared" ca="1" si="367"/>
        <v>1</v>
      </c>
      <c r="J1888" s="13">
        <f t="shared" ca="1" si="368"/>
        <v>0</v>
      </c>
      <c r="K1888" s="14">
        <f t="shared" ca="1" si="369"/>
        <v>123.4</v>
      </c>
      <c r="L1888" s="14">
        <f t="shared" ca="1" si="370"/>
        <v>0</v>
      </c>
      <c r="M1888" s="15">
        <f t="shared" ca="1" si="371"/>
        <v>123.4</v>
      </c>
      <c r="N1888" s="16">
        <f ca="1">SUM($M$9:M1888)/A1888</f>
        <v>336.59000000000026</v>
      </c>
    </row>
    <row r="1889" spans="1:14" x14ac:dyDescent="0.25">
      <c r="A1889" s="8">
        <v>1881</v>
      </c>
      <c r="B1889" s="9">
        <f t="shared" ca="1" si="363"/>
        <v>2417</v>
      </c>
      <c r="C1889" s="10">
        <f t="shared" ca="1" si="364"/>
        <v>1800</v>
      </c>
      <c r="D1889" s="11">
        <f t="shared" ca="1" si="372"/>
        <v>0.28626807835020607</v>
      </c>
      <c r="E1889" s="9">
        <f t="shared" ca="1" si="373"/>
        <v>371</v>
      </c>
      <c r="F1889" s="9">
        <f t="shared" ca="1" si="365"/>
        <v>2046</v>
      </c>
      <c r="G1889" s="12" t="str">
        <f t="shared" ca="1" si="366"/>
        <v>No</v>
      </c>
      <c r="H1889" s="12">
        <f t="shared" ca="1" si="374"/>
        <v>0</v>
      </c>
      <c r="I1889" s="10">
        <f t="shared" ca="1" si="367"/>
        <v>0</v>
      </c>
      <c r="J1889" s="13">
        <f t="shared" ca="1" si="368"/>
        <v>0</v>
      </c>
      <c r="K1889" s="14">
        <f t="shared" ca="1" si="369"/>
        <v>409.20000000000005</v>
      </c>
      <c r="L1889" s="14">
        <f t="shared" ca="1" si="370"/>
        <v>0</v>
      </c>
      <c r="M1889" s="15">
        <f t="shared" ca="1" si="371"/>
        <v>409.20000000000005</v>
      </c>
      <c r="N1889" s="16">
        <f ca="1">SUM($M$9:M1889)/A1889</f>
        <v>336.62860180754944</v>
      </c>
    </row>
    <row r="1890" spans="1:14" x14ac:dyDescent="0.25">
      <c r="A1890" s="8">
        <v>1882</v>
      </c>
      <c r="B1890" s="9">
        <f t="shared" ca="1" si="363"/>
        <v>2046</v>
      </c>
      <c r="C1890" s="10">
        <f t="shared" ca="1" si="364"/>
        <v>0</v>
      </c>
      <c r="D1890" s="11">
        <f t="shared" ca="1" si="372"/>
        <v>0.28375179080062796</v>
      </c>
      <c r="E1890" s="9">
        <f t="shared" ca="1" si="373"/>
        <v>371</v>
      </c>
      <c r="F1890" s="9">
        <f t="shared" ca="1" si="365"/>
        <v>1675</v>
      </c>
      <c r="G1890" s="12" t="str">
        <f t="shared" ca="1" si="366"/>
        <v>No</v>
      </c>
      <c r="H1890" s="12">
        <f t="shared" ca="1" si="374"/>
        <v>0</v>
      </c>
      <c r="I1890" s="10">
        <f t="shared" ca="1" si="367"/>
        <v>0</v>
      </c>
      <c r="J1890" s="13">
        <f t="shared" ca="1" si="368"/>
        <v>0</v>
      </c>
      <c r="K1890" s="14">
        <f t="shared" ca="1" si="369"/>
        <v>335</v>
      </c>
      <c r="L1890" s="14">
        <f t="shared" ca="1" si="370"/>
        <v>0</v>
      </c>
      <c r="M1890" s="15">
        <f t="shared" ca="1" si="371"/>
        <v>335</v>
      </c>
      <c r="N1890" s="16">
        <f ca="1">SUM($M$9:M1890)/A1890</f>
        <v>336.62773645058473</v>
      </c>
    </row>
    <row r="1891" spans="1:14" x14ac:dyDescent="0.25">
      <c r="A1891" s="8">
        <v>1883</v>
      </c>
      <c r="B1891" s="9">
        <f t="shared" ca="1" si="363"/>
        <v>1675</v>
      </c>
      <c r="C1891" s="10">
        <f t="shared" ca="1" si="364"/>
        <v>0</v>
      </c>
      <c r="D1891" s="11">
        <f t="shared" ca="1" si="372"/>
        <v>0.48230582006556</v>
      </c>
      <c r="E1891" s="9">
        <f t="shared" ca="1" si="373"/>
        <v>397</v>
      </c>
      <c r="F1891" s="9">
        <f t="shared" ca="1" si="365"/>
        <v>1278</v>
      </c>
      <c r="G1891" s="12" t="str">
        <f t="shared" ca="1" si="366"/>
        <v>No</v>
      </c>
      <c r="H1891" s="12">
        <f t="shared" ca="1" si="374"/>
        <v>0</v>
      </c>
      <c r="I1891" s="10">
        <f t="shared" ca="1" si="367"/>
        <v>0</v>
      </c>
      <c r="J1891" s="13">
        <f t="shared" ca="1" si="368"/>
        <v>0</v>
      </c>
      <c r="K1891" s="14">
        <f t="shared" ca="1" si="369"/>
        <v>255.60000000000002</v>
      </c>
      <c r="L1891" s="14">
        <f t="shared" ca="1" si="370"/>
        <v>0</v>
      </c>
      <c r="M1891" s="15">
        <f t="shared" ca="1" si="371"/>
        <v>255.60000000000002</v>
      </c>
      <c r="N1891" s="16">
        <f ca="1">SUM($M$9:M1891)/A1891</f>
        <v>336.58470525756798</v>
      </c>
    </row>
    <row r="1892" spans="1:14" x14ac:dyDescent="0.25">
      <c r="A1892" s="8">
        <v>1884</v>
      </c>
      <c r="B1892" s="9">
        <f t="shared" ca="1" si="363"/>
        <v>1278</v>
      </c>
      <c r="C1892" s="10">
        <f t="shared" ca="1" si="364"/>
        <v>0</v>
      </c>
      <c r="D1892" s="11">
        <f t="shared" ca="1" si="372"/>
        <v>0.90126575142720655</v>
      </c>
      <c r="E1892" s="9">
        <f t="shared" ca="1" si="373"/>
        <v>464</v>
      </c>
      <c r="F1892" s="9">
        <f t="shared" ca="1" si="365"/>
        <v>814</v>
      </c>
      <c r="G1892" s="12" t="str">
        <f t="shared" ca="1" si="366"/>
        <v>Yes</v>
      </c>
      <c r="H1892" s="12">
        <f t="shared" ca="1" si="374"/>
        <v>2.3287825492680492E-3</v>
      </c>
      <c r="I1892" s="10">
        <f t="shared" ca="1" si="367"/>
        <v>1</v>
      </c>
      <c r="J1892" s="13">
        <f t="shared" ca="1" si="368"/>
        <v>300</v>
      </c>
      <c r="K1892" s="14">
        <f t="shared" ca="1" si="369"/>
        <v>162.80000000000001</v>
      </c>
      <c r="L1892" s="14">
        <f t="shared" ca="1" si="370"/>
        <v>0</v>
      </c>
      <c r="M1892" s="15">
        <f t="shared" ca="1" si="371"/>
        <v>462.8</v>
      </c>
      <c r="N1892" s="16">
        <f ca="1">SUM($M$9:M1892)/A1892</f>
        <v>336.65169851380068</v>
      </c>
    </row>
    <row r="1893" spans="1:14" x14ac:dyDescent="0.25">
      <c r="A1893" s="8">
        <v>1885</v>
      </c>
      <c r="B1893" s="9">
        <f t="shared" ca="1" si="363"/>
        <v>2614</v>
      </c>
      <c r="C1893" s="10">
        <f t="shared" ca="1" si="364"/>
        <v>1800</v>
      </c>
      <c r="D1893" s="11">
        <f t="shared" ca="1" si="372"/>
        <v>0.64323102493024686</v>
      </c>
      <c r="E1893" s="9">
        <f t="shared" ca="1" si="373"/>
        <v>418</v>
      </c>
      <c r="F1893" s="9">
        <f t="shared" ca="1" si="365"/>
        <v>2196</v>
      </c>
      <c r="G1893" s="12" t="str">
        <f t="shared" ca="1" si="366"/>
        <v>No</v>
      </c>
      <c r="H1893" s="12">
        <f t="shared" ca="1" si="374"/>
        <v>0</v>
      </c>
      <c r="I1893" s="10">
        <f t="shared" ca="1" si="367"/>
        <v>0</v>
      </c>
      <c r="J1893" s="13">
        <f t="shared" ca="1" si="368"/>
        <v>0</v>
      </c>
      <c r="K1893" s="14">
        <f t="shared" ca="1" si="369"/>
        <v>439.20000000000005</v>
      </c>
      <c r="L1893" s="14">
        <f t="shared" ca="1" si="370"/>
        <v>0</v>
      </c>
      <c r="M1893" s="15">
        <f t="shared" ca="1" si="371"/>
        <v>439.20000000000005</v>
      </c>
      <c r="N1893" s="16">
        <f ca="1">SUM($M$9:M1893)/A1893</f>
        <v>336.70610079575624</v>
      </c>
    </row>
    <row r="1894" spans="1:14" x14ac:dyDescent="0.25">
      <c r="A1894" s="8">
        <v>1886</v>
      </c>
      <c r="B1894" s="9">
        <f t="shared" ca="1" si="363"/>
        <v>2196</v>
      </c>
      <c r="C1894" s="10">
        <f t="shared" ca="1" si="364"/>
        <v>0</v>
      </c>
      <c r="D1894" s="11">
        <f t="shared" ca="1" si="372"/>
        <v>4.1285825184831926E-2</v>
      </c>
      <c r="E1894" s="9">
        <f t="shared" ca="1" si="373"/>
        <v>313</v>
      </c>
      <c r="F1894" s="9">
        <f t="shared" ca="1" si="365"/>
        <v>1883</v>
      </c>
      <c r="G1894" s="12" t="str">
        <f t="shared" ca="1" si="366"/>
        <v>No</v>
      </c>
      <c r="H1894" s="12">
        <f t="shared" ca="1" si="374"/>
        <v>0</v>
      </c>
      <c r="I1894" s="10">
        <f t="shared" ca="1" si="367"/>
        <v>0</v>
      </c>
      <c r="J1894" s="13">
        <f t="shared" ca="1" si="368"/>
        <v>0</v>
      </c>
      <c r="K1894" s="14">
        <f t="shared" ca="1" si="369"/>
        <v>376.6</v>
      </c>
      <c r="L1894" s="14">
        <f t="shared" ca="1" si="370"/>
        <v>0</v>
      </c>
      <c r="M1894" s="15">
        <f t="shared" ca="1" si="371"/>
        <v>376.6</v>
      </c>
      <c r="N1894" s="16">
        <f ca="1">SUM($M$9:M1894)/A1894</f>
        <v>336.72725344644772</v>
      </c>
    </row>
    <row r="1895" spans="1:14" x14ac:dyDescent="0.25">
      <c r="A1895" s="8">
        <v>1887</v>
      </c>
      <c r="B1895" s="9">
        <f t="shared" ca="1" si="363"/>
        <v>1883</v>
      </c>
      <c r="C1895" s="10">
        <f t="shared" ca="1" si="364"/>
        <v>0</v>
      </c>
      <c r="D1895" s="11">
        <f t="shared" ca="1" si="372"/>
        <v>7.8620641168948069E-2</v>
      </c>
      <c r="E1895" s="9">
        <f t="shared" ca="1" si="373"/>
        <v>329</v>
      </c>
      <c r="F1895" s="9">
        <f t="shared" ca="1" si="365"/>
        <v>1554</v>
      </c>
      <c r="G1895" s="12" t="str">
        <f t="shared" ca="1" si="366"/>
        <v>No</v>
      </c>
      <c r="H1895" s="12">
        <f t="shared" ca="1" si="374"/>
        <v>0</v>
      </c>
      <c r="I1895" s="10">
        <f t="shared" ca="1" si="367"/>
        <v>0</v>
      </c>
      <c r="J1895" s="13">
        <f t="shared" ca="1" si="368"/>
        <v>0</v>
      </c>
      <c r="K1895" s="14">
        <f t="shared" ca="1" si="369"/>
        <v>310.8</v>
      </c>
      <c r="L1895" s="14">
        <f t="shared" ca="1" si="370"/>
        <v>0</v>
      </c>
      <c r="M1895" s="15">
        <f t="shared" ca="1" si="371"/>
        <v>310.8</v>
      </c>
      <c r="N1895" s="16">
        <f ca="1">SUM($M$9:M1895)/A1895</f>
        <v>336.71351351351376</v>
      </c>
    </row>
    <row r="1896" spans="1:14" x14ac:dyDescent="0.25">
      <c r="A1896" s="8">
        <v>1888</v>
      </c>
      <c r="B1896" s="9">
        <f t="shared" ca="1" si="363"/>
        <v>1554</v>
      </c>
      <c r="C1896" s="10">
        <f t="shared" ca="1" si="364"/>
        <v>0</v>
      </c>
      <c r="D1896" s="11">
        <f t="shared" ca="1" si="372"/>
        <v>0.93404627652318506</v>
      </c>
      <c r="E1896" s="9">
        <f t="shared" ca="1" si="373"/>
        <v>475</v>
      </c>
      <c r="F1896" s="9">
        <f t="shared" ca="1" si="365"/>
        <v>1079</v>
      </c>
      <c r="G1896" s="12" t="str">
        <f t="shared" ca="1" si="366"/>
        <v>No</v>
      </c>
      <c r="H1896" s="12">
        <f t="shared" ca="1" si="374"/>
        <v>0</v>
      </c>
      <c r="I1896" s="10">
        <f t="shared" ca="1" si="367"/>
        <v>0</v>
      </c>
      <c r="J1896" s="13">
        <f t="shared" ca="1" si="368"/>
        <v>0</v>
      </c>
      <c r="K1896" s="14">
        <f t="shared" ca="1" si="369"/>
        <v>215.8</v>
      </c>
      <c r="L1896" s="14">
        <f t="shared" ca="1" si="370"/>
        <v>0</v>
      </c>
      <c r="M1896" s="15">
        <f t="shared" ca="1" si="371"/>
        <v>215.8</v>
      </c>
      <c r="N1896" s="16">
        <f ca="1">SUM($M$9:M1896)/A1896</f>
        <v>336.64947033898335</v>
      </c>
    </row>
    <row r="1897" spans="1:14" x14ac:dyDescent="0.25">
      <c r="A1897" s="8">
        <v>1889</v>
      </c>
      <c r="B1897" s="9">
        <f t="shared" ca="1" si="363"/>
        <v>1079</v>
      </c>
      <c r="C1897" s="10">
        <f t="shared" ca="1" si="364"/>
        <v>0</v>
      </c>
      <c r="D1897" s="11">
        <f t="shared" ca="1" si="372"/>
        <v>0.28398204466089427</v>
      </c>
      <c r="E1897" s="9">
        <f t="shared" ca="1" si="373"/>
        <v>371</v>
      </c>
      <c r="F1897" s="9">
        <f t="shared" ca="1" si="365"/>
        <v>708</v>
      </c>
      <c r="G1897" s="12" t="str">
        <f t="shared" ca="1" si="366"/>
        <v>Yes</v>
      </c>
      <c r="H1897" s="12">
        <f t="shared" ca="1" si="374"/>
        <v>0.33699412453862498</v>
      </c>
      <c r="I1897" s="10">
        <f t="shared" ca="1" si="367"/>
        <v>1</v>
      </c>
      <c r="J1897" s="13">
        <f t="shared" ca="1" si="368"/>
        <v>300</v>
      </c>
      <c r="K1897" s="14">
        <f t="shared" ca="1" si="369"/>
        <v>141.6</v>
      </c>
      <c r="L1897" s="14">
        <f t="shared" ca="1" si="370"/>
        <v>0</v>
      </c>
      <c r="M1897" s="15">
        <f t="shared" ca="1" si="371"/>
        <v>441.6</v>
      </c>
      <c r="N1897" s="16">
        <f ca="1">SUM($M$9:M1897)/A1897</f>
        <v>336.70502911593462</v>
      </c>
    </row>
    <row r="1898" spans="1:14" x14ac:dyDescent="0.25">
      <c r="A1898" s="8">
        <v>1890</v>
      </c>
      <c r="B1898" s="9">
        <f t="shared" ca="1" si="363"/>
        <v>2508</v>
      </c>
      <c r="C1898" s="10">
        <f t="shared" ca="1" si="364"/>
        <v>1800</v>
      </c>
      <c r="D1898" s="11">
        <f t="shared" ca="1" si="372"/>
        <v>0.40542445653758996</v>
      </c>
      <c r="E1898" s="9">
        <f t="shared" ca="1" si="373"/>
        <v>388</v>
      </c>
      <c r="F1898" s="9">
        <f t="shared" ca="1" si="365"/>
        <v>2120</v>
      </c>
      <c r="G1898" s="12" t="str">
        <f t="shared" ca="1" si="366"/>
        <v>No</v>
      </c>
      <c r="H1898" s="12">
        <f t="shared" ca="1" si="374"/>
        <v>0</v>
      </c>
      <c r="I1898" s="10">
        <f t="shared" ca="1" si="367"/>
        <v>0</v>
      </c>
      <c r="J1898" s="13">
        <f t="shared" ca="1" si="368"/>
        <v>0</v>
      </c>
      <c r="K1898" s="14">
        <f t="shared" ca="1" si="369"/>
        <v>424</v>
      </c>
      <c r="L1898" s="14">
        <f t="shared" ca="1" si="370"/>
        <v>0</v>
      </c>
      <c r="M1898" s="15">
        <f t="shared" ca="1" si="371"/>
        <v>424</v>
      </c>
      <c r="N1898" s="16">
        <f ca="1">SUM($M$9:M1898)/A1898</f>
        <v>336.75121693121719</v>
      </c>
    </row>
    <row r="1899" spans="1:14" x14ac:dyDescent="0.25">
      <c r="A1899" s="8">
        <v>1891</v>
      </c>
      <c r="B1899" s="9">
        <f t="shared" ca="1" si="363"/>
        <v>2120</v>
      </c>
      <c r="C1899" s="10">
        <f t="shared" ca="1" si="364"/>
        <v>0</v>
      </c>
      <c r="D1899" s="11">
        <f t="shared" ca="1" si="372"/>
        <v>0.18970056878266306</v>
      </c>
      <c r="E1899" s="9">
        <f t="shared" ca="1" si="373"/>
        <v>356</v>
      </c>
      <c r="F1899" s="9">
        <f t="shared" ca="1" si="365"/>
        <v>1764</v>
      </c>
      <c r="G1899" s="12" t="str">
        <f t="shared" ca="1" si="366"/>
        <v>No</v>
      </c>
      <c r="H1899" s="12">
        <f t="shared" ca="1" si="374"/>
        <v>0</v>
      </c>
      <c r="I1899" s="10">
        <f t="shared" ca="1" si="367"/>
        <v>0</v>
      </c>
      <c r="J1899" s="13">
        <f t="shared" ca="1" si="368"/>
        <v>0</v>
      </c>
      <c r="K1899" s="14">
        <f t="shared" ca="1" si="369"/>
        <v>352.8</v>
      </c>
      <c r="L1899" s="14">
        <f t="shared" ca="1" si="370"/>
        <v>0</v>
      </c>
      <c r="M1899" s="15">
        <f t="shared" ca="1" si="371"/>
        <v>352.8</v>
      </c>
      <c r="N1899" s="16">
        <f ca="1">SUM($M$9:M1899)/A1899</f>
        <v>336.7597038603916</v>
      </c>
    </row>
    <row r="1900" spans="1:14" x14ac:dyDescent="0.25">
      <c r="A1900" s="8">
        <v>1892</v>
      </c>
      <c r="B1900" s="9">
        <f t="shared" ca="1" si="363"/>
        <v>1764</v>
      </c>
      <c r="C1900" s="10">
        <f t="shared" ca="1" si="364"/>
        <v>0</v>
      </c>
      <c r="D1900" s="11">
        <f t="shared" ca="1" si="372"/>
        <v>0.96785409686682822</v>
      </c>
      <c r="E1900" s="9">
        <f t="shared" ca="1" si="373"/>
        <v>492</v>
      </c>
      <c r="F1900" s="9">
        <f t="shared" ca="1" si="365"/>
        <v>1272</v>
      </c>
      <c r="G1900" s="12" t="str">
        <f t="shared" ca="1" si="366"/>
        <v>No</v>
      </c>
      <c r="H1900" s="12">
        <f t="shared" ca="1" si="374"/>
        <v>0</v>
      </c>
      <c r="I1900" s="10">
        <f t="shared" ca="1" si="367"/>
        <v>0</v>
      </c>
      <c r="J1900" s="13">
        <f t="shared" ca="1" si="368"/>
        <v>0</v>
      </c>
      <c r="K1900" s="14">
        <f t="shared" ca="1" si="369"/>
        <v>254.4</v>
      </c>
      <c r="L1900" s="14">
        <f t="shared" ca="1" si="370"/>
        <v>0</v>
      </c>
      <c r="M1900" s="15">
        <f t="shared" ca="1" si="371"/>
        <v>254.4</v>
      </c>
      <c r="N1900" s="16">
        <f ca="1">SUM($M$9:M1900)/A1900</f>
        <v>336.71617336152252</v>
      </c>
    </row>
    <row r="1901" spans="1:14" x14ac:dyDescent="0.25">
      <c r="A1901" s="8">
        <v>1893</v>
      </c>
      <c r="B1901" s="9">
        <f t="shared" ca="1" si="363"/>
        <v>1272</v>
      </c>
      <c r="C1901" s="10">
        <f t="shared" ca="1" si="364"/>
        <v>0</v>
      </c>
      <c r="D1901" s="11">
        <f t="shared" ca="1" si="372"/>
        <v>0.81129244275653256</v>
      </c>
      <c r="E1901" s="9">
        <f t="shared" ca="1" si="373"/>
        <v>444</v>
      </c>
      <c r="F1901" s="9">
        <f t="shared" ca="1" si="365"/>
        <v>828</v>
      </c>
      <c r="G1901" s="12" t="str">
        <f t="shared" ca="1" si="366"/>
        <v>Yes</v>
      </c>
      <c r="H1901" s="12">
        <f t="shared" ca="1" si="374"/>
        <v>0.76119731194565532</v>
      </c>
      <c r="I1901" s="10">
        <f t="shared" ca="1" si="367"/>
        <v>2</v>
      </c>
      <c r="J1901" s="13">
        <f t="shared" ca="1" si="368"/>
        <v>300</v>
      </c>
      <c r="K1901" s="14">
        <f t="shared" ca="1" si="369"/>
        <v>165.60000000000002</v>
      </c>
      <c r="L1901" s="14">
        <f t="shared" ca="1" si="370"/>
        <v>0</v>
      </c>
      <c r="M1901" s="15">
        <f t="shared" ca="1" si="371"/>
        <v>465.6</v>
      </c>
      <c r="N1901" s="16">
        <f ca="1">SUM($M$9:M1901)/A1901</f>
        <v>336.78425779186506</v>
      </c>
    </row>
    <row r="1902" spans="1:14" x14ac:dyDescent="0.25">
      <c r="A1902" s="8">
        <v>1894</v>
      </c>
      <c r="B1902" s="9">
        <f t="shared" ca="1" si="363"/>
        <v>828</v>
      </c>
      <c r="C1902" s="10">
        <f t="shared" ca="1" si="364"/>
        <v>0</v>
      </c>
      <c r="D1902" s="11">
        <f t="shared" ca="1" si="372"/>
        <v>0.44210851299783871</v>
      </c>
      <c r="E1902" s="9">
        <f t="shared" ca="1" si="373"/>
        <v>392</v>
      </c>
      <c r="F1902" s="9">
        <f t="shared" ca="1" si="365"/>
        <v>436</v>
      </c>
      <c r="G1902" s="12" t="str">
        <f t="shared" ca="1" si="366"/>
        <v>No</v>
      </c>
      <c r="H1902" s="12">
        <f t="shared" ca="1" si="374"/>
        <v>0</v>
      </c>
      <c r="I1902" s="10">
        <f t="shared" ca="1" si="367"/>
        <v>1</v>
      </c>
      <c r="J1902" s="13">
        <f t="shared" ca="1" si="368"/>
        <v>0</v>
      </c>
      <c r="K1902" s="14">
        <f t="shared" ca="1" si="369"/>
        <v>87.2</v>
      </c>
      <c r="L1902" s="14">
        <f t="shared" ca="1" si="370"/>
        <v>0</v>
      </c>
      <c r="M1902" s="15">
        <f t="shared" ca="1" si="371"/>
        <v>87.2</v>
      </c>
      <c r="N1902" s="16">
        <f ca="1">SUM($M$9:M1902)/A1902</f>
        <v>336.65248152059161</v>
      </c>
    </row>
    <row r="1903" spans="1:14" x14ac:dyDescent="0.25">
      <c r="A1903" s="8">
        <v>1895</v>
      </c>
      <c r="B1903" s="9">
        <f t="shared" ca="1" si="363"/>
        <v>2236</v>
      </c>
      <c r="C1903" s="10">
        <f t="shared" ca="1" si="364"/>
        <v>1800</v>
      </c>
      <c r="D1903" s="11">
        <f t="shared" ca="1" si="372"/>
        <v>0.54763721150887112</v>
      </c>
      <c r="E1903" s="9">
        <f t="shared" ca="1" si="373"/>
        <v>405</v>
      </c>
      <c r="F1903" s="9">
        <f t="shared" ca="1" si="365"/>
        <v>1831</v>
      </c>
      <c r="G1903" s="12" t="str">
        <f t="shared" ca="1" si="366"/>
        <v>No</v>
      </c>
      <c r="H1903" s="12">
        <f t="shared" ca="1" si="374"/>
        <v>0</v>
      </c>
      <c r="I1903" s="10">
        <f t="shared" ca="1" si="367"/>
        <v>0</v>
      </c>
      <c r="J1903" s="13">
        <f t="shared" ca="1" si="368"/>
        <v>0</v>
      </c>
      <c r="K1903" s="14">
        <f t="shared" ca="1" si="369"/>
        <v>366.20000000000005</v>
      </c>
      <c r="L1903" s="14">
        <f t="shared" ca="1" si="370"/>
        <v>0</v>
      </c>
      <c r="M1903" s="15">
        <f t="shared" ca="1" si="371"/>
        <v>366.20000000000005</v>
      </c>
      <c r="N1903" s="16">
        <f ca="1">SUM($M$9:M1903)/A1903</f>
        <v>336.66807387862821</v>
      </c>
    </row>
    <row r="1904" spans="1:14" x14ac:dyDescent="0.25">
      <c r="A1904" s="8">
        <v>1896</v>
      </c>
      <c r="B1904" s="9">
        <f t="shared" ca="1" si="363"/>
        <v>1831</v>
      </c>
      <c r="C1904" s="10">
        <f t="shared" ca="1" si="364"/>
        <v>0</v>
      </c>
      <c r="D1904" s="11">
        <f t="shared" ca="1" si="372"/>
        <v>0.58495901156569585</v>
      </c>
      <c r="E1904" s="9">
        <f t="shared" ca="1" si="373"/>
        <v>410</v>
      </c>
      <c r="F1904" s="9">
        <f t="shared" ca="1" si="365"/>
        <v>1421</v>
      </c>
      <c r="G1904" s="12" t="str">
        <f t="shared" ca="1" si="366"/>
        <v>No</v>
      </c>
      <c r="H1904" s="12">
        <f t="shared" ca="1" si="374"/>
        <v>0</v>
      </c>
      <c r="I1904" s="10">
        <f t="shared" ca="1" si="367"/>
        <v>0</v>
      </c>
      <c r="J1904" s="13">
        <f t="shared" ca="1" si="368"/>
        <v>0</v>
      </c>
      <c r="K1904" s="14">
        <f t="shared" ca="1" si="369"/>
        <v>284.2</v>
      </c>
      <c r="L1904" s="14">
        <f t="shared" ca="1" si="370"/>
        <v>0</v>
      </c>
      <c r="M1904" s="15">
        <f t="shared" ca="1" si="371"/>
        <v>284.2</v>
      </c>
      <c r="N1904" s="16">
        <f ca="1">SUM($M$9:M1904)/A1904</f>
        <v>336.64040084388211</v>
      </c>
    </row>
    <row r="1905" spans="1:14" x14ac:dyDescent="0.25">
      <c r="A1905" s="8">
        <v>1897</v>
      </c>
      <c r="B1905" s="9">
        <f t="shared" ca="1" si="363"/>
        <v>1421</v>
      </c>
      <c r="C1905" s="10">
        <f t="shared" ca="1" si="364"/>
        <v>0</v>
      </c>
      <c r="D1905" s="11">
        <f t="shared" ca="1" si="372"/>
        <v>0.3249727872328384</v>
      </c>
      <c r="E1905" s="9">
        <f t="shared" ca="1" si="373"/>
        <v>377</v>
      </c>
      <c r="F1905" s="9">
        <f t="shared" ca="1" si="365"/>
        <v>1044</v>
      </c>
      <c r="G1905" s="12" t="str">
        <f t="shared" ca="1" si="366"/>
        <v>No</v>
      </c>
      <c r="H1905" s="12">
        <f t="shared" ca="1" si="374"/>
        <v>0</v>
      </c>
      <c r="I1905" s="10">
        <f t="shared" ca="1" si="367"/>
        <v>0</v>
      </c>
      <c r="J1905" s="13">
        <f t="shared" ca="1" si="368"/>
        <v>0</v>
      </c>
      <c r="K1905" s="14">
        <f t="shared" ca="1" si="369"/>
        <v>208.8</v>
      </c>
      <c r="L1905" s="14">
        <f t="shared" ca="1" si="370"/>
        <v>0</v>
      </c>
      <c r="M1905" s="15">
        <f t="shared" ca="1" si="371"/>
        <v>208.8</v>
      </c>
      <c r="N1905" s="16">
        <f ca="1">SUM($M$9:M1905)/A1905</f>
        <v>336.5730100158147</v>
      </c>
    </row>
    <row r="1906" spans="1:14" x14ac:dyDescent="0.25">
      <c r="A1906" s="8">
        <v>1898</v>
      </c>
      <c r="B1906" s="9">
        <f t="shared" ca="1" si="363"/>
        <v>1044</v>
      </c>
      <c r="C1906" s="10">
        <f t="shared" ca="1" si="364"/>
        <v>0</v>
      </c>
      <c r="D1906" s="11">
        <f t="shared" ca="1" si="372"/>
        <v>0.9084583970236465</v>
      </c>
      <c r="E1906" s="9">
        <f t="shared" ca="1" si="373"/>
        <v>466</v>
      </c>
      <c r="F1906" s="9">
        <f t="shared" ca="1" si="365"/>
        <v>578</v>
      </c>
      <c r="G1906" s="12" t="str">
        <f t="shared" ca="1" si="366"/>
        <v>Yes</v>
      </c>
      <c r="H1906" s="12">
        <f t="shared" ca="1" si="374"/>
        <v>0.54114774017976253</v>
      </c>
      <c r="I1906" s="10">
        <f t="shared" ca="1" si="367"/>
        <v>1</v>
      </c>
      <c r="J1906" s="13">
        <f t="shared" ca="1" si="368"/>
        <v>300</v>
      </c>
      <c r="K1906" s="14">
        <f t="shared" ca="1" si="369"/>
        <v>115.60000000000001</v>
      </c>
      <c r="L1906" s="14">
        <f t="shared" ca="1" si="370"/>
        <v>0</v>
      </c>
      <c r="M1906" s="15">
        <f t="shared" ca="1" si="371"/>
        <v>415.6</v>
      </c>
      <c r="N1906" s="16">
        <f ca="1">SUM($M$9:M1906)/A1906</f>
        <v>336.61464699683899</v>
      </c>
    </row>
    <row r="1907" spans="1:14" x14ac:dyDescent="0.25">
      <c r="A1907" s="8">
        <v>1899</v>
      </c>
      <c r="B1907" s="9">
        <f t="shared" ca="1" si="363"/>
        <v>2378</v>
      </c>
      <c r="C1907" s="10">
        <f t="shared" ca="1" si="364"/>
        <v>1800</v>
      </c>
      <c r="D1907" s="11">
        <f t="shared" ca="1" si="372"/>
        <v>0.93114294423644239</v>
      </c>
      <c r="E1907" s="9">
        <f t="shared" ca="1" si="373"/>
        <v>474</v>
      </c>
      <c r="F1907" s="9">
        <f t="shared" ca="1" si="365"/>
        <v>1904</v>
      </c>
      <c r="G1907" s="12" t="str">
        <f t="shared" ca="1" si="366"/>
        <v>No</v>
      </c>
      <c r="H1907" s="12">
        <f t="shared" ca="1" si="374"/>
        <v>0</v>
      </c>
      <c r="I1907" s="10">
        <f t="shared" ca="1" si="367"/>
        <v>0</v>
      </c>
      <c r="J1907" s="13">
        <f t="shared" ca="1" si="368"/>
        <v>0</v>
      </c>
      <c r="K1907" s="14">
        <f t="shared" ca="1" si="369"/>
        <v>380.8</v>
      </c>
      <c r="L1907" s="14">
        <f t="shared" ca="1" si="370"/>
        <v>0</v>
      </c>
      <c r="M1907" s="15">
        <f t="shared" ca="1" si="371"/>
        <v>380.8</v>
      </c>
      <c r="N1907" s="16">
        <f ca="1">SUM($M$9:M1907)/A1907</f>
        <v>336.63791469194337</v>
      </c>
    </row>
    <row r="1908" spans="1:14" x14ac:dyDescent="0.25">
      <c r="A1908" s="8">
        <v>1900</v>
      </c>
      <c r="B1908" s="9">
        <f t="shared" ca="1" si="363"/>
        <v>1904</v>
      </c>
      <c r="C1908" s="10">
        <f t="shared" ca="1" si="364"/>
        <v>0</v>
      </c>
      <c r="D1908" s="11">
        <f t="shared" ca="1" si="372"/>
        <v>0.95347946968584074</v>
      </c>
      <c r="E1908" s="9">
        <f t="shared" ca="1" si="373"/>
        <v>483</v>
      </c>
      <c r="F1908" s="9">
        <f t="shared" ca="1" si="365"/>
        <v>1421</v>
      </c>
      <c r="G1908" s="12" t="str">
        <f t="shared" ca="1" si="366"/>
        <v>No</v>
      </c>
      <c r="H1908" s="12">
        <f t="shared" ca="1" si="374"/>
        <v>0</v>
      </c>
      <c r="I1908" s="10">
        <f t="shared" ca="1" si="367"/>
        <v>0</v>
      </c>
      <c r="J1908" s="13">
        <f t="shared" ca="1" si="368"/>
        <v>0</v>
      </c>
      <c r="K1908" s="14">
        <f t="shared" ca="1" si="369"/>
        <v>284.2</v>
      </c>
      <c r="L1908" s="14">
        <f t="shared" ca="1" si="370"/>
        <v>0</v>
      </c>
      <c r="M1908" s="15">
        <f t="shared" ca="1" si="371"/>
        <v>284.2</v>
      </c>
      <c r="N1908" s="16">
        <f ca="1">SUM($M$9:M1908)/A1908</f>
        <v>336.61031578947393</v>
      </c>
    </row>
    <row r="1909" spans="1:14" x14ac:dyDescent="0.25">
      <c r="A1909" s="8">
        <v>1901</v>
      </c>
      <c r="B1909" s="9">
        <f t="shared" ca="1" si="363"/>
        <v>1421</v>
      </c>
      <c r="C1909" s="10">
        <f t="shared" ca="1" si="364"/>
        <v>0</v>
      </c>
      <c r="D1909" s="11">
        <f t="shared" ca="1" si="372"/>
        <v>0.23522735505154968</v>
      </c>
      <c r="E1909" s="9">
        <f t="shared" ca="1" si="373"/>
        <v>363</v>
      </c>
      <c r="F1909" s="9">
        <f t="shared" ca="1" si="365"/>
        <v>1058</v>
      </c>
      <c r="G1909" s="12" t="str">
        <f t="shared" ca="1" si="366"/>
        <v>No</v>
      </c>
      <c r="H1909" s="12">
        <f t="shared" ca="1" si="374"/>
        <v>0</v>
      </c>
      <c r="I1909" s="10">
        <f t="shared" ca="1" si="367"/>
        <v>0</v>
      </c>
      <c r="J1909" s="13">
        <f t="shared" ca="1" si="368"/>
        <v>0</v>
      </c>
      <c r="K1909" s="14">
        <f t="shared" ca="1" si="369"/>
        <v>211.60000000000002</v>
      </c>
      <c r="L1909" s="14">
        <f t="shared" ca="1" si="370"/>
        <v>0</v>
      </c>
      <c r="M1909" s="15">
        <f t="shared" ca="1" si="371"/>
        <v>211.60000000000002</v>
      </c>
      <c r="N1909" s="16">
        <f ca="1">SUM($M$9:M1909)/A1909</f>
        <v>336.54455549710701</v>
      </c>
    </row>
    <row r="1910" spans="1:14" x14ac:dyDescent="0.25">
      <c r="A1910" s="8">
        <v>1902</v>
      </c>
      <c r="B1910" s="9">
        <f t="shared" ca="1" si="363"/>
        <v>1058</v>
      </c>
      <c r="C1910" s="10">
        <f t="shared" ca="1" si="364"/>
        <v>0</v>
      </c>
      <c r="D1910" s="11">
        <f t="shared" ca="1" si="372"/>
        <v>0.93850395014869303</v>
      </c>
      <c r="E1910" s="9">
        <f t="shared" ca="1" si="373"/>
        <v>477</v>
      </c>
      <c r="F1910" s="9">
        <f t="shared" ca="1" si="365"/>
        <v>581</v>
      </c>
      <c r="G1910" s="12" t="str">
        <f t="shared" ca="1" si="366"/>
        <v>Yes</v>
      </c>
      <c r="H1910" s="12">
        <f t="shared" ca="1" si="374"/>
        <v>0.71056895299037126</v>
      </c>
      <c r="I1910" s="10">
        <f t="shared" ca="1" si="367"/>
        <v>2</v>
      </c>
      <c r="J1910" s="13">
        <f t="shared" ca="1" si="368"/>
        <v>300</v>
      </c>
      <c r="K1910" s="14">
        <f t="shared" ca="1" si="369"/>
        <v>116.2</v>
      </c>
      <c r="L1910" s="14">
        <f t="shared" ca="1" si="370"/>
        <v>0</v>
      </c>
      <c r="M1910" s="15">
        <f t="shared" ca="1" si="371"/>
        <v>416.2</v>
      </c>
      <c r="N1910" s="16">
        <f ca="1">SUM($M$9:M1910)/A1910</f>
        <v>336.58643533123046</v>
      </c>
    </row>
    <row r="1911" spans="1:14" x14ac:dyDescent="0.25">
      <c r="A1911" s="8">
        <v>1903</v>
      </c>
      <c r="B1911" s="9">
        <f t="shared" ca="1" si="363"/>
        <v>581</v>
      </c>
      <c r="C1911" s="10">
        <f t="shared" ca="1" si="364"/>
        <v>0</v>
      </c>
      <c r="D1911" s="11">
        <f t="shared" ca="1" si="372"/>
        <v>0.16225858938303717</v>
      </c>
      <c r="E1911" s="9">
        <f t="shared" ca="1" si="373"/>
        <v>350</v>
      </c>
      <c r="F1911" s="9">
        <f t="shared" ca="1" si="365"/>
        <v>231</v>
      </c>
      <c r="G1911" s="12" t="str">
        <f t="shared" ca="1" si="366"/>
        <v>No</v>
      </c>
      <c r="H1911" s="12">
        <f t="shared" ca="1" si="374"/>
        <v>0</v>
      </c>
      <c r="I1911" s="10">
        <f t="shared" ca="1" si="367"/>
        <v>1</v>
      </c>
      <c r="J1911" s="13">
        <f t="shared" ca="1" si="368"/>
        <v>0</v>
      </c>
      <c r="K1911" s="14">
        <f t="shared" ca="1" si="369"/>
        <v>46.2</v>
      </c>
      <c r="L1911" s="14">
        <f t="shared" ca="1" si="370"/>
        <v>0</v>
      </c>
      <c r="M1911" s="15">
        <f t="shared" ca="1" si="371"/>
        <v>46.2</v>
      </c>
      <c r="N1911" s="16">
        <f ca="1">SUM($M$9:M1911)/A1911</f>
        <v>336.43384130320561</v>
      </c>
    </row>
    <row r="1912" spans="1:14" x14ac:dyDescent="0.25">
      <c r="A1912" s="8">
        <v>1904</v>
      </c>
      <c r="B1912" s="9">
        <f t="shared" ca="1" si="363"/>
        <v>2031</v>
      </c>
      <c r="C1912" s="10">
        <f t="shared" ca="1" si="364"/>
        <v>1800</v>
      </c>
      <c r="D1912" s="11">
        <f t="shared" ca="1" si="372"/>
        <v>0.3121358283041149</v>
      </c>
      <c r="E1912" s="9">
        <f t="shared" ca="1" si="373"/>
        <v>375</v>
      </c>
      <c r="F1912" s="9">
        <f t="shared" ca="1" si="365"/>
        <v>1656</v>
      </c>
      <c r="G1912" s="12" t="str">
        <f t="shared" ca="1" si="366"/>
        <v>No</v>
      </c>
      <c r="H1912" s="12">
        <f t="shared" ca="1" si="374"/>
        <v>0</v>
      </c>
      <c r="I1912" s="10">
        <f t="shared" ca="1" si="367"/>
        <v>0</v>
      </c>
      <c r="J1912" s="13">
        <f t="shared" ca="1" si="368"/>
        <v>0</v>
      </c>
      <c r="K1912" s="14">
        <f t="shared" ca="1" si="369"/>
        <v>331.20000000000005</v>
      </c>
      <c r="L1912" s="14">
        <f t="shared" ca="1" si="370"/>
        <v>0</v>
      </c>
      <c r="M1912" s="15">
        <f t="shared" ca="1" si="371"/>
        <v>331.20000000000005</v>
      </c>
      <c r="N1912" s="16">
        <f ca="1">SUM($M$9:M1912)/A1912</f>
        <v>336.43109243697495</v>
      </c>
    </row>
    <row r="1913" spans="1:14" x14ac:dyDescent="0.25">
      <c r="A1913" s="8">
        <v>1905</v>
      </c>
      <c r="B1913" s="9">
        <f t="shared" ca="1" si="363"/>
        <v>1656</v>
      </c>
      <c r="C1913" s="10">
        <f t="shared" ca="1" si="364"/>
        <v>0</v>
      </c>
      <c r="D1913" s="11">
        <f t="shared" ca="1" si="372"/>
        <v>0.60803610709606248</v>
      </c>
      <c r="E1913" s="9">
        <f t="shared" ca="1" si="373"/>
        <v>413</v>
      </c>
      <c r="F1913" s="9">
        <f t="shared" ca="1" si="365"/>
        <v>1243</v>
      </c>
      <c r="G1913" s="12" t="str">
        <f t="shared" ca="1" si="366"/>
        <v>No</v>
      </c>
      <c r="H1913" s="12">
        <f t="shared" ca="1" si="374"/>
        <v>0</v>
      </c>
      <c r="I1913" s="10">
        <f t="shared" ca="1" si="367"/>
        <v>0</v>
      </c>
      <c r="J1913" s="13">
        <f t="shared" ca="1" si="368"/>
        <v>0</v>
      </c>
      <c r="K1913" s="14">
        <f t="shared" ca="1" si="369"/>
        <v>248.60000000000002</v>
      </c>
      <c r="L1913" s="14">
        <f t="shared" ca="1" si="370"/>
        <v>0</v>
      </c>
      <c r="M1913" s="15">
        <f t="shared" ca="1" si="371"/>
        <v>248.60000000000002</v>
      </c>
      <c r="N1913" s="16">
        <f ca="1">SUM($M$9:M1913)/A1913</f>
        <v>336.38498687664054</v>
      </c>
    </row>
    <row r="1914" spans="1:14" x14ac:dyDescent="0.25">
      <c r="A1914" s="8">
        <v>1906</v>
      </c>
      <c r="B1914" s="9">
        <f t="shared" ca="1" si="363"/>
        <v>1243</v>
      </c>
      <c r="C1914" s="10">
        <f t="shared" ca="1" si="364"/>
        <v>0</v>
      </c>
      <c r="D1914" s="11">
        <f t="shared" ca="1" si="372"/>
        <v>0.30515693777759589</v>
      </c>
      <c r="E1914" s="9">
        <f t="shared" ca="1" si="373"/>
        <v>374</v>
      </c>
      <c r="F1914" s="9">
        <f t="shared" ca="1" si="365"/>
        <v>869</v>
      </c>
      <c r="G1914" s="12" t="str">
        <f t="shared" ca="1" si="366"/>
        <v>Yes</v>
      </c>
      <c r="H1914" s="12">
        <f t="shared" ca="1" si="374"/>
        <v>0.8046771399931717</v>
      </c>
      <c r="I1914" s="10">
        <f t="shared" ca="1" si="367"/>
        <v>2</v>
      </c>
      <c r="J1914" s="13">
        <f t="shared" ca="1" si="368"/>
        <v>300</v>
      </c>
      <c r="K1914" s="14">
        <f t="shared" ca="1" si="369"/>
        <v>173.8</v>
      </c>
      <c r="L1914" s="14">
        <f t="shared" ca="1" si="370"/>
        <v>0</v>
      </c>
      <c r="M1914" s="15">
        <f t="shared" ca="1" si="371"/>
        <v>473.8</v>
      </c>
      <c r="N1914" s="16">
        <f ca="1">SUM($M$9:M1914)/A1914</f>
        <v>336.4570828961177</v>
      </c>
    </row>
    <row r="1915" spans="1:14" x14ac:dyDescent="0.25">
      <c r="A1915" s="8">
        <v>1907</v>
      </c>
      <c r="B1915" s="9">
        <f t="shared" ca="1" si="363"/>
        <v>869</v>
      </c>
      <c r="C1915" s="10">
        <f t="shared" ca="1" si="364"/>
        <v>0</v>
      </c>
      <c r="D1915" s="11">
        <f t="shared" ca="1" si="372"/>
        <v>0.5280013496974002</v>
      </c>
      <c r="E1915" s="9">
        <f t="shared" ca="1" si="373"/>
        <v>403</v>
      </c>
      <c r="F1915" s="9">
        <f t="shared" ca="1" si="365"/>
        <v>466</v>
      </c>
      <c r="G1915" s="12" t="str">
        <f t="shared" ca="1" si="366"/>
        <v>No</v>
      </c>
      <c r="H1915" s="12">
        <f t="shared" ca="1" si="374"/>
        <v>0</v>
      </c>
      <c r="I1915" s="10">
        <f t="shared" ca="1" si="367"/>
        <v>1</v>
      </c>
      <c r="J1915" s="13">
        <f t="shared" ca="1" si="368"/>
        <v>0</v>
      </c>
      <c r="K1915" s="14">
        <f t="shared" ca="1" si="369"/>
        <v>93.2</v>
      </c>
      <c r="L1915" s="14">
        <f t="shared" ca="1" si="370"/>
        <v>0</v>
      </c>
      <c r="M1915" s="15">
        <f t="shared" ca="1" si="371"/>
        <v>93.2</v>
      </c>
      <c r="N1915" s="16">
        <f ca="1">SUM($M$9:M1915)/A1915</f>
        <v>336.32952281069754</v>
      </c>
    </row>
    <row r="1916" spans="1:14" x14ac:dyDescent="0.25">
      <c r="A1916" s="8">
        <v>1908</v>
      </c>
      <c r="B1916" s="9">
        <f t="shared" ca="1" si="363"/>
        <v>2266</v>
      </c>
      <c r="C1916" s="10">
        <f t="shared" ca="1" si="364"/>
        <v>1800</v>
      </c>
      <c r="D1916" s="11">
        <f t="shared" ca="1" si="372"/>
        <v>0.18980318897930115</v>
      </c>
      <c r="E1916" s="9">
        <f t="shared" ca="1" si="373"/>
        <v>356</v>
      </c>
      <c r="F1916" s="9">
        <f t="shared" ca="1" si="365"/>
        <v>1910</v>
      </c>
      <c r="G1916" s="12" t="str">
        <f t="shared" ca="1" si="366"/>
        <v>No</v>
      </c>
      <c r="H1916" s="12">
        <f t="shared" ca="1" si="374"/>
        <v>0</v>
      </c>
      <c r="I1916" s="10">
        <f t="shared" ca="1" si="367"/>
        <v>0</v>
      </c>
      <c r="J1916" s="13">
        <f t="shared" ca="1" si="368"/>
        <v>0</v>
      </c>
      <c r="K1916" s="14">
        <f t="shared" ca="1" si="369"/>
        <v>382</v>
      </c>
      <c r="L1916" s="14">
        <f t="shared" ca="1" si="370"/>
        <v>0</v>
      </c>
      <c r="M1916" s="15">
        <f t="shared" ca="1" si="371"/>
        <v>382</v>
      </c>
      <c r="N1916" s="16">
        <f ca="1">SUM($M$9:M1916)/A1916</f>
        <v>336.35345911949702</v>
      </c>
    </row>
    <row r="1917" spans="1:14" x14ac:dyDescent="0.25">
      <c r="A1917" s="8">
        <v>1909</v>
      </c>
      <c r="B1917" s="9">
        <f t="shared" ref="B1917:B1980" ca="1" si="375">IF(I1916=1,F1916+Quantity,F1916)</f>
        <v>1910</v>
      </c>
      <c r="C1917" s="10">
        <f t="shared" ref="C1917:C1980" ca="1" si="376">IF(I1916=1,Quantity,0)</f>
        <v>0</v>
      </c>
      <c r="D1917" s="11">
        <f t="shared" ca="1" si="372"/>
        <v>0.5895307415972193</v>
      </c>
      <c r="E1917" s="9">
        <f t="shared" ca="1" si="373"/>
        <v>411</v>
      </c>
      <c r="F1917" s="9">
        <f t="shared" ref="F1917:F1980" ca="1" si="377">IF(B1917+C1917-E1917&lt;0,0,B1917-E1917)</f>
        <v>1499</v>
      </c>
      <c r="G1917" s="12" t="str">
        <f t="shared" ref="G1917:G1980" ca="1" si="378">IF(B1917&lt;Point,IF(I1916=0,"Yes","No"),"No")</f>
        <v>No</v>
      </c>
      <c r="H1917" s="12">
        <f t="shared" ca="1" si="374"/>
        <v>0</v>
      </c>
      <c r="I1917" s="10">
        <f t="shared" ref="I1917:I1980" ca="1" si="379">IF(I1916&gt;0,I1916-1,(IF(G1917="Yes",(VLOOKUP(H1917,LTD,3)),0)))</f>
        <v>0</v>
      </c>
      <c r="J1917" s="13">
        <f t="shared" ref="J1917:J1980" ca="1" si="380">IF(G1917="Yes",Order_Cost,0)</f>
        <v>0</v>
      </c>
      <c r="K1917" s="14">
        <f t="shared" ref="K1917:K1980" ca="1" si="381">F1917*Holding_Cost</f>
        <v>299.8</v>
      </c>
      <c r="L1917" s="14">
        <f t="shared" ref="L1917:L1980" ca="1" si="382">IF(B1917+C1917&lt;E1917,Shortage_Cost*(E1917-B1917-C1917),0)</f>
        <v>0</v>
      </c>
      <c r="M1917" s="15">
        <f t="shared" ref="M1917:M1980" ca="1" si="383">SUM(J1917:L1917)</f>
        <v>299.8</v>
      </c>
      <c r="N1917" s="16">
        <f ca="1">SUM($M$9:M1917)/A1917</f>
        <v>336.33431115767434</v>
      </c>
    </row>
    <row r="1918" spans="1:14" x14ac:dyDescent="0.25">
      <c r="A1918" s="8">
        <v>1910</v>
      </c>
      <c r="B1918" s="9">
        <f t="shared" ca="1" si="375"/>
        <v>1499</v>
      </c>
      <c r="C1918" s="10">
        <f t="shared" ca="1" si="376"/>
        <v>0</v>
      </c>
      <c r="D1918" s="11">
        <f t="shared" ca="1" si="372"/>
        <v>0.23267140110293305</v>
      </c>
      <c r="E1918" s="9">
        <f t="shared" ca="1" si="373"/>
        <v>363</v>
      </c>
      <c r="F1918" s="9">
        <f t="shared" ca="1" si="377"/>
        <v>1136</v>
      </c>
      <c r="G1918" s="12" t="str">
        <f t="shared" ca="1" si="378"/>
        <v>No</v>
      </c>
      <c r="H1918" s="12">
        <f t="shared" ca="1" si="374"/>
        <v>0</v>
      </c>
      <c r="I1918" s="10">
        <f t="shared" ca="1" si="379"/>
        <v>0</v>
      </c>
      <c r="J1918" s="13">
        <f t="shared" ca="1" si="380"/>
        <v>0</v>
      </c>
      <c r="K1918" s="14">
        <f t="shared" ca="1" si="381"/>
        <v>227.20000000000002</v>
      </c>
      <c r="L1918" s="14">
        <f t="shared" ca="1" si="382"/>
        <v>0</v>
      </c>
      <c r="M1918" s="15">
        <f t="shared" ca="1" si="383"/>
        <v>227.20000000000002</v>
      </c>
      <c r="N1918" s="16">
        <f ca="1">SUM($M$9:M1918)/A1918</f>
        <v>336.27717277486926</v>
      </c>
    </row>
    <row r="1919" spans="1:14" x14ac:dyDescent="0.25">
      <c r="A1919" s="8">
        <v>1911</v>
      </c>
      <c r="B1919" s="9">
        <f t="shared" ca="1" si="375"/>
        <v>1136</v>
      </c>
      <c r="C1919" s="10">
        <f t="shared" ca="1" si="376"/>
        <v>0</v>
      </c>
      <c r="D1919" s="11">
        <f t="shared" ca="1" si="372"/>
        <v>0.70825620987370419</v>
      </c>
      <c r="E1919" s="9">
        <f t="shared" ca="1" si="373"/>
        <v>427</v>
      </c>
      <c r="F1919" s="9">
        <f t="shared" ca="1" si="377"/>
        <v>709</v>
      </c>
      <c r="G1919" s="12" t="str">
        <f t="shared" ca="1" si="378"/>
        <v>Yes</v>
      </c>
      <c r="H1919" s="12">
        <f t="shared" ca="1" si="374"/>
        <v>0.9845816495767904</v>
      </c>
      <c r="I1919" s="10">
        <f t="shared" ca="1" si="379"/>
        <v>3</v>
      </c>
      <c r="J1919" s="13">
        <f t="shared" ca="1" si="380"/>
        <v>300</v>
      </c>
      <c r="K1919" s="14">
        <f t="shared" ca="1" si="381"/>
        <v>141.80000000000001</v>
      </c>
      <c r="L1919" s="14">
        <f t="shared" ca="1" si="382"/>
        <v>0</v>
      </c>
      <c r="M1919" s="15">
        <f t="shared" ca="1" si="383"/>
        <v>441.8</v>
      </c>
      <c r="N1919" s="16">
        <f ca="1">SUM($M$9:M1919)/A1919</f>
        <v>336.33239141810589</v>
      </c>
    </row>
    <row r="1920" spans="1:14" x14ac:dyDescent="0.25">
      <c r="A1920" s="8">
        <v>1912</v>
      </c>
      <c r="B1920" s="9">
        <f t="shared" ca="1" si="375"/>
        <v>709</v>
      </c>
      <c r="C1920" s="10">
        <f t="shared" ca="1" si="376"/>
        <v>0</v>
      </c>
      <c r="D1920" s="11">
        <f t="shared" ca="1" si="372"/>
        <v>0.1635923778739703</v>
      </c>
      <c r="E1920" s="9">
        <f t="shared" ca="1" si="373"/>
        <v>351</v>
      </c>
      <c r="F1920" s="9">
        <f t="shared" ca="1" si="377"/>
        <v>358</v>
      </c>
      <c r="G1920" s="12" t="str">
        <f t="shared" ca="1" si="378"/>
        <v>No</v>
      </c>
      <c r="H1920" s="12">
        <f t="shared" ca="1" si="374"/>
        <v>0</v>
      </c>
      <c r="I1920" s="10">
        <f t="shared" ca="1" si="379"/>
        <v>2</v>
      </c>
      <c r="J1920" s="13">
        <f t="shared" ca="1" si="380"/>
        <v>0</v>
      </c>
      <c r="K1920" s="14">
        <f t="shared" ca="1" si="381"/>
        <v>71.600000000000009</v>
      </c>
      <c r="L1920" s="14">
        <f t="shared" ca="1" si="382"/>
        <v>0</v>
      </c>
      <c r="M1920" s="15">
        <f t="shared" ca="1" si="383"/>
        <v>71.600000000000009</v>
      </c>
      <c r="N1920" s="16">
        <f ca="1">SUM($M$9:M1920)/A1920</f>
        <v>336.19393305439343</v>
      </c>
    </row>
    <row r="1921" spans="1:14" x14ac:dyDescent="0.25">
      <c r="A1921" s="8">
        <v>1913</v>
      </c>
      <c r="B1921" s="9">
        <f t="shared" ca="1" si="375"/>
        <v>358</v>
      </c>
      <c r="C1921" s="10">
        <f t="shared" ca="1" si="376"/>
        <v>0</v>
      </c>
      <c r="D1921" s="11">
        <f t="shared" ca="1" si="372"/>
        <v>0.1379754057638678</v>
      </c>
      <c r="E1921" s="9">
        <f t="shared" ca="1" si="373"/>
        <v>345</v>
      </c>
      <c r="F1921" s="9">
        <f t="shared" ca="1" si="377"/>
        <v>13</v>
      </c>
      <c r="G1921" s="12" t="str">
        <f t="shared" ca="1" si="378"/>
        <v>No</v>
      </c>
      <c r="H1921" s="12">
        <f t="shared" ca="1" si="374"/>
        <v>0</v>
      </c>
      <c r="I1921" s="10">
        <f t="shared" ca="1" si="379"/>
        <v>1</v>
      </c>
      <c r="J1921" s="13">
        <f t="shared" ca="1" si="380"/>
        <v>0</v>
      </c>
      <c r="K1921" s="14">
        <f t="shared" ca="1" si="381"/>
        <v>2.6</v>
      </c>
      <c r="L1921" s="14">
        <f t="shared" ca="1" si="382"/>
        <v>0</v>
      </c>
      <c r="M1921" s="15">
        <f t="shared" ca="1" si="383"/>
        <v>2.6</v>
      </c>
      <c r="N1921" s="16">
        <f ca="1">SUM($M$9:M1921)/A1921</f>
        <v>336.01955044432839</v>
      </c>
    </row>
    <row r="1922" spans="1:14" x14ac:dyDescent="0.25">
      <c r="A1922" s="8">
        <v>1914</v>
      </c>
      <c r="B1922" s="9">
        <f t="shared" ca="1" si="375"/>
        <v>1813</v>
      </c>
      <c r="C1922" s="10">
        <f t="shared" ca="1" si="376"/>
        <v>1800</v>
      </c>
      <c r="D1922" s="11">
        <f t="shared" ca="1" si="372"/>
        <v>0.54096084564690117</v>
      </c>
      <c r="E1922" s="9">
        <f t="shared" ca="1" si="373"/>
        <v>405</v>
      </c>
      <c r="F1922" s="9">
        <f t="shared" ca="1" si="377"/>
        <v>1408</v>
      </c>
      <c r="G1922" s="12" t="str">
        <f t="shared" ca="1" si="378"/>
        <v>No</v>
      </c>
      <c r="H1922" s="12">
        <f t="shared" ca="1" si="374"/>
        <v>0</v>
      </c>
      <c r="I1922" s="10">
        <f t="shared" ca="1" si="379"/>
        <v>0</v>
      </c>
      <c r="J1922" s="13">
        <f t="shared" ca="1" si="380"/>
        <v>0</v>
      </c>
      <c r="K1922" s="14">
        <f t="shared" ca="1" si="381"/>
        <v>281.60000000000002</v>
      </c>
      <c r="L1922" s="14">
        <f t="shared" ca="1" si="382"/>
        <v>0</v>
      </c>
      <c r="M1922" s="15">
        <f t="shared" ca="1" si="383"/>
        <v>281.60000000000002</v>
      </c>
      <c r="N1922" s="16">
        <f ca="1">SUM($M$9:M1922)/A1922</f>
        <v>335.9911180773251</v>
      </c>
    </row>
    <row r="1923" spans="1:14" x14ac:dyDescent="0.25">
      <c r="A1923" s="8">
        <v>1915</v>
      </c>
      <c r="B1923" s="9">
        <f t="shared" ca="1" si="375"/>
        <v>1408</v>
      </c>
      <c r="C1923" s="10">
        <f t="shared" ca="1" si="376"/>
        <v>0</v>
      </c>
      <c r="D1923" s="11">
        <f t="shared" ca="1" si="372"/>
        <v>0.7453934731924966</v>
      </c>
      <c r="E1923" s="9">
        <f t="shared" ca="1" si="373"/>
        <v>433</v>
      </c>
      <c r="F1923" s="9">
        <f t="shared" ca="1" si="377"/>
        <v>975</v>
      </c>
      <c r="G1923" s="12" t="str">
        <f t="shared" ca="1" si="378"/>
        <v>No</v>
      </c>
      <c r="H1923" s="12">
        <f t="shared" ca="1" si="374"/>
        <v>0</v>
      </c>
      <c r="I1923" s="10">
        <f t="shared" ca="1" si="379"/>
        <v>0</v>
      </c>
      <c r="J1923" s="13">
        <f t="shared" ca="1" si="380"/>
        <v>0</v>
      </c>
      <c r="K1923" s="14">
        <f t="shared" ca="1" si="381"/>
        <v>195</v>
      </c>
      <c r="L1923" s="14">
        <f t="shared" ca="1" si="382"/>
        <v>0</v>
      </c>
      <c r="M1923" s="15">
        <f t="shared" ca="1" si="383"/>
        <v>195</v>
      </c>
      <c r="N1923" s="16">
        <f ca="1">SUM($M$9:M1923)/A1923</f>
        <v>335.91749347258497</v>
      </c>
    </row>
    <row r="1924" spans="1:14" x14ac:dyDescent="0.25">
      <c r="A1924" s="8">
        <v>1916</v>
      </c>
      <c r="B1924" s="9">
        <f t="shared" ca="1" si="375"/>
        <v>975</v>
      </c>
      <c r="C1924" s="10">
        <f t="shared" ca="1" si="376"/>
        <v>0</v>
      </c>
      <c r="D1924" s="11">
        <f t="shared" ca="1" si="372"/>
        <v>0.61326178567403133</v>
      </c>
      <c r="E1924" s="9">
        <f t="shared" ca="1" si="373"/>
        <v>414</v>
      </c>
      <c r="F1924" s="9">
        <f t="shared" ca="1" si="377"/>
        <v>561</v>
      </c>
      <c r="G1924" s="12" t="str">
        <f t="shared" ca="1" si="378"/>
        <v>Yes</v>
      </c>
      <c r="H1924" s="12">
        <f t="shared" ca="1" si="374"/>
        <v>0.65967424238412686</v>
      </c>
      <c r="I1924" s="10">
        <f t="shared" ca="1" si="379"/>
        <v>1</v>
      </c>
      <c r="J1924" s="13">
        <f t="shared" ca="1" si="380"/>
        <v>300</v>
      </c>
      <c r="K1924" s="14">
        <f t="shared" ca="1" si="381"/>
        <v>112.2</v>
      </c>
      <c r="L1924" s="14">
        <f t="shared" ca="1" si="382"/>
        <v>0</v>
      </c>
      <c r="M1924" s="15">
        <f t="shared" ca="1" si="383"/>
        <v>412.2</v>
      </c>
      <c r="N1924" s="16">
        <f ca="1">SUM($M$9:M1924)/A1924</f>
        <v>335.95730688935294</v>
      </c>
    </row>
    <row r="1925" spans="1:14" x14ac:dyDescent="0.25">
      <c r="A1925" s="8">
        <v>1917</v>
      </c>
      <c r="B1925" s="9">
        <f t="shared" ca="1" si="375"/>
        <v>2361</v>
      </c>
      <c r="C1925" s="10">
        <f t="shared" ca="1" si="376"/>
        <v>1800</v>
      </c>
      <c r="D1925" s="11">
        <f t="shared" ca="1" si="372"/>
        <v>0.87742170452698043</v>
      </c>
      <c r="E1925" s="9">
        <f t="shared" ca="1" si="373"/>
        <v>458</v>
      </c>
      <c r="F1925" s="9">
        <f t="shared" ca="1" si="377"/>
        <v>1903</v>
      </c>
      <c r="G1925" s="12" t="str">
        <f t="shared" ca="1" si="378"/>
        <v>No</v>
      </c>
      <c r="H1925" s="12">
        <f t="shared" ca="1" si="374"/>
        <v>0</v>
      </c>
      <c r="I1925" s="10">
        <f t="shared" ca="1" si="379"/>
        <v>0</v>
      </c>
      <c r="J1925" s="13">
        <f t="shared" ca="1" si="380"/>
        <v>0</v>
      </c>
      <c r="K1925" s="14">
        <f t="shared" ca="1" si="381"/>
        <v>380.6</v>
      </c>
      <c r="L1925" s="14">
        <f t="shared" ca="1" si="382"/>
        <v>0</v>
      </c>
      <c r="M1925" s="15">
        <f t="shared" ca="1" si="383"/>
        <v>380.6</v>
      </c>
      <c r="N1925" s="16">
        <f ca="1">SUM($M$9:M1925)/A1925</f>
        <v>335.98059467918631</v>
      </c>
    </row>
    <row r="1926" spans="1:14" x14ac:dyDescent="0.25">
      <c r="A1926" s="8">
        <v>1918</v>
      </c>
      <c r="B1926" s="9">
        <f t="shared" ca="1" si="375"/>
        <v>1903</v>
      </c>
      <c r="C1926" s="10">
        <f t="shared" ca="1" si="376"/>
        <v>0</v>
      </c>
      <c r="D1926" s="11">
        <f t="shared" ca="1" si="372"/>
        <v>0.31250304925880967</v>
      </c>
      <c r="E1926" s="9">
        <f t="shared" ca="1" si="373"/>
        <v>375</v>
      </c>
      <c r="F1926" s="9">
        <f t="shared" ca="1" si="377"/>
        <v>1528</v>
      </c>
      <c r="G1926" s="12" t="str">
        <f t="shared" ca="1" si="378"/>
        <v>No</v>
      </c>
      <c r="H1926" s="12">
        <f t="shared" ca="1" si="374"/>
        <v>0</v>
      </c>
      <c r="I1926" s="10">
        <f t="shared" ca="1" si="379"/>
        <v>0</v>
      </c>
      <c r="J1926" s="13">
        <f t="shared" ca="1" si="380"/>
        <v>0</v>
      </c>
      <c r="K1926" s="14">
        <f t="shared" ca="1" si="381"/>
        <v>305.60000000000002</v>
      </c>
      <c r="L1926" s="14">
        <f t="shared" ca="1" si="382"/>
        <v>0</v>
      </c>
      <c r="M1926" s="15">
        <f t="shared" ca="1" si="383"/>
        <v>305.60000000000002</v>
      </c>
      <c r="N1926" s="16">
        <f ca="1">SUM($M$9:M1926)/A1926</f>
        <v>335.96475495307618</v>
      </c>
    </row>
    <row r="1927" spans="1:14" x14ac:dyDescent="0.25">
      <c r="A1927" s="8">
        <v>1919</v>
      </c>
      <c r="B1927" s="9">
        <f t="shared" ca="1" si="375"/>
        <v>1528</v>
      </c>
      <c r="C1927" s="10">
        <f t="shared" ca="1" si="376"/>
        <v>0</v>
      </c>
      <c r="D1927" s="11">
        <f t="shared" ca="1" si="372"/>
        <v>5.0996237077411966E-2</v>
      </c>
      <c r="E1927" s="9">
        <f t="shared" ca="1" si="373"/>
        <v>318</v>
      </c>
      <c r="F1927" s="9">
        <f t="shared" ca="1" si="377"/>
        <v>1210</v>
      </c>
      <c r="G1927" s="12" t="str">
        <f t="shared" ca="1" si="378"/>
        <v>No</v>
      </c>
      <c r="H1927" s="12">
        <f t="shared" ca="1" si="374"/>
        <v>0</v>
      </c>
      <c r="I1927" s="10">
        <f t="shared" ca="1" si="379"/>
        <v>0</v>
      </c>
      <c r="J1927" s="13">
        <f t="shared" ca="1" si="380"/>
        <v>0</v>
      </c>
      <c r="K1927" s="14">
        <f t="shared" ca="1" si="381"/>
        <v>242</v>
      </c>
      <c r="L1927" s="14">
        <f t="shared" ca="1" si="382"/>
        <v>0</v>
      </c>
      <c r="M1927" s="15">
        <f t="shared" ca="1" si="383"/>
        <v>242</v>
      </c>
      <c r="N1927" s="16">
        <f ca="1">SUM($M$9:M1927)/A1927</f>
        <v>335.9157894736843</v>
      </c>
    </row>
    <row r="1928" spans="1:14" x14ac:dyDescent="0.25">
      <c r="A1928" s="8">
        <v>1920</v>
      </c>
      <c r="B1928" s="9">
        <f t="shared" ca="1" si="375"/>
        <v>1210</v>
      </c>
      <c r="C1928" s="10">
        <f t="shared" ca="1" si="376"/>
        <v>0</v>
      </c>
      <c r="D1928" s="11">
        <f t="shared" ca="1" si="372"/>
        <v>0.39513520288984294</v>
      </c>
      <c r="E1928" s="9">
        <f t="shared" ca="1" si="373"/>
        <v>386</v>
      </c>
      <c r="F1928" s="9">
        <f t="shared" ca="1" si="377"/>
        <v>824</v>
      </c>
      <c r="G1928" s="12" t="str">
        <f t="shared" ca="1" si="378"/>
        <v>Yes</v>
      </c>
      <c r="H1928" s="12">
        <f t="shared" ca="1" si="374"/>
        <v>0.40264449411393122</v>
      </c>
      <c r="I1928" s="10">
        <f t="shared" ca="1" si="379"/>
        <v>1</v>
      </c>
      <c r="J1928" s="13">
        <f t="shared" ca="1" si="380"/>
        <v>300</v>
      </c>
      <c r="K1928" s="14">
        <f t="shared" ca="1" si="381"/>
        <v>164.8</v>
      </c>
      <c r="L1928" s="14">
        <f t="shared" ca="1" si="382"/>
        <v>0</v>
      </c>
      <c r="M1928" s="15">
        <f t="shared" ca="1" si="383"/>
        <v>464.8</v>
      </c>
      <c r="N1928" s="16">
        <f ca="1">SUM($M$9:M1928)/A1928</f>
        <v>335.98291666666677</v>
      </c>
    </row>
    <row r="1929" spans="1:14" x14ac:dyDescent="0.25">
      <c r="A1929" s="8">
        <v>1921</v>
      </c>
      <c r="B1929" s="9">
        <f t="shared" ca="1" si="375"/>
        <v>2624</v>
      </c>
      <c r="C1929" s="10">
        <f t="shared" ca="1" si="376"/>
        <v>1800</v>
      </c>
      <c r="D1929" s="11">
        <f t="shared" ca="1" si="372"/>
        <v>0.58530785225079052</v>
      </c>
      <c r="E1929" s="9">
        <f t="shared" ca="1" si="373"/>
        <v>410</v>
      </c>
      <c r="F1929" s="9">
        <f t="shared" ca="1" si="377"/>
        <v>2214</v>
      </c>
      <c r="G1929" s="12" t="str">
        <f t="shared" ca="1" si="378"/>
        <v>No</v>
      </c>
      <c r="H1929" s="12">
        <f t="shared" ca="1" si="374"/>
        <v>0</v>
      </c>
      <c r="I1929" s="10">
        <f t="shared" ca="1" si="379"/>
        <v>0</v>
      </c>
      <c r="J1929" s="13">
        <f t="shared" ca="1" si="380"/>
        <v>0</v>
      </c>
      <c r="K1929" s="14">
        <f t="shared" ca="1" si="381"/>
        <v>442.8</v>
      </c>
      <c r="L1929" s="14">
        <f t="shared" ca="1" si="382"/>
        <v>0</v>
      </c>
      <c r="M1929" s="15">
        <f t="shared" ca="1" si="383"/>
        <v>442.8</v>
      </c>
      <c r="N1929" s="16">
        <f ca="1">SUM($M$9:M1929)/A1929</f>
        <v>336.03852160333173</v>
      </c>
    </row>
    <row r="1930" spans="1:14" x14ac:dyDescent="0.25">
      <c r="A1930" s="8">
        <v>1922</v>
      </c>
      <c r="B1930" s="9">
        <f t="shared" ca="1" si="375"/>
        <v>2214</v>
      </c>
      <c r="C1930" s="10">
        <f t="shared" ca="1" si="376"/>
        <v>0</v>
      </c>
      <c r="D1930" s="11">
        <f t="shared" ref="D1930:D1993" ca="1" si="384">RAND()</f>
        <v>0.96354450208894415</v>
      </c>
      <c r="E1930" s="9">
        <f t="shared" ref="E1930:E1993" ca="1" si="385">INT(NORMINV(D1930,D_Mean,D_StdDev))</f>
        <v>489</v>
      </c>
      <c r="F1930" s="9">
        <f t="shared" ca="1" si="377"/>
        <v>1725</v>
      </c>
      <c r="G1930" s="12" t="str">
        <f t="shared" ca="1" si="378"/>
        <v>No</v>
      </c>
      <c r="H1930" s="12">
        <f t="shared" ref="H1930:H1993" ca="1" si="386">IF(G1930="Yes",RAND(),0)</f>
        <v>0</v>
      </c>
      <c r="I1930" s="10">
        <f t="shared" ca="1" si="379"/>
        <v>0</v>
      </c>
      <c r="J1930" s="13">
        <f t="shared" ca="1" si="380"/>
        <v>0</v>
      </c>
      <c r="K1930" s="14">
        <f t="shared" ca="1" si="381"/>
        <v>345</v>
      </c>
      <c r="L1930" s="14">
        <f t="shared" ca="1" si="382"/>
        <v>0</v>
      </c>
      <c r="M1930" s="15">
        <f t="shared" ca="1" si="383"/>
        <v>345</v>
      </c>
      <c r="N1930" s="16">
        <f ca="1">SUM($M$9:M1930)/A1930</f>
        <v>336.04318418314267</v>
      </c>
    </row>
    <row r="1931" spans="1:14" x14ac:dyDescent="0.25">
      <c r="A1931" s="8">
        <v>1923</v>
      </c>
      <c r="B1931" s="9">
        <f t="shared" ca="1" si="375"/>
        <v>1725</v>
      </c>
      <c r="C1931" s="10">
        <f t="shared" ca="1" si="376"/>
        <v>0</v>
      </c>
      <c r="D1931" s="11">
        <f t="shared" ca="1" si="384"/>
        <v>0.51989474421083193</v>
      </c>
      <c r="E1931" s="9">
        <f t="shared" ca="1" si="385"/>
        <v>402</v>
      </c>
      <c r="F1931" s="9">
        <f t="shared" ca="1" si="377"/>
        <v>1323</v>
      </c>
      <c r="G1931" s="12" t="str">
        <f t="shared" ca="1" si="378"/>
        <v>No</v>
      </c>
      <c r="H1931" s="12">
        <f t="shared" ca="1" si="386"/>
        <v>0</v>
      </c>
      <c r="I1931" s="10">
        <f t="shared" ca="1" si="379"/>
        <v>0</v>
      </c>
      <c r="J1931" s="13">
        <f t="shared" ca="1" si="380"/>
        <v>0</v>
      </c>
      <c r="K1931" s="14">
        <f t="shared" ca="1" si="381"/>
        <v>264.60000000000002</v>
      </c>
      <c r="L1931" s="14">
        <f t="shared" ca="1" si="382"/>
        <v>0</v>
      </c>
      <c r="M1931" s="15">
        <f t="shared" ca="1" si="383"/>
        <v>264.60000000000002</v>
      </c>
      <c r="N1931" s="16">
        <f ca="1">SUM($M$9:M1931)/A1931</f>
        <v>336.00603224128974</v>
      </c>
    </row>
    <row r="1932" spans="1:14" x14ac:dyDescent="0.25">
      <c r="A1932" s="8">
        <v>1924</v>
      </c>
      <c r="B1932" s="9">
        <f t="shared" ca="1" si="375"/>
        <v>1323</v>
      </c>
      <c r="C1932" s="10">
        <f t="shared" ca="1" si="376"/>
        <v>0</v>
      </c>
      <c r="D1932" s="11">
        <f t="shared" ca="1" si="384"/>
        <v>0.98265422917188994</v>
      </c>
      <c r="E1932" s="9">
        <f t="shared" ca="1" si="385"/>
        <v>505</v>
      </c>
      <c r="F1932" s="9">
        <f t="shared" ca="1" si="377"/>
        <v>818</v>
      </c>
      <c r="G1932" s="12" t="str">
        <f t="shared" ca="1" si="378"/>
        <v>Yes</v>
      </c>
      <c r="H1932" s="12">
        <f t="shared" ca="1" si="386"/>
        <v>0.10380662253659145</v>
      </c>
      <c r="I1932" s="10">
        <f t="shared" ca="1" si="379"/>
        <v>1</v>
      </c>
      <c r="J1932" s="13">
        <f t="shared" ca="1" si="380"/>
        <v>300</v>
      </c>
      <c r="K1932" s="14">
        <f t="shared" ca="1" si="381"/>
        <v>163.60000000000002</v>
      </c>
      <c r="L1932" s="14">
        <f t="shared" ca="1" si="382"/>
        <v>0</v>
      </c>
      <c r="M1932" s="15">
        <f t="shared" ca="1" si="383"/>
        <v>463.6</v>
      </c>
      <c r="N1932" s="16">
        <f ca="1">SUM($M$9:M1932)/A1932</f>
        <v>336.07234927234936</v>
      </c>
    </row>
    <row r="1933" spans="1:14" x14ac:dyDescent="0.25">
      <c r="A1933" s="8">
        <v>1925</v>
      </c>
      <c r="B1933" s="9">
        <f t="shared" ca="1" si="375"/>
        <v>2618</v>
      </c>
      <c r="C1933" s="10">
        <f t="shared" ca="1" si="376"/>
        <v>1800</v>
      </c>
      <c r="D1933" s="11">
        <f t="shared" ca="1" si="384"/>
        <v>0.3529819173609352</v>
      </c>
      <c r="E1933" s="9">
        <f t="shared" ca="1" si="385"/>
        <v>381</v>
      </c>
      <c r="F1933" s="9">
        <f t="shared" ca="1" si="377"/>
        <v>2237</v>
      </c>
      <c r="G1933" s="12" t="str">
        <f t="shared" ca="1" si="378"/>
        <v>No</v>
      </c>
      <c r="H1933" s="12">
        <f t="shared" ca="1" si="386"/>
        <v>0</v>
      </c>
      <c r="I1933" s="10">
        <f t="shared" ca="1" si="379"/>
        <v>0</v>
      </c>
      <c r="J1933" s="13">
        <f t="shared" ca="1" si="380"/>
        <v>0</v>
      </c>
      <c r="K1933" s="14">
        <f t="shared" ca="1" si="381"/>
        <v>447.40000000000003</v>
      </c>
      <c r="L1933" s="14">
        <f t="shared" ca="1" si="382"/>
        <v>0</v>
      </c>
      <c r="M1933" s="15">
        <f t="shared" ca="1" si="383"/>
        <v>447.40000000000003</v>
      </c>
      <c r="N1933" s="16">
        <f ca="1">SUM($M$9:M1933)/A1933</f>
        <v>336.13018181818194</v>
      </c>
    </row>
    <row r="1934" spans="1:14" x14ac:dyDescent="0.25">
      <c r="A1934" s="8">
        <v>1926</v>
      </c>
      <c r="B1934" s="9">
        <f t="shared" ca="1" si="375"/>
        <v>2237</v>
      </c>
      <c r="C1934" s="10">
        <f t="shared" ca="1" si="376"/>
        <v>0</v>
      </c>
      <c r="D1934" s="11">
        <f t="shared" ca="1" si="384"/>
        <v>0.84108960607761873</v>
      </c>
      <c r="E1934" s="9">
        <f t="shared" ca="1" si="385"/>
        <v>449</v>
      </c>
      <c r="F1934" s="9">
        <f t="shared" ca="1" si="377"/>
        <v>1788</v>
      </c>
      <c r="G1934" s="12" t="str">
        <f t="shared" ca="1" si="378"/>
        <v>No</v>
      </c>
      <c r="H1934" s="12">
        <f t="shared" ca="1" si="386"/>
        <v>0</v>
      </c>
      <c r="I1934" s="10">
        <f t="shared" ca="1" si="379"/>
        <v>0</v>
      </c>
      <c r="J1934" s="13">
        <f t="shared" ca="1" si="380"/>
        <v>0</v>
      </c>
      <c r="K1934" s="14">
        <f t="shared" ca="1" si="381"/>
        <v>357.6</v>
      </c>
      <c r="L1934" s="14">
        <f t="shared" ca="1" si="382"/>
        <v>0</v>
      </c>
      <c r="M1934" s="15">
        <f t="shared" ca="1" si="383"/>
        <v>357.6</v>
      </c>
      <c r="N1934" s="16">
        <f ca="1">SUM($M$9:M1934)/A1934</f>
        <v>336.14132917964702</v>
      </c>
    </row>
    <row r="1935" spans="1:14" x14ac:dyDescent="0.25">
      <c r="A1935" s="8">
        <v>1927</v>
      </c>
      <c r="B1935" s="9">
        <f t="shared" ca="1" si="375"/>
        <v>1788</v>
      </c>
      <c r="C1935" s="10">
        <f t="shared" ca="1" si="376"/>
        <v>0</v>
      </c>
      <c r="D1935" s="11">
        <f t="shared" ca="1" si="384"/>
        <v>0.24431878482648151</v>
      </c>
      <c r="E1935" s="9">
        <f t="shared" ca="1" si="385"/>
        <v>365</v>
      </c>
      <c r="F1935" s="9">
        <f t="shared" ca="1" si="377"/>
        <v>1423</v>
      </c>
      <c r="G1935" s="12" t="str">
        <f t="shared" ca="1" si="378"/>
        <v>No</v>
      </c>
      <c r="H1935" s="12">
        <f t="shared" ca="1" si="386"/>
        <v>0</v>
      </c>
      <c r="I1935" s="10">
        <f t="shared" ca="1" si="379"/>
        <v>0</v>
      </c>
      <c r="J1935" s="13">
        <f t="shared" ca="1" si="380"/>
        <v>0</v>
      </c>
      <c r="K1935" s="14">
        <f t="shared" ca="1" si="381"/>
        <v>284.60000000000002</v>
      </c>
      <c r="L1935" s="14">
        <f t="shared" ca="1" si="382"/>
        <v>0</v>
      </c>
      <c r="M1935" s="15">
        <f t="shared" ca="1" si="383"/>
        <v>284.60000000000002</v>
      </c>
      <c r="N1935" s="16">
        <f ca="1">SUM($M$9:M1935)/A1935</f>
        <v>336.11458225220559</v>
      </c>
    </row>
    <row r="1936" spans="1:14" x14ac:dyDescent="0.25">
      <c r="A1936" s="8">
        <v>1928</v>
      </c>
      <c r="B1936" s="9">
        <f t="shared" ca="1" si="375"/>
        <v>1423</v>
      </c>
      <c r="C1936" s="10">
        <f t="shared" ca="1" si="376"/>
        <v>0</v>
      </c>
      <c r="D1936" s="11">
        <f t="shared" ca="1" si="384"/>
        <v>0.93307275272430101</v>
      </c>
      <c r="E1936" s="9">
        <f t="shared" ca="1" si="385"/>
        <v>474</v>
      </c>
      <c r="F1936" s="9">
        <f t="shared" ca="1" si="377"/>
        <v>949</v>
      </c>
      <c r="G1936" s="12" t="str">
        <f t="shared" ca="1" si="378"/>
        <v>No</v>
      </c>
      <c r="H1936" s="12">
        <f t="shared" ca="1" si="386"/>
        <v>0</v>
      </c>
      <c r="I1936" s="10">
        <f t="shared" ca="1" si="379"/>
        <v>0</v>
      </c>
      <c r="J1936" s="13">
        <f t="shared" ca="1" si="380"/>
        <v>0</v>
      </c>
      <c r="K1936" s="14">
        <f t="shared" ca="1" si="381"/>
        <v>189.8</v>
      </c>
      <c r="L1936" s="14">
        <f t="shared" ca="1" si="382"/>
        <v>0</v>
      </c>
      <c r="M1936" s="15">
        <f t="shared" ca="1" si="383"/>
        <v>189.8</v>
      </c>
      <c r="N1936" s="16">
        <f ca="1">SUM($M$9:M1936)/A1936</f>
        <v>336.03869294605818</v>
      </c>
    </row>
    <row r="1937" spans="1:14" x14ac:dyDescent="0.25">
      <c r="A1937" s="8">
        <v>1929</v>
      </c>
      <c r="B1937" s="9">
        <f t="shared" ca="1" si="375"/>
        <v>949</v>
      </c>
      <c r="C1937" s="10">
        <f t="shared" ca="1" si="376"/>
        <v>0</v>
      </c>
      <c r="D1937" s="11">
        <f t="shared" ca="1" si="384"/>
        <v>0.72996421288498092</v>
      </c>
      <c r="E1937" s="9">
        <f t="shared" ca="1" si="385"/>
        <v>430</v>
      </c>
      <c r="F1937" s="9">
        <f t="shared" ca="1" si="377"/>
        <v>519</v>
      </c>
      <c r="G1937" s="12" t="str">
        <f t="shared" ca="1" si="378"/>
        <v>Yes</v>
      </c>
      <c r="H1937" s="12">
        <f t="shared" ca="1" si="386"/>
        <v>0.21865299591546616</v>
      </c>
      <c r="I1937" s="10">
        <f t="shared" ca="1" si="379"/>
        <v>1</v>
      </c>
      <c r="J1937" s="13">
        <f t="shared" ca="1" si="380"/>
        <v>300</v>
      </c>
      <c r="K1937" s="14">
        <f t="shared" ca="1" si="381"/>
        <v>103.80000000000001</v>
      </c>
      <c r="L1937" s="14">
        <f t="shared" ca="1" si="382"/>
        <v>0</v>
      </c>
      <c r="M1937" s="15">
        <f t="shared" ca="1" si="383"/>
        <v>403.8</v>
      </c>
      <c r="N1937" s="16">
        <f ca="1">SUM($M$9:M1937)/A1937</f>
        <v>336.07382063245217</v>
      </c>
    </row>
    <row r="1938" spans="1:14" x14ac:dyDescent="0.25">
      <c r="A1938" s="8">
        <v>1930</v>
      </c>
      <c r="B1938" s="9">
        <f t="shared" ca="1" si="375"/>
        <v>2319</v>
      </c>
      <c r="C1938" s="10">
        <f t="shared" ca="1" si="376"/>
        <v>1800</v>
      </c>
      <c r="D1938" s="11">
        <f t="shared" ca="1" si="384"/>
        <v>0.68203288203158008</v>
      </c>
      <c r="E1938" s="9">
        <f t="shared" ca="1" si="385"/>
        <v>423</v>
      </c>
      <c r="F1938" s="9">
        <f t="shared" ca="1" si="377"/>
        <v>1896</v>
      </c>
      <c r="G1938" s="12" t="str">
        <f t="shared" ca="1" si="378"/>
        <v>No</v>
      </c>
      <c r="H1938" s="12">
        <f t="shared" ca="1" si="386"/>
        <v>0</v>
      </c>
      <c r="I1938" s="10">
        <f t="shared" ca="1" si="379"/>
        <v>0</v>
      </c>
      <c r="J1938" s="13">
        <f t="shared" ca="1" si="380"/>
        <v>0</v>
      </c>
      <c r="K1938" s="14">
        <f t="shared" ca="1" si="381"/>
        <v>379.20000000000005</v>
      </c>
      <c r="L1938" s="14">
        <f t="shared" ca="1" si="382"/>
        <v>0</v>
      </c>
      <c r="M1938" s="15">
        <f t="shared" ca="1" si="383"/>
        <v>379.20000000000005</v>
      </c>
      <c r="N1938" s="16">
        <f ca="1">SUM($M$9:M1938)/A1938</f>
        <v>336.09616580310893</v>
      </c>
    </row>
    <row r="1939" spans="1:14" x14ac:dyDescent="0.25">
      <c r="A1939" s="8">
        <v>1931</v>
      </c>
      <c r="B1939" s="9">
        <f t="shared" ca="1" si="375"/>
        <v>1896</v>
      </c>
      <c r="C1939" s="10">
        <f t="shared" ca="1" si="376"/>
        <v>0</v>
      </c>
      <c r="D1939" s="11">
        <f t="shared" ca="1" si="384"/>
        <v>6.1143997854274823E-2</v>
      </c>
      <c r="E1939" s="9">
        <f t="shared" ca="1" si="385"/>
        <v>322</v>
      </c>
      <c r="F1939" s="9">
        <f t="shared" ca="1" si="377"/>
        <v>1574</v>
      </c>
      <c r="G1939" s="12" t="str">
        <f t="shared" ca="1" si="378"/>
        <v>No</v>
      </c>
      <c r="H1939" s="12">
        <f t="shared" ca="1" si="386"/>
        <v>0</v>
      </c>
      <c r="I1939" s="10">
        <f t="shared" ca="1" si="379"/>
        <v>0</v>
      </c>
      <c r="J1939" s="13">
        <f t="shared" ca="1" si="380"/>
        <v>0</v>
      </c>
      <c r="K1939" s="14">
        <f t="shared" ca="1" si="381"/>
        <v>314.8</v>
      </c>
      <c r="L1939" s="14">
        <f t="shared" ca="1" si="382"/>
        <v>0</v>
      </c>
      <c r="M1939" s="15">
        <f t="shared" ca="1" si="383"/>
        <v>314.8</v>
      </c>
      <c r="N1939" s="16">
        <f ca="1">SUM($M$9:M1939)/A1939</f>
        <v>336.08513723459362</v>
      </c>
    </row>
    <row r="1940" spans="1:14" x14ac:dyDescent="0.25">
      <c r="A1940" s="8">
        <v>1932</v>
      </c>
      <c r="B1940" s="9">
        <f t="shared" ca="1" si="375"/>
        <v>1574</v>
      </c>
      <c r="C1940" s="10">
        <f t="shared" ca="1" si="376"/>
        <v>0</v>
      </c>
      <c r="D1940" s="11">
        <f t="shared" ca="1" si="384"/>
        <v>0.69254254487160016</v>
      </c>
      <c r="E1940" s="9">
        <f t="shared" ca="1" si="385"/>
        <v>425</v>
      </c>
      <c r="F1940" s="9">
        <f t="shared" ca="1" si="377"/>
        <v>1149</v>
      </c>
      <c r="G1940" s="12" t="str">
        <f t="shared" ca="1" si="378"/>
        <v>No</v>
      </c>
      <c r="H1940" s="12">
        <f t="shared" ca="1" si="386"/>
        <v>0</v>
      </c>
      <c r="I1940" s="10">
        <f t="shared" ca="1" si="379"/>
        <v>0</v>
      </c>
      <c r="J1940" s="13">
        <f t="shared" ca="1" si="380"/>
        <v>0</v>
      </c>
      <c r="K1940" s="14">
        <f t="shared" ca="1" si="381"/>
        <v>229.8</v>
      </c>
      <c r="L1940" s="14">
        <f t="shared" ca="1" si="382"/>
        <v>0</v>
      </c>
      <c r="M1940" s="15">
        <f t="shared" ca="1" si="383"/>
        <v>229.8</v>
      </c>
      <c r="N1940" s="16">
        <f ca="1">SUM($M$9:M1940)/A1940</f>
        <v>336.03012422360263</v>
      </c>
    </row>
    <row r="1941" spans="1:14" x14ac:dyDescent="0.25">
      <c r="A1941" s="8">
        <v>1933</v>
      </c>
      <c r="B1941" s="9">
        <f t="shared" ca="1" si="375"/>
        <v>1149</v>
      </c>
      <c r="C1941" s="10">
        <f t="shared" ca="1" si="376"/>
        <v>0</v>
      </c>
      <c r="D1941" s="11">
        <f t="shared" ca="1" si="384"/>
        <v>0.39680390349004446</v>
      </c>
      <c r="E1941" s="9">
        <f t="shared" ca="1" si="385"/>
        <v>386</v>
      </c>
      <c r="F1941" s="9">
        <f t="shared" ca="1" si="377"/>
        <v>763</v>
      </c>
      <c r="G1941" s="12" t="str">
        <f t="shared" ca="1" si="378"/>
        <v>Yes</v>
      </c>
      <c r="H1941" s="12">
        <f t="shared" ca="1" si="386"/>
        <v>3.8157661606668225E-2</v>
      </c>
      <c r="I1941" s="10">
        <f t="shared" ca="1" si="379"/>
        <v>1</v>
      </c>
      <c r="J1941" s="13">
        <f t="shared" ca="1" si="380"/>
        <v>300</v>
      </c>
      <c r="K1941" s="14">
        <f t="shared" ca="1" si="381"/>
        <v>152.6</v>
      </c>
      <c r="L1941" s="14">
        <f t="shared" ca="1" si="382"/>
        <v>0</v>
      </c>
      <c r="M1941" s="15">
        <f t="shared" ca="1" si="383"/>
        <v>452.6</v>
      </c>
      <c r="N1941" s="16">
        <f ca="1">SUM($M$9:M1941)/A1941</f>
        <v>336.09042938437676</v>
      </c>
    </row>
    <row r="1942" spans="1:14" x14ac:dyDescent="0.25">
      <c r="A1942" s="8">
        <v>1934</v>
      </c>
      <c r="B1942" s="9">
        <f t="shared" ca="1" si="375"/>
        <v>2563</v>
      </c>
      <c r="C1942" s="10">
        <f t="shared" ca="1" si="376"/>
        <v>1800</v>
      </c>
      <c r="D1942" s="11">
        <f t="shared" ca="1" si="384"/>
        <v>0.95776532372133572</v>
      </c>
      <c r="E1942" s="9">
        <f t="shared" ca="1" si="385"/>
        <v>486</v>
      </c>
      <c r="F1942" s="9">
        <f t="shared" ca="1" si="377"/>
        <v>2077</v>
      </c>
      <c r="G1942" s="12" t="str">
        <f t="shared" ca="1" si="378"/>
        <v>No</v>
      </c>
      <c r="H1942" s="12">
        <f t="shared" ca="1" si="386"/>
        <v>0</v>
      </c>
      <c r="I1942" s="10">
        <f t="shared" ca="1" si="379"/>
        <v>0</v>
      </c>
      <c r="J1942" s="13">
        <f t="shared" ca="1" si="380"/>
        <v>0</v>
      </c>
      <c r="K1942" s="14">
        <f t="shared" ca="1" si="381"/>
        <v>415.40000000000003</v>
      </c>
      <c r="L1942" s="14">
        <f t="shared" ca="1" si="382"/>
        <v>0</v>
      </c>
      <c r="M1942" s="15">
        <f t="shared" ca="1" si="383"/>
        <v>415.40000000000003</v>
      </c>
      <c r="N1942" s="16">
        <f ca="1">SUM($M$9:M1942)/A1942</f>
        <v>336.13143743536727</v>
      </c>
    </row>
    <row r="1943" spans="1:14" x14ac:dyDescent="0.25">
      <c r="A1943" s="8">
        <v>1935</v>
      </c>
      <c r="B1943" s="9">
        <f t="shared" ca="1" si="375"/>
        <v>2077</v>
      </c>
      <c r="C1943" s="10">
        <f t="shared" ca="1" si="376"/>
        <v>0</v>
      </c>
      <c r="D1943" s="11">
        <f t="shared" ca="1" si="384"/>
        <v>0.42238879339582525</v>
      </c>
      <c r="E1943" s="9">
        <f t="shared" ca="1" si="385"/>
        <v>390</v>
      </c>
      <c r="F1943" s="9">
        <f t="shared" ca="1" si="377"/>
        <v>1687</v>
      </c>
      <c r="G1943" s="12" t="str">
        <f t="shared" ca="1" si="378"/>
        <v>No</v>
      </c>
      <c r="H1943" s="12">
        <f t="shared" ca="1" si="386"/>
        <v>0</v>
      </c>
      <c r="I1943" s="10">
        <f t="shared" ca="1" si="379"/>
        <v>0</v>
      </c>
      <c r="J1943" s="13">
        <f t="shared" ca="1" si="380"/>
        <v>0</v>
      </c>
      <c r="K1943" s="14">
        <f t="shared" ca="1" si="381"/>
        <v>337.40000000000003</v>
      </c>
      <c r="L1943" s="14">
        <f t="shared" ca="1" si="382"/>
        <v>0</v>
      </c>
      <c r="M1943" s="15">
        <f t="shared" ca="1" si="383"/>
        <v>337.40000000000003</v>
      </c>
      <c r="N1943" s="16">
        <f ca="1">SUM($M$9:M1943)/A1943</f>
        <v>336.132093023256</v>
      </c>
    </row>
    <row r="1944" spans="1:14" x14ac:dyDescent="0.25">
      <c r="A1944" s="8">
        <v>1936</v>
      </c>
      <c r="B1944" s="9">
        <f t="shared" ca="1" si="375"/>
        <v>1687</v>
      </c>
      <c r="C1944" s="10">
        <f t="shared" ca="1" si="376"/>
        <v>0</v>
      </c>
      <c r="D1944" s="11">
        <f t="shared" ca="1" si="384"/>
        <v>0.39929715685203837</v>
      </c>
      <c r="E1944" s="9">
        <f t="shared" ca="1" si="385"/>
        <v>387</v>
      </c>
      <c r="F1944" s="9">
        <f t="shared" ca="1" si="377"/>
        <v>1300</v>
      </c>
      <c r="G1944" s="12" t="str">
        <f t="shared" ca="1" si="378"/>
        <v>No</v>
      </c>
      <c r="H1944" s="12">
        <f t="shared" ca="1" si="386"/>
        <v>0</v>
      </c>
      <c r="I1944" s="10">
        <f t="shared" ca="1" si="379"/>
        <v>0</v>
      </c>
      <c r="J1944" s="13">
        <f t="shared" ca="1" si="380"/>
        <v>0</v>
      </c>
      <c r="K1944" s="14">
        <f t="shared" ca="1" si="381"/>
        <v>260</v>
      </c>
      <c r="L1944" s="14">
        <f t="shared" ca="1" si="382"/>
        <v>0</v>
      </c>
      <c r="M1944" s="15">
        <f t="shared" ca="1" si="383"/>
        <v>260</v>
      </c>
      <c r="N1944" s="16">
        <f ca="1">SUM($M$9:M1944)/A1944</f>
        <v>336.09276859504149</v>
      </c>
    </row>
    <row r="1945" spans="1:14" x14ac:dyDescent="0.25">
      <c r="A1945" s="8">
        <v>1937</v>
      </c>
      <c r="B1945" s="9">
        <f t="shared" ca="1" si="375"/>
        <v>1300</v>
      </c>
      <c r="C1945" s="10">
        <f t="shared" ca="1" si="376"/>
        <v>0</v>
      </c>
      <c r="D1945" s="11">
        <f t="shared" ca="1" si="384"/>
        <v>0.51283688743564082</v>
      </c>
      <c r="E1945" s="9">
        <f t="shared" ca="1" si="385"/>
        <v>401</v>
      </c>
      <c r="F1945" s="9">
        <f t="shared" ca="1" si="377"/>
        <v>899</v>
      </c>
      <c r="G1945" s="12" t="str">
        <f t="shared" ca="1" si="378"/>
        <v>Yes</v>
      </c>
      <c r="H1945" s="12">
        <f t="shared" ca="1" si="386"/>
        <v>0.93618453162255832</v>
      </c>
      <c r="I1945" s="10">
        <f t="shared" ca="1" si="379"/>
        <v>3</v>
      </c>
      <c r="J1945" s="13">
        <f t="shared" ca="1" si="380"/>
        <v>300</v>
      </c>
      <c r="K1945" s="14">
        <f t="shared" ca="1" si="381"/>
        <v>179.8</v>
      </c>
      <c r="L1945" s="14">
        <f t="shared" ca="1" si="382"/>
        <v>0</v>
      </c>
      <c r="M1945" s="15">
        <f t="shared" ca="1" si="383"/>
        <v>479.8</v>
      </c>
      <c r="N1945" s="16">
        <f ca="1">SUM($M$9:M1945)/A1945</f>
        <v>336.16695921528157</v>
      </c>
    </row>
    <row r="1946" spans="1:14" x14ac:dyDescent="0.25">
      <c r="A1946" s="8">
        <v>1938</v>
      </c>
      <c r="B1946" s="9">
        <f t="shared" ca="1" si="375"/>
        <v>899</v>
      </c>
      <c r="C1946" s="10">
        <f t="shared" ca="1" si="376"/>
        <v>0</v>
      </c>
      <c r="D1946" s="11">
        <f t="shared" ca="1" si="384"/>
        <v>0.18718450617246885</v>
      </c>
      <c r="E1946" s="9">
        <f t="shared" ca="1" si="385"/>
        <v>355</v>
      </c>
      <c r="F1946" s="9">
        <f t="shared" ca="1" si="377"/>
        <v>544</v>
      </c>
      <c r="G1946" s="12" t="str">
        <f t="shared" ca="1" si="378"/>
        <v>No</v>
      </c>
      <c r="H1946" s="12">
        <f t="shared" ca="1" si="386"/>
        <v>0</v>
      </c>
      <c r="I1946" s="10">
        <f t="shared" ca="1" si="379"/>
        <v>2</v>
      </c>
      <c r="J1946" s="13">
        <f t="shared" ca="1" si="380"/>
        <v>0</v>
      </c>
      <c r="K1946" s="14">
        <f t="shared" ca="1" si="381"/>
        <v>108.80000000000001</v>
      </c>
      <c r="L1946" s="14">
        <f t="shared" ca="1" si="382"/>
        <v>0</v>
      </c>
      <c r="M1946" s="15">
        <f t="shared" ca="1" si="383"/>
        <v>108.80000000000001</v>
      </c>
      <c r="N1946" s="16">
        <f ca="1">SUM($M$9:M1946)/A1946</f>
        <v>336.04963880288977</v>
      </c>
    </row>
    <row r="1947" spans="1:14" x14ac:dyDescent="0.25">
      <c r="A1947" s="8">
        <v>1939</v>
      </c>
      <c r="B1947" s="9">
        <f t="shared" ca="1" si="375"/>
        <v>544</v>
      </c>
      <c r="C1947" s="10">
        <f t="shared" ca="1" si="376"/>
        <v>0</v>
      </c>
      <c r="D1947" s="11">
        <f t="shared" ca="1" si="384"/>
        <v>0.10358001018876783</v>
      </c>
      <c r="E1947" s="9">
        <f t="shared" ca="1" si="385"/>
        <v>336</v>
      </c>
      <c r="F1947" s="9">
        <f t="shared" ca="1" si="377"/>
        <v>208</v>
      </c>
      <c r="G1947" s="12" t="str">
        <f t="shared" ca="1" si="378"/>
        <v>No</v>
      </c>
      <c r="H1947" s="12">
        <f t="shared" ca="1" si="386"/>
        <v>0</v>
      </c>
      <c r="I1947" s="10">
        <f t="shared" ca="1" si="379"/>
        <v>1</v>
      </c>
      <c r="J1947" s="13">
        <f t="shared" ca="1" si="380"/>
        <v>0</v>
      </c>
      <c r="K1947" s="14">
        <f t="shared" ca="1" si="381"/>
        <v>41.6</v>
      </c>
      <c r="L1947" s="14">
        <f t="shared" ca="1" si="382"/>
        <v>0</v>
      </c>
      <c r="M1947" s="15">
        <f t="shared" ca="1" si="383"/>
        <v>41.6</v>
      </c>
      <c r="N1947" s="16">
        <f ca="1">SUM($M$9:M1947)/A1947</f>
        <v>335.89778236204251</v>
      </c>
    </row>
    <row r="1948" spans="1:14" x14ac:dyDescent="0.25">
      <c r="A1948" s="8">
        <v>1940</v>
      </c>
      <c r="B1948" s="9">
        <f t="shared" ca="1" si="375"/>
        <v>2008</v>
      </c>
      <c r="C1948" s="10">
        <f t="shared" ca="1" si="376"/>
        <v>1800</v>
      </c>
      <c r="D1948" s="11">
        <f t="shared" ca="1" si="384"/>
        <v>0.14496019637743351</v>
      </c>
      <c r="E1948" s="9">
        <f t="shared" ca="1" si="385"/>
        <v>347</v>
      </c>
      <c r="F1948" s="9">
        <f t="shared" ca="1" si="377"/>
        <v>1661</v>
      </c>
      <c r="G1948" s="12" t="str">
        <f t="shared" ca="1" si="378"/>
        <v>No</v>
      </c>
      <c r="H1948" s="12">
        <f t="shared" ca="1" si="386"/>
        <v>0</v>
      </c>
      <c r="I1948" s="10">
        <f t="shared" ca="1" si="379"/>
        <v>0</v>
      </c>
      <c r="J1948" s="13">
        <f t="shared" ca="1" si="380"/>
        <v>0</v>
      </c>
      <c r="K1948" s="14">
        <f t="shared" ca="1" si="381"/>
        <v>332.20000000000005</v>
      </c>
      <c r="L1948" s="14">
        <f t="shared" ca="1" si="382"/>
        <v>0</v>
      </c>
      <c r="M1948" s="15">
        <f t="shared" ca="1" si="383"/>
        <v>332.20000000000005</v>
      </c>
      <c r="N1948" s="16">
        <f ca="1">SUM($M$9:M1948)/A1948</f>
        <v>335.89587628865996</v>
      </c>
    </row>
    <row r="1949" spans="1:14" x14ac:dyDescent="0.25">
      <c r="A1949" s="8">
        <v>1941</v>
      </c>
      <c r="B1949" s="9">
        <f t="shared" ca="1" si="375"/>
        <v>1661</v>
      </c>
      <c r="C1949" s="10">
        <f t="shared" ca="1" si="376"/>
        <v>0</v>
      </c>
      <c r="D1949" s="11">
        <f t="shared" ca="1" si="384"/>
        <v>0.27638312363309636</v>
      </c>
      <c r="E1949" s="9">
        <f t="shared" ca="1" si="385"/>
        <v>370</v>
      </c>
      <c r="F1949" s="9">
        <f t="shared" ca="1" si="377"/>
        <v>1291</v>
      </c>
      <c r="G1949" s="12" t="str">
        <f t="shared" ca="1" si="378"/>
        <v>No</v>
      </c>
      <c r="H1949" s="12">
        <f t="shared" ca="1" si="386"/>
        <v>0</v>
      </c>
      <c r="I1949" s="10">
        <f t="shared" ca="1" si="379"/>
        <v>0</v>
      </c>
      <c r="J1949" s="13">
        <f t="shared" ca="1" si="380"/>
        <v>0</v>
      </c>
      <c r="K1949" s="14">
        <f t="shared" ca="1" si="381"/>
        <v>258.2</v>
      </c>
      <c r="L1949" s="14">
        <f t="shared" ca="1" si="382"/>
        <v>0</v>
      </c>
      <c r="M1949" s="15">
        <f t="shared" ca="1" si="383"/>
        <v>258.2</v>
      </c>
      <c r="N1949" s="16">
        <f ca="1">SUM($M$9:M1949)/A1949</f>
        <v>335.85584750128817</v>
      </c>
    </row>
    <row r="1950" spans="1:14" x14ac:dyDescent="0.25">
      <c r="A1950" s="8">
        <v>1942</v>
      </c>
      <c r="B1950" s="9">
        <f t="shared" ca="1" si="375"/>
        <v>1291</v>
      </c>
      <c r="C1950" s="10">
        <f t="shared" ca="1" si="376"/>
        <v>0</v>
      </c>
      <c r="D1950" s="11">
        <f t="shared" ca="1" si="384"/>
        <v>0.73016975084202007</v>
      </c>
      <c r="E1950" s="9">
        <f t="shared" ca="1" si="385"/>
        <v>430</v>
      </c>
      <c r="F1950" s="9">
        <f t="shared" ca="1" si="377"/>
        <v>861</v>
      </c>
      <c r="G1950" s="12" t="str">
        <f t="shared" ca="1" si="378"/>
        <v>Yes</v>
      </c>
      <c r="H1950" s="12">
        <f t="shared" ca="1" si="386"/>
        <v>0.19400102843445699</v>
      </c>
      <c r="I1950" s="10">
        <f t="shared" ca="1" si="379"/>
        <v>1</v>
      </c>
      <c r="J1950" s="13">
        <f t="shared" ca="1" si="380"/>
        <v>300</v>
      </c>
      <c r="K1950" s="14">
        <f t="shared" ca="1" si="381"/>
        <v>172.20000000000002</v>
      </c>
      <c r="L1950" s="14">
        <f t="shared" ca="1" si="382"/>
        <v>0</v>
      </c>
      <c r="M1950" s="15">
        <f t="shared" ca="1" si="383"/>
        <v>472.20000000000005</v>
      </c>
      <c r="N1950" s="16">
        <f ca="1">SUM($M$9:M1950)/A1950</f>
        <v>335.92605561277048</v>
      </c>
    </row>
    <row r="1951" spans="1:14" x14ac:dyDescent="0.25">
      <c r="A1951" s="8">
        <v>1943</v>
      </c>
      <c r="B1951" s="9">
        <f t="shared" ca="1" si="375"/>
        <v>2661</v>
      </c>
      <c r="C1951" s="10">
        <f t="shared" ca="1" si="376"/>
        <v>1800</v>
      </c>
      <c r="D1951" s="11">
        <f t="shared" ca="1" si="384"/>
        <v>0.8461262129782523</v>
      </c>
      <c r="E1951" s="9">
        <f t="shared" ca="1" si="385"/>
        <v>450</v>
      </c>
      <c r="F1951" s="9">
        <f t="shared" ca="1" si="377"/>
        <v>2211</v>
      </c>
      <c r="G1951" s="12" t="str">
        <f t="shared" ca="1" si="378"/>
        <v>No</v>
      </c>
      <c r="H1951" s="12">
        <f t="shared" ca="1" si="386"/>
        <v>0</v>
      </c>
      <c r="I1951" s="10">
        <f t="shared" ca="1" si="379"/>
        <v>0</v>
      </c>
      <c r="J1951" s="13">
        <f t="shared" ca="1" si="380"/>
        <v>0</v>
      </c>
      <c r="K1951" s="14">
        <f t="shared" ca="1" si="381"/>
        <v>442.20000000000005</v>
      </c>
      <c r="L1951" s="14">
        <f t="shared" ca="1" si="382"/>
        <v>0</v>
      </c>
      <c r="M1951" s="15">
        <f t="shared" ca="1" si="383"/>
        <v>442.20000000000005</v>
      </c>
      <c r="N1951" s="16">
        <f ca="1">SUM($M$9:M1951)/A1951</f>
        <v>335.98075141533724</v>
      </c>
    </row>
    <row r="1952" spans="1:14" x14ac:dyDescent="0.25">
      <c r="A1952" s="8">
        <v>1944</v>
      </c>
      <c r="B1952" s="9">
        <f t="shared" ca="1" si="375"/>
        <v>2211</v>
      </c>
      <c r="C1952" s="10">
        <f t="shared" ca="1" si="376"/>
        <v>0</v>
      </c>
      <c r="D1952" s="11">
        <f t="shared" ca="1" si="384"/>
        <v>1.8967414675664762E-2</v>
      </c>
      <c r="E1952" s="9">
        <f t="shared" ca="1" si="385"/>
        <v>296</v>
      </c>
      <c r="F1952" s="9">
        <f t="shared" ca="1" si="377"/>
        <v>1915</v>
      </c>
      <c r="G1952" s="12" t="str">
        <f t="shared" ca="1" si="378"/>
        <v>No</v>
      </c>
      <c r="H1952" s="12">
        <f t="shared" ca="1" si="386"/>
        <v>0</v>
      </c>
      <c r="I1952" s="10">
        <f t="shared" ca="1" si="379"/>
        <v>0</v>
      </c>
      <c r="J1952" s="13">
        <f t="shared" ca="1" si="380"/>
        <v>0</v>
      </c>
      <c r="K1952" s="14">
        <f t="shared" ca="1" si="381"/>
        <v>383</v>
      </c>
      <c r="L1952" s="14">
        <f t="shared" ca="1" si="382"/>
        <v>0</v>
      </c>
      <c r="M1952" s="15">
        <f t="shared" ca="1" si="383"/>
        <v>383</v>
      </c>
      <c r="N1952" s="16">
        <f ca="1">SUM($M$9:M1952)/A1952</f>
        <v>336.00493827160506</v>
      </c>
    </row>
    <row r="1953" spans="1:14" x14ac:dyDescent="0.25">
      <c r="A1953" s="8">
        <v>1945</v>
      </c>
      <c r="B1953" s="9">
        <f t="shared" ca="1" si="375"/>
        <v>1915</v>
      </c>
      <c r="C1953" s="10">
        <f t="shared" ca="1" si="376"/>
        <v>0</v>
      </c>
      <c r="D1953" s="11">
        <f t="shared" ca="1" si="384"/>
        <v>0.90771345902155509</v>
      </c>
      <c r="E1953" s="9">
        <f t="shared" ca="1" si="385"/>
        <v>466</v>
      </c>
      <c r="F1953" s="9">
        <f t="shared" ca="1" si="377"/>
        <v>1449</v>
      </c>
      <c r="G1953" s="12" t="str">
        <f t="shared" ca="1" si="378"/>
        <v>No</v>
      </c>
      <c r="H1953" s="12">
        <f t="shared" ca="1" si="386"/>
        <v>0</v>
      </c>
      <c r="I1953" s="10">
        <f t="shared" ca="1" si="379"/>
        <v>0</v>
      </c>
      <c r="J1953" s="13">
        <f t="shared" ca="1" si="380"/>
        <v>0</v>
      </c>
      <c r="K1953" s="14">
        <f t="shared" ca="1" si="381"/>
        <v>289.8</v>
      </c>
      <c r="L1953" s="14">
        <f t="shared" ca="1" si="382"/>
        <v>0</v>
      </c>
      <c r="M1953" s="15">
        <f t="shared" ca="1" si="383"/>
        <v>289.8</v>
      </c>
      <c r="N1953" s="16">
        <f ca="1">SUM($M$9:M1953)/A1953</f>
        <v>335.98118251928031</v>
      </c>
    </row>
    <row r="1954" spans="1:14" x14ac:dyDescent="0.25">
      <c r="A1954" s="8">
        <v>1946</v>
      </c>
      <c r="B1954" s="9">
        <f t="shared" ca="1" si="375"/>
        <v>1449</v>
      </c>
      <c r="C1954" s="10">
        <f t="shared" ca="1" si="376"/>
        <v>0</v>
      </c>
      <c r="D1954" s="11">
        <f t="shared" ca="1" si="384"/>
        <v>0.99415356132740818</v>
      </c>
      <c r="E1954" s="9">
        <f t="shared" ca="1" si="385"/>
        <v>526</v>
      </c>
      <c r="F1954" s="9">
        <f t="shared" ca="1" si="377"/>
        <v>923</v>
      </c>
      <c r="G1954" s="12" t="str">
        <f t="shared" ca="1" si="378"/>
        <v>No</v>
      </c>
      <c r="H1954" s="12">
        <f t="shared" ca="1" si="386"/>
        <v>0</v>
      </c>
      <c r="I1954" s="10">
        <f t="shared" ca="1" si="379"/>
        <v>0</v>
      </c>
      <c r="J1954" s="13">
        <f t="shared" ca="1" si="380"/>
        <v>0</v>
      </c>
      <c r="K1954" s="14">
        <f t="shared" ca="1" si="381"/>
        <v>184.60000000000002</v>
      </c>
      <c r="L1954" s="14">
        <f t="shared" ca="1" si="382"/>
        <v>0</v>
      </c>
      <c r="M1954" s="15">
        <f t="shared" ca="1" si="383"/>
        <v>184.60000000000002</v>
      </c>
      <c r="N1954" s="16">
        <f ca="1">SUM($M$9:M1954)/A1954</f>
        <v>335.90339157245643</v>
      </c>
    </row>
    <row r="1955" spans="1:14" x14ac:dyDescent="0.25">
      <c r="A1955" s="8">
        <v>1947</v>
      </c>
      <c r="B1955" s="9">
        <f t="shared" ca="1" si="375"/>
        <v>923</v>
      </c>
      <c r="C1955" s="10">
        <f t="shared" ca="1" si="376"/>
        <v>0</v>
      </c>
      <c r="D1955" s="11">
        <f t="shared" ca="1" si="384"/>
        <v>0.17138379093851808</v>
      </c>
      <c r="E1955" s="9">
        <f t="shared" ca="1" si="385"/>
        <v>352</v>
      </c>
      <c r="F1955" s="9">
        <f t="shared" ca="1" si="377"/>
        <v>571</v>
      </c>
      <c r="G1955" s="12" t="str">
        <f t="shared" ca="1" si="378"/>
        <v>Yes</v>
      </c>
      <c r="H1955" s="12">
        <f t="shared" ca="1" si="386"/>
        <v>0.33837492854924611</v>
      </c>
      <c r="I1955" s="10">
        <f t="shared" ca="1" si="379"/>
        <v>1</v>
      </c>
      <c r="J1955" s="13">
        <f t="shared" ca="1" si="380"/>
        <v>300</v>
      </c>
      <c r="K1955" s="14">
        <f t="shared" ca="1" si="381"/>
        <v>114.2</v>
      </c>
      <c r="L1955" s="14">
        <f t="shared" ca="1" si="382"/>
        <v>0</v>
      </c>
      <c r="M1955" s="15">
        <f t="shared" ca="1" si="383"/>
        <v>414.2</v>
      </c>
      <c r="N1955" s="16">
        <f ca="1">SUM($M$9:M1955)/A1955</f>
        <v>335.94360554699546</v>
      </c>
    </row>
    <row r="1956" spans="1:14" x14ac:dyDescent="0.25">
      <c r="A1956" s="8">
        <v>1948</v>
      </c>
      <c r="B1956" s="9">
        <f t="shared" ca="1" si="375"/>
        <v>2371</v>
      </c>
      <c r="C1956" s="10">
        <f t="shared" ca="1" si="376"/>
        <v>1800</v>
      </c>
      <c r="D1956" s="11">
        <f t="shared" ca="1" si="384"/>
        <v>0.95752846164527361</v>
      </c>
      <c r="E1956" s="9">
        <f t="shared" ca="1" si="385"/>
        <v>486</v>
      </c>
      <c r="F1956" s="9">
        <f t="shared" ca="1" si="377"/>
        <v>1885</v>
      </c>
      <c r="G1956" s="12" t="str">
        <f t="shared" ca="1" si="378"/>
        <v>No</v>
      </c>
      <c r="H1956" s="12">
        <f t="shared" ca="1" si="386"/>
        <v>0</v>
      </c>
      <c r="I1956" s="10">
        <f t="shared" ca="1" si="379"/>
        <v>0</v>
      </c>
      <c r="J1956" s="13">
        <f t="shared" ca="1" si="380"/>
        <v>0</v>
      </c>
      <c r="K1956" s="14">
        <f t="shared" ca="1" si="381"/>
        <v>377</v>
      </c>
      <c r="L1956" s="14">
        <f t="shared" ca="1" si="382"/>
        <v>0</v>
      </c>
      <c r="M1956" s="15">
        <f t="shared" ca="1" si="383"/>
        <v>377</v>
      </c>
      <c r="N1956" s="16">
        <f ca="1">SUM($M$9:M1956)/A1956</f>
        <v>335.96468172484612</v>
      </c>
    </row>
    <row r="1957" spans="1:14" x14ac:dyDescent="0.25">
      <c r="A1957" s="8">
        <v>1949</v>
      </c>
      <c r="B1957" s="9">
        <f t="shared" ca="1" si="375"/>
        <v>1885</v>
      </c>
      <c r="C1957" s="10">
        <f t="shared" ca="1" si="376"/>
        <v>0</v>
      </c>
      <c r="D1957" s="11">
        <f t="shared" ca="1" si="384"/>
        <v>0.62185190633134502</v>
      </c>
      <c r="E1957" s="9">
        <f t="shared" ca="1" si="385"/>
        <v>415</v>
      </c>
      <c r="F1957" s="9">
        <f t="shared" ca="1" si="377"/>
        <v>1470</v>
      </c>
      <c r="G1957" s="12" t="str">
        <f t="shared" ca="1" si="378"/>
        <v>No</v>
      </c>
      <c r="H1957" s="12">
        <f t="shared" ca="1" si="386"/>
        <v>0</v>
      </c>
      <c r="I1957" s="10">
        <f t="shared" ca="1" si="379"/>
        <v>0</v>
      </c>
      <c r="J1957" s="13">
        <f t="shared" ca="1" si="380"/>
        <v>0</v>
      </c>
      <c r="K1957" s="14">
        <f t="shared" ca="1" si="381"/>
        <v>294</v>
      </c>
      <c r="L1957" s="14">
        <f t="shared" ca="1" si="382"/>
        <v>0</v>
      </c>
      <c r="M1957" s="15">
        <f t="shared" ca="1" si="383"/>
        <v>294</v>
      </c>
      <c r="N1957" s="16">
        <f ca="1">SUM($M$9:M1957)/A1957</f>
        <v>335.94315033350443</v>
      </c>
    </row>
    <row r="1958" spans="1:14" x14ac:dyDescent="0.25">
      <c r="A1958" s="8">
        <v>1950</v>
      </c>
      <c r="B1958" s="9">
        <f t="shared" ca="1" si="375"/>
        <v>1470</v>
      </c>
      <c r="C1958" s="10">
        <f t="shared" ca="1" si="376"/>
        <v>0</v>
      </c>
      <c r="D1958" s="11">
        <f t="shared" ca="1" si="384"/>
        <v>0.99519420649243961</v>
      </c>
      <c r="E1958" s="9">
        <f t="shared" ca="1" si="385"/>
        <v>529</v>
      </c>
      <c r="F1958" s="9">
        <f t="shared" ca="1" si="377"/>
        <v>941</v>
      </c>
      <c r="G1958" s="12" t="str">
        <f t="shared" ca="1" si="378"/>
        <v>No</v>
      </c>
      <c r="H1958" s="12">
        <f t="shared" ca="1" si="386"/>
        <v>0</v>
      </c>
      <c r="I1958" s="10">
        <f t="shared" ca="1" si="379"/>
        <v>0</v>
      </c>
      <c r="J1958" s="13">
        <f t="shared" ca="1" si="380"/>
        <v>0</v>
      </c>
      <c r="K1958" s="14">
        <f t="shared" ca="1" si="381"/>
        <v>188.20000000000002</v>
      </c>
      <c r="L1958" s="14">
        <f t="shared" ca="1" si="382"/>
        <v>0</v>
      </c>
      <c r="M1958" s="15">
        <f t="shared" ca="1" si="383"/>
        <v>188.20000000000002</v>
      </c>
      <c r="N1958" s="16">
        <f ca="1">SUM($M$9:M1958)/A1958</f>
        <v>335.86738461538471</v>
      </c>
    </row>
    <row r="1959" spans="1:14" x14ac:dyDescent="0.25">
      <c r="A1959" s="8">
        <v>1951</v>
      </c>
      <c r="B1959" s="9">
        <f t="shared" ca="1" si="375"/>
        <v>941</v>
      </c>
      <c r="C1959" s="10">
        <f t="shared" ca="1" si="376"/>
        <v>0</v>
      </c>
      <c r="D1959" s="11">
        <f t="shared" ca="1" si="384"/>
        <v>0.91838886315513901</v>
      </c>
      <c r="E1959" s="9">
        <f t="shared" ca="1" si="385"/>
        <v>469</v>
      </c>
      <c r="F1959" s="9">
        <f t="shared" ca="1" si="377"/>
        <v>472</v>
      </c>
      <c r="G1959" s="12" t="str">
        <f t="shared" ca="1" si="378"/>
        <v>Yes</v>
      </c>
      <c r="H1959" s="12">
        <f t="shared" ca="1" si="386"/>
        <v>0.35845358363884772</v>
      </c>
      <c r="I1959" s="10">
        <f t="shared" ca="1" si="379"/>
        <v>1</v>
      </c>
      <c r="J1959" s="13">
        <f t="shared" ca="1" si="380"/>
        <v>300</v>
      </c>
      <c r="K1959" s="14">
        <f t="shared" ca="1" si="381"/>
        <v>94.4</v>
      </c>
      <c r="L1959" s="14">
        <f t="shared" ca="1" si="382"/>
        <v>0</v>
      </c>
      <c r="M1959" s="15">
        <f t="shared" ca="1" si="383"/>
        <v>394.4</v>
      </c>
      <c r="N1959" s="16">
        <f ca="1">SUM($M$9:M1959)/A1959</f>
        <v>335.89738595592013</v>
      </c>
    </row>
    <row r="1960" spans="1:14" x14ac:dyDescent="0.25">
      <c r="A1960" s="8">
        <v>1952</v>
      </c>
      <c r="B1960" s="9">
        <f t="shared" ca="1" si="375"/>
        <v>2272</v>
      </c>
      <c r="C1960" s="10">
        <f t="shared" ca="1" si="376"/>
        <v>1800</v>
      </c>
      <c r="D1960" s="11">
        <f t="shared" ca="1" si="384"/>
        <v>0.95075321430332749</v>
      </c>
      <c r="E1960" s="9">
        <f t="shared" ca="1" si="385"/>
        <v>482</v>
      </c>
      <c r="F1960" s="9">
        <f t="shared" ca="1" si="377"/>
        <v>1790</v>
      </c>
      <c r="G1960" s="12" t="str">
        <f t="shared" ca="1" si="378"/>
        <v>No</v>
      </c>
      <c r="H1960" s="12">
        <f t="shared" ca="1" si="386"/>
        <v>0</v>
      </c>
      <c r="I1960" s="10">
        <f t="shared" ca="1" si="379"/>
        <v>0</v>
      </c>
      <c r="J1960" s="13">
        <f t="shared" ca="1" si="380"/>
        <v>0</v>
      </c>
      <c r="K1960" s="14">
        <f t="shared" ca="1" si="381"/>
        <v>358</v>
      </c>
      <c r="L1960" s="14">
        <f t="shared" ca="1" si="382"/>
        <v>0</v>
      </c>
      <c r="M1960" s="15">
        <f t="shared" ca="1" si="383"/>
        <v>358</v>
      </c>
      <c r="N1960" s="16">
        <f ca="1">SUM($M$9:M1960)/A1960</f>
        <v>335.90870901639352</v>
      </c>
    </row>
    <row r="1961" spans="1:14" x14ac:dyDescent="0.25">
      <c r="A1961" s="8">
        <v>1953</v>
      </c>
      <c r="B1961" s="9">
        <f t="shared" ca="1" si="375"/>
        <v>1790</v>
      </c>
      <c r="C1961" s="10">
        <f t="shared" ca="1" si="376"/>
        <v>0</v>
      </c>
      <c r="D1961" s="11">
        <f t="shared" ca="1" si="384"/>
        <v>0.28637953752410372</v>
      </c>
      <c r="E1961" s="9">
        <f t="shared" ca="1" si="385"/>
        <v>371</v>
      </c>
      <c r="F1961" s="9">
        <f t="shared" ca="1" si="377"/>
        <v>1419</v>
      </c>
      <c r="G1961" s="12" t="str">
        <f t="shared" ca="1" si="378"/>
        <v>No</v>
      </c>
      <c r="H1961" s="12">
        <f t="shared" ca="1" si="386"/>
        <v>0</v>
      </c>
      <c r="I1961" s="10">
        <f t="shared" ca="1" si="379"/>
        <v>0</v>
      </c>
      <c r="J1961" s="13">
        <f t="shared" ca="1" si="380"/>
        <v>0</v>
      </c>
      <c r="K1961" s="14">
        <f t="shared" ca="1" si="381"/>
        <v>283.8</v>
      </c>
      <c r="L1961" s="14">
        <f t="shared" ca="1" si="382"/>
        <v>0</v>
      </c>
      <c r="M1961" s="15">
        <f t="shared" ca="1" si="383"/>
        <v>283.8</v>
      </c>
      <c r="N1961" s="16">
        <f ca="1">SUM($M$9:M1961)/A1961</f>
        <v>335.88202764976967</v>
      </c>
    </row>
    <row r="1962" spans="1:14" x14ac:dyDescent="0.25">
      <c r="A1962" s="8">
        <v>1954</v>
      </c>
      <c r="B1962" s="9">
        <f t="shared" ca="1" si="375"/>
        <v>1419</v>
      </c>
      <c r="C1962" s="10">
        <f t="shared" ca="1" si="376"/>
        <v>0</v>
      </c>
      <c r="D1962" s="11">
        <f t="shared" ca="1" si="384"/>
        <v>1.386708865531483E-2</v>
      </c>
      <c r="E1962" s="9">
        <f t="shared" ca="1" si="385"/>
        <v>289</v>
      </c>
      <c r="F1962" s="9">
        <f t="shared" ca="1" si="377"/>
        <v>1130</v>
      </c>
      <c r="G1962" s="12" t="str">
        <f t="shared" ca="1" si="378"/>
        <v>No</v>
      </c>
      <c r="H1962" s="12">
        <f t="shared" ca="1" si="386"/>
        <v>0</v>
      </c>
      <c r="I1962" s="10">
        <f t="shared" ca="1" si="379"/>
        <v>0</v>
      </c>
      <c r="J1962" s="13">
        <f t="shared" ca="1" si="380"/>
        <v>0</v>
      </c>
      <c r="K1962" s="14">
        <f t="shared" ca="1" si="381"/>
        <v>226</v>
      </c>
      <c r="L1962" s="14">
        <f t="shared" ca="1" si="382"/>
        <v>0</v>
      </c>
      <c r="M1962" s="15">
        <f t="shared" ca="1" si="383"/>
        <v>226</v>
      </c>
      <c r="N1962" s="16">
        <f ca="1">SUM($M$9:M1962)/A1962</f>
        <v>335.82579324462654</v>
      </c>
    </row>
    <row r="1963" spans="1:14" x14ac:dyDescent="0.25">
      <c r="A1963" s="8">
        <v>1955</v>
      </c>
      <c r="B1963" s="9">
        <f t="shared" ca="1" si="375"/>
        <v>1130</v>
      </c>
      <c r="C1963" s="10">
        <f t="shared" ca="1" si="376"/>
        <v>0</v>
      </c>
      <c r="D1963" s="11">
        <f t="shared" ca="1" si="384"/>
        <v>4.9321689778081601E-2</v>
      </c>
      <c r="E1963" s="9">
        <f t="shared" ca="1" si="385"/>
        <v>317</v>
      </c>
      <c r="F1963" s="9">
        <f t="shared" ca="1" si="377"/>
        <v>813</v>
      </c>
      <c r="G1963" s="12" t="str">
        <f t="shared" ca="1" si="378"/>
        <v>Yes</v>
      </c>
      <c r="H1963" s="12">
        <f t="shared" ca="1" si="386"/>
        <v>0.51835103420057416</v>
      </c>
      <c r="I1963" s="10">
        <f t="shared" ca="1" si="379"/>
        <v>1</v>
      </c>
      <c r="J1963" s="13">
        <f t="shared" ca="1" si="380"/>
        <v>300</v>
      </c>
      <c r="K1963" s="14">
        <f t="shared" ca="1" si="381"/>
        <v>162.60000000000002</v>
      </c>
      <c r="L1963" s="14">
        <f t="shared" ca="1" si="382"/>
        <v>0</v>
      </c>
      <c r="M1963" s="15">
        <f t="shared" ca="1" si="383"/>
        <v>462.6</v>
      </c>
      <c r="N1963" s="16">
        <f ca="1">SUM($M$9:M1963)/A1963</f>
        <v>335.89063938618938</v>
      </c>
    </row>
    <row r="1964" spans="1:14" x14ac:dyDescent="0.25">
      <c r="A1964" s="8">
        <v>1956</v>
      </c>
      <c r="B1964" s="9">
        <f t="shared" ca="1" si="375"/>
        <v>2613</v>
      </c>
      <c r="C1964" s="10">
        <f t="shared" ca="1" si="376"/>
        <v>1800</v>
      </c>
      <c r="D1964" s="11">
        <f t="shared" ca="1" si="384"/>
        <v>0.34139529870310426</v>
      </c>
      <c r="E1964" s="9">
        <f t="shared" ca="1" si="385"/>
        <v>379</v>
      </c>
      <c r="F1964" s="9">
        <f t="shared" ca="1" si="377"/>
        <v>2234</v>
      </c>
      <c r="G1964" s="12" t="str">
        <f t="shared" ca="1" si="378"/>
        <v>No</v>
      </c>
      <c r="H1964" s="12">
        <f t="shared" ca="1" si="386"/>
        <v>0</v>
      </c>
      <c r="I1964" s="10">
        <f t="shared" ca="1" si="379"/>
        <v>0</v>
      </c>
      <c r="J1964" s="13">
        <f t="shared" ca="1" si="380"/>
        <v>0</v>
      </c>
      <c r="K1964" s="14">
        <f t="shared" ca="1" si="381"/>
        <v>446.8</v>
      </c>
      <c r="L1964" s="14">
        <f t="shared" ca="1" si="382"/>
        <v>0</v>
      </c>
      <c r="M1964" s="15">
        <f t="shared" ca="1" si="383"/>
        <v>446.8</v>
      </c>
      <c r="N1964" s="16">
        <f ca="1">SUM($M$9:M1964)/A1964</f>
        <v>335.94734151329254</v>
      </c>
    </row>
    <row r="1965" spans="1:14" x14ac:dyDescent="0.25">
      <c r="A1965" s="8">
        <v>1957</v>
      </c>
      <c r="B1965" s="9">
        <f t="shared" ca="1" si="375"/>
        <v>2234</v>
      </c>
      <c r="C1965" s="10">
        <f t="shared" ca="1" si="376"/>
        <v>0</v>
      </c>
      <c r="D1965" s="11">
        <f t="shared" ca="1" si="384"/>
        <v>0.59096002933421499</v>
      </c>
      <c r="E1965" s="9">
        <f t="shared" ca="1" si="385"/>
        <v>411</v>
      </c>
      <c r="F1965" s="9">
        <f t="shared" ca="1" si="377"/>
        <v>1823</v>
      </c>
      <c r="G1965" s="12" t="str">
        <f t="shared" ca="1" si="378"/>
        <v>No</v>
      </c>
      <c r="H1965" s="12">
        <f t="shared" ca="1" si="386"/>
        <v>0</v>
      </c>
      <c r="I1965" s="10">
        <f t="shared" ca="1" si="379"/>
        <v>0</v>
      </c>
      <c r="J1965" s="13">
        <f t="shared" ca="1" si="380"/>
        <v>0</v>
      </c>
      <c r="K1965" s="14">
        <f t="shared" ca="1" si="381"/>
        <v>364.6</v>
      </c>
      <c r="L1965" s="14">
        <f t="shared" ca="1" si="382"/>
        <v>0</v>
      </c>
      <c r="M1965" s="15">
        <f t="shared" ca="1" si="383"/>
        <v>364.6</v>
      </c>
      <c r="N1965" s="16">
        <f ca="1">SUM($M$9:M1965)/A1965</f>
        <v>335.96198262646919</v>
      </c>
    </row>
    <row r="1966" spans="1:14" x14ac:dyDescent="0.25">
      <c r="A1966" s="8">
        <v>1958</v>
      </c>
      <c r="B1966" s="9">
        <f t="shared" ca="1" si="375"/>
        <v>1823</v>
      </c>
      <c r="C1966" s="10">
        <f t="shared" ca="1" si="376"/>
        <v>0</v>
      </c>
      <c r="D1966" s="11">
        <f t="shared" ca="1" si="384"/>
        <v>0.63426691536761315</v>
      </c>
      <c r="E1966" s="9">
        <f t="shared" ca="1" si="385"/>
        <v>417</v>
      </c>
      <c r="F1966" s="9">
        <f t="shared" ca="1" si="377"/>
        <v>1406</v>
      </c>
      <c r="G1966" s="12" t="str">
        <f t="shared" ca="1" si="378"/>
        <v>No</v>
      </c>
      <c r="H1966" s="12">
        <f t="shared" ca="1" si="386"/>
        <v>0</v>
      </c>
      <c r="I1966" s="10">
        <f t="shared" ca="1" si="379"/>
        <v>0</v>
      </c>
      <c r="J1966" s="13">
        <f t="shared" ca="1" si="380"/>
        <v>0</v>
      </c>
      <c r="K1966" s="14">
        <f t="shared" ca="1" si="381"/>
        <v>281.2</v>
      </c>
      <c r="L1966" s="14">
        <f t="shared" ca="1" si="382"/>
        <v>0</v>
      </c>
      <c r="M1966" s="15">
        <f t="shared" ca="1" si="383"/>
        <v>281.2</v>
      </c>
      <c r="N1966" s="16">
        <f ca="1">SUM($M$9:M1966)/A1966</f>
        <v>335.9340143003065</v>
      </c>
    </row>
    <row r="1967" spans="1:14" x14ac:dyDescent="0.25">
      <c r="A1967" s="8">
        <v>1959</v>
      </c>
      <c r="B1967" s="9">
        <f t="shared" ca="1" si="375"/>
        <v>1406</v>
      </c>
      <c r="C1967" s="10">
        <f t="shared" ca="1" si="376"/>
        <v>0</v>
      </c>
      <c r="D1967" s="11">
        <f t="shared" ca="1" si="384"/>
        <v>0.69523244945667995</v>
      </c>
      <c r="E1967" s="9">
        <f t="shared" ca="1" si="385"/>
        <v>425</v>
      </c>
      <c r="F1967" s="9">
        <f t="shared" ca="1" si="377"/>
        <v>981</v>
      </c>
      <c r="G1967" s="12" t="str">
        <f t="shared" ca="1" si="378"/>
        <v>No</v>
      </c>
      <c r="H1967" s="12">
        <f t="shared" ca="1" si="386"/>
        <v>0</v>
      </c>
      <c r="I1967" s="10">
        <f t="shared" ca="1" si="379"/>
        <v>0</v>
      </c>
      <c r="J1967" s="13">
        <f t="shared" ca="1" si="380"/>
        <v>0</v>
      </c>
      <c r="K1967" s="14">
        <f t="shared" ca="1" si="381"/>
        <v>196.20000000000002</v>
      </c>
      <c r="L1967" s="14">
        <f t="shared" ca="1" si="382"/>
        <v>0</v>
      </c>
      <c r="M1967" s="15">
        <f t="shared" ca="1" si="383"/>
        <v>196.20000000000002</v>
      </c>
      <c r="N1967" s="16">
        <f ca="1">SUM($M$9:M1967)/A1967</f>
        <v>335.86268504338955</v>
      </c>
    </row>
    <row r="1968" spans="1:14" x14ac:dyDescent="0.25">
      <c r="A1968" s="8">
        <v>1960</v>
      </c>
      <c r="B1968" s="9">
        <f t="shared" ca="1" si="375"/>
        <v>981</v>
      </c>
      <c r="C1968" s="10">
        <f t="shared" ca="1" si="376"/>
        <v>0</v>
      </c>
      <c r="D1968" s="11">
        <f t="shared" ca="1" si="384"/>
        <v>1.9938897028427438E-2</v>
      </c>
      <c r="E1968" s="9">
        <f t="shared" ca="1" si="385"/>
        <v>297</v>
      </c>
      <c r="F1968" s="9">
        <f t="shared" ca="1" si="377"/>
        <v>684</v>
      </c>
      <c r="G1968" s="12" t="str">
        <f t="shared" ca="1" si="378"/>
        <v>Yes</v>
      </c>
      <c r="H1968" s="12">
        <f t="shared" ca="1" si="386"/>
        <v>0.48601973863465675</v>
      </c>
      <c r="I1968" s="10">
        <f t="shared" ca="1" si="379"/>
        <v>1</v>
      </c>
      <c r="J1968" s="13">
        <f t="shared" ca="1" si="380"/>
        <v>300</v>
      </c>
      <c r="K1968" s="14">
        <f t="shared" ca="1" si="381"/>
        <v>136.80000000000001</v>
      </c>
      <c r="L1968" s="14">
        <f t="shared" ca="1" si="382"/>
        <v>0</v>
      </c>
      <c r="M1968" s="15">
        <f t="shared" ca="1" si="383"/>
        <v>436.8</v>
      </c>
      <c r="N1968" s="16">
        <f ca="1">SUM($M$9:M1968)/A1968</f>
        <v>335.91418367346949</v>
      </c>
    </row>
    <row r="1969" spans="1:14" x14ac:dyDescent="0.25">
      <c r="A1969" s="8">
        <v>1961</v>
      </c>
      <c r="B1969" s="9">
        <f t="shared" ca="1" si="375"/>
        <v>2484</v>
      </c>
      <c r="C1969" s="10">
        <f t="shared" ca="1" si="376"/>
        <v>1800</v>
      </c>
      <c r="D1969" s="11">
        <f t="shared" ca="1" si="384"/>
        <v>0.77851341184195633</v>
      </c>
      <c r="E1969" s="9">
        <f t="shared" ca="1" si="385"/>
        <v>438</v>
      </c>
      <c r="F1969" s="9">
        <f t="shared" ca="1" si="377"/>
        <v>2046</v>
      </c>
      <c r="G1969" s="12" t="str">
        <f t="shared" ca="1" si="378"/>
        <v>No</v>
      </c>
      <c r="H1969" s="12">
        <f t="shared" ca="1" si="386"/>
        <v>0</v>
      </c>
      <c r="I1969" s="10">
        <f t="shared" ca="1" si="379"/>
        <v>0</v>
      </c>
      <c r="J1969" s="13">
        <f t="shared" ca="1" si="380"/>
        <v>0</v>
      </c>
      <c r="K1969" s="14">
        <f t="shared" ca="1" si="381"/>
        <v>409.20000000000005</v>
      </c>
      <c r="L1969" s="14">
        <f t="shared" ca="1" si="382"/>
        <v>0</v>
      </c>
      <c r="M1969" s="15">
        <f t="shared" ca="1" si="383"/>
        <v>409.20000000000005</v>
      </c>
      <c r="N1969" s="16">
        <f ca="1">SUM($M$9:M1969)/A1969</f>
        <v>335.95155532891386</v>
      </c>
    </row>
    <row r="1970" spans="1:14" x14ac:dyDescent="0.25">
      <c r="A1970" s="8">
        <v>1962</v>
      </c>
      <c r="B1970" s="9">
        <f t="shared" ca="1" si="375"/>
        <v>2046</v>
      </c>
      <c r="C1970" s="10">
        <f t="shared" ca="1" si="376"/>
        <v>0</v>
      </c>
      <c r="D1970" s="11">
        <f t="shared" ca="1" si="384"/>
        <v>0.99914229331126792</v>
      </c>
      <c r="E1970" s="9">
        <f t="shared" ca="1" si="385"/>
        <v>556</v>
      </c>
      <c r="F1970" s="9">
        <f t="shared" ca="1" si="377"/>
        <v>1490</v>
      </c>
      <c r="G1970" s="12" t="str">
        <f t="shared" ca="1" si="378"/>
        <v>No</v>
      </c>
      <c r="H1970" s="12">
        <f t="shared" ca="1" si="386"/>
        <v>0</v>
      </c>
      <c r="I1970" s="10">
        <f t="shared" ca="1" si="379"/>
        <v>0</v>
      </c>
      <c r="J1970" s="13">
        <f t="shared" ca="1" si="380"/>
        <v>0</v>
      </c>
      <c r="K1970" s="14">
        <f t="shared" ca="1" si="381"/>
        <v>298</v>
      </c>
      <c r="L1970" s="14">
        <f t="shared" ca="1" si="382"/>
        <v>0</v>
      </c>
      <c r="M1970" s="15">
        <f t="shared" ca="1" si="383"/>
        <v>298</v>
      </c>
      <c r="N1970" s="16">
        <f ca="1">SUM($M$9:M1970)/A1970</f>
        <v>335.93221202854238</v>
      </c>
    </row>
    <row r="1971" spans="1:14" x14ac:dyDescent="0.25">
      <c r="A1971" s="8">
        <v>1963</v>
      </c>
      <c r="B1971" s="9">
        <f t="shared" ca="1" si="375"/>
        <v>1490</v>
      </c>
      <c r="C1971" s="10">
        <f t="shared" ca="1" si="376"/>
        <v>0</v>
      </c>
      <c r="D1971" s="11">
        <f t="shared" ca="1" si="384"/>
        <v>0.97667782780830203</v>
      </c>
      <c r="E1971" s="9">
        <f t="shared" ca="1" si="385"/>
        <v>499</v>
      </c>
      <c r="F1971" s="9">
        <f t="shared" ca="1" si="377"/>
        <v>991</v>
      </c>
      <c r="G1971" s="12" t="str">
        <f t="shared" ca="1" si="378"/>
        <v>No</v>
      </c>
      <c r="H1971" s="12">
        <f t="shared" ca="1" si="386"/>
        <v>0</v>
      </c>
      <c r="I1971" s="10">
        <f t="shared" ca="1" si="379"/>
        <v>0</v>
      </c>
      <c r="J1971" s="13">
        <f t="shared" ca="1" si="380"/>
        <v>0</v>
      </c>
      <c r="K1971" s="14">
        <f t="shared" ca="1" si="381"/>
        <v>198.20000000000002</v>
      </c>
      <c r="L1971" s="14">
        <f t="shared" ca="1" si="382"/>
        <v>0</v>
      </c>
      <c r="M1971" s="15">
        <f t="shared" ca="1" si="383"/>
        <v>198.20000000000002</v>
      </c>
      <c r="N1971" s="16">
        <f ca="1">SUM($M$9:M1971)/A1971</f>
        <v>335.86204788588896</v>
      </c>
    </row>
    <row r="1972" spans="1:14" x14ac:dyDescent="0.25">
      <c r="A1972" s="8">
        <v>1964</v>
      </c>
      <c r="B1972" s="9">
        <f t="shared" ca="1" si="375"/>
        <v>991</v>
      </c>
      <c r="C1972" s="10">
        <f t="shared" ca="1" si="376"/>
        <v>0</v>
      </c>
      <c r="D1972" s="11">
        <f t="shared" ca="1" si="384"/>
        <v>0.17130328556735464</v>
      </c>
      <c r="E1972" s="9">
        <f t="shared" ca="1" si="385"/>
        <v>352</v>
      </c>
      <c r="F1972" s="9">
        <f t="shared" ca="1" si="377"/>
        <v>639</v>
      </c>
      <c r="G1972" s="12" t="str">
        <f t="shared" ca="1" si="378"/>
        <v>Yes</v>
      </c>
      <c r="H1972" s="12">
        <f t="shared" ca="1" si="386"/>
        <v>2.5109124842768171E-3</v>
      </c>
      <c r="I1972" s="10">
        <f t="shared" ca="1" si="379"/>
        <v>1</v>
      </c>
      <c r="J1972" s="13">
        <f t="shared" ca="1" si="380"/>
        <v>300</v>
      </c>
      <c r="K1972" s="14">
        <f t="shared" ca="1" si="381"/>
        <v>127.80000000000001</v>
      </c>
      <c r="L1972" s="14">
        <f t="shared" ca="1" si="382"/>
        <v>0</v>
      </c>
      <c r="M1972" s="15">
        <f t="shared" ca="1" si="383"/>
        <v>427.8</v>
      </c>
      <c r="N1972" s="16">
        <f ca="1">SUM($M$9:M1972)/A1972</f>
        <v>335.90885947046849</v>
      </c>
    </row>
    <row r="1973" spans="1:14" x14ac:dyDescent="0.25">
      <c r="A1973" s="8">
        <v>1965</v>
      </c>
      <c r="B1973" s="9">
        <f t="shared" ca="1" si="375"/>
        <v>2439</v>
      </c>
      <c r="C1973" s="10">
        <f t="shared" ca="1" si="376"/>
        <v>1800</v>
      </c>
      <c r="D1973" s="11">
        <f t="shared" ca="1" si="384"/>
        <v>0.6868362927317474</v>
      </c>
      <c r="E1973" s="9">
        <f t="shared" ca="1" si="385"/>
        <v>424</v>
      </c>
      <c r="F1973" s="9">
        <f t="shared" ca="1" si="377"/>
        <v>2015</v>
      </c>
      <c r="G1973" s="12" t="str">
        <f t="shared" ca="1" si="378"/>
        <v>No</v>
      </c>
      <c r="H1973" s="12">
        <f t="shared" ca="1" si="386"/>
        <v>0</v>
      </c>
      <c r="I1973" s="10">
        <f t="shared" ca="1" si="379"/>
        <v>0</v>
      </c>
      <c r="J1973" s="13">
        <f t="shared" ca="1" si="380"/>
        <v>0</v>
      </c>
      <c r="K1973" s="14">
        <f t="shared" ca="1" si="381"/>
        <v>403</v>
      </c>
      <c r="L1973" s="14">
        <f t="shared" ca="1" si="382"/>
        <v>0</v>
      </c>
      <c r="M1973" s="15">
        <f t="shared" ca="1" si="383"/>
        <v>403</v>
      </c>
      <c r="N1973" s="16">
        <f ca="1">SUM($M$9:M1973)/A1973</f>
        <v>335.94300254452935</v>
      </c>
    </row>
    <row r="1974" spans="1:14" x14ac:dyDescent="0.25">
      <c r="A1974" s="8">
        <v>1966</v>
      </c>
      <c r="B1974" s="9">
        <f t="shared" ca="1" si="375"/>
        <v>2015</v>
      </c>
      <c r="C1974" s="10">
        <f t="shared" ca="1" si="376"/>
        <v>0</v>
      </c>
      <c r="D1974" s="11">
        <f t="shared" ca="1" si="384"/>
        <v>2.3378871335130169E-3</v>
      </c>
      <c r="E1974" s="9">
        <f t="shared" ca="1" si="385"/>
        <v>258</v>
      </c>
      <c r="F1974" s="9">
        <f t="shared" ca="1" si="377"/>
        <v>1757</v>
      </c>
      <c r="G1974" s="12" t="str">
        <f t="shared" ca="1" si="378"/>
        <v>No</v>
      </c>
      <c r="H1974" s="12">
        <f t="shared" ca="1" si="386"/>
        <v>0</v>
      </c>
      <c r="I1974" s="10">
        <f t="shared" ca="1" si="379"/>
        <v>0</v>
      </c>
      <c r="J1974" s="13">
        <f t="shared" ca="1" si="380"/>
        <v>0</v>
      </c>
      <c r="K1974" s="14">
        <f t="shared" ca="1" si="381"/>
        <v>351.40000000000003</v>
      </c>
      <c r="L1974" s="14">
        <f t="shared" ca="1" si="382"/>
        <v>0</v>
      </c>
      <c r="M1974" s="15">
        <f t="shared" ca="1" si="383"/>
        <v>351.40000000000003</v>
      </c>
      <c r="N1974" s="16">
        <f ca="1">SUM($M$9:M1974)/A1974</f>
        <v>335.95086469989832</v>
      </c>
    </row>
    <row r="1975" spans="1:14" x14ac:dyDescent="0.25">
      <c r="A1975" s="8">
        <v>1967</v>
      </c>
      <c r="B1975" s="9">
        <f t="shared" ca="1" si="375"/>
        <v>1757</v>
      </c>
      <c r="C1975" s="10">
        <f t="shared" ca="1" si="376"/>
        <v>0</v>
      </c>
      <c r="D1975" s="11">
        <f t="shared" ca="1" si="384"/>
        <v>0.78717002728146712</v>
      </c>
      <c r="E1975" s="9">
        <f t="shared" ca="1" si="385"/>
        <v>439</v>
      </c>
      <c r="F1975" s="9">
        <f t="shared" ca="1" si="377"/>
        <v>1318</v>
      </c>
      <c r="G1975" s="12" t="str">
        <f t="shared" ca="1" si="378"/>
        <v>No</v>
      </c>
      <c r="H1975" s="12">
        <f t="shared" ca="1" si="386"/>
        <v>0</v>
      </c>
      <c r="I1975" s="10">
        <f t="shared" ca="1" si="379"/>
        <v>0</v>
      </c>
      <c r="J1975" s="13">
        <f t="shared" ca="1" si="380"/>
        <v>0</v>
      </c>
      <c r="K1975" s="14">
        <f t="shared" ca="1" si="381"/>
        <v>263.60000000000002</v>
      </c>
      <c r="L1975" s="14">
        <f t="shared" ca="1" si="382"/>
        <v>0</v>
      </c>
      <c r="M1975" s="15">
        <f t="shared" ca="1" si="383"/>
        <v>263.60000000000002</v>
      </c>
      <c r="N1975" s="16">
        <f ca="1">SUM($M$9:M1975)/A1975</f>
        <v>335.91408235892226</v>
      </c>
    </row>
    <row r="1976" spans="1:14" x14ac:dyDescent="0.25">
      <c r="A1976" s="8">
        <v>1968</v>
      </c>
      <c r="B1976" s="9">
        <f t="shared" ca="1" si="375"/>
        <v>1318</v>
      </c>
      <c r="C1976" s="10">
        <f t="shared" ca="1" si="376"/>
        <v>0</v>
      </c>
      <c r="D1976" s="11">
        <f t="shared" ca="1" si="384"/>
        <v>0.61229808340427161</v>
      </c>
      <c r="E1976" s="9">
        <f t="shared" ca="1" si="385"/>
        <v>414</v>
      </c>
      <c r="F1976" s="9">
        <f t="shared" ca="1" si="377"/>
        <v>904</v>
      </c>
      <c r="G1976" s="12" t="str">
        <f t="shared" ca="1" si="378"/>
        <v>Yes</v>
      </c>
      <c r="H1976" s="12">
        <f t="shared" ca="1" si="386"/>
        <v>0.7347286543614171</v>
      </c>
      <c r="I1976" s="10">
        <f t="shared" ca="1" si="379"/>
        <v>2</v>
      </c>
      <c r="J1976" s="13">
        <f t="shared" ca="1" si="380"/>
        <v>300</v>
      </c>
      <c r="K1976" s="14">
        <f t="shared" ca="1" si="381"/>
        <v>180.8</v>
      </c>
      <c r="L1976" s="14">
        <f t="shared" ca="1" si="382"/>
        <v>0</v>
      </c>
      <c r="M1976" s="15">
        <f t="shared" ca="1" si="383"/>
        <v>480.8</v>
      </c>
      <c r="N1976" s="16">
        <f ca="1">SUM($M$9:M1976)/A1976</f>
        <v>335.98770325203259</v>
      </c>
    </row>
    <row r="1977" spans="1:14" x14ac:dyDescent="0.25">
      <c r="A1977" s="8">
        <v>1969</v>
      </c>
      <c r="B1977" s="9">
        <f t="shared" ca="1" si="375"/>
        <v>904</v>
      </c>
      <c r="C1977" s="10">
        <f t="shared" ca="1" si="376"/>
        <v>0</v>
      </c>
      <c r="D1977" s="11">
        <f t="shared" ca="1" si="384"/>
        <v>0.35006967906605546</v>
      </c>
      <c r="E1977" s="9">
        <f t="shared" ca="1" si="385"/>
        <v>380</v>
      </c>
      <c r="F1977" s="9">
        <f t="shared" ca="1" si="377"/>
        <v>524</v>
      </c>
      <c r="G1977" s="12" t="str">
        <f t="shared" ca="1" si="378"/>
        <v>No</v>
      </c>
      <c r="H1977" s="12">
        <f t="shared" ca="1" si="386"/>
        <v>0</v>
      </c>
      <c r="I1977" s="10">
        <f t="shared" ca="1" si="379"/>
        <v>1</v>
      </c>
      <c r="J1977" s="13">
        <f t="shared" ca="1" si="380"/>
        <v>0</v>
      </c>
      <c r="K1977" s="14">
        <f t="shared" ca="1" si="381"/>
        <v>104.80000000000001</v>
      </c>
      <c r="L1977" s="14">
        <f t="shared" ca="1" si="382"/>
        <v>0</v>
      </c>
      <c r="M1977" s="15">
        <f t="shared" ca="1" si="383"/>
        <v>104.80000000000001</v>
      </c>
      <c r="N1977" s="16">
        <f ca="1">SUM($M$9:M1977)/A1977</f>
        <v>335.87028948704938</v>
      </c>
    </row>
    <row r="1978" spans="1:14" x14ac:dyDescent="0.25">
      <c r="A1978" s="8">
        <v>1970</v>
      </c>
      <c r="B1978" s="9">
        <f t="shared" ca="1" si="375"/>
        <v>2324</v>
      </c>
      <c r="C1978" s="10">
        <f t="shared" ca="1" si="376"/>
        <v>1800</v>
      </c>
      <c r="D1978" s="11">
        <f t="shared" ca="1" si="384"/>
        <v>9.0414390823395641E-2</v>
      </c>
      <c r="E1978" s="9">
        <f t="shared" ca="1" si="385"/>
        <v>333</v>
      </c>
      <c r="F1978" s="9">
        <f t="shared" ca="1" si="377"/>
        <v>1991</v>
      </c>
      <c r="G1978" s="12" t="str">
        <f t="shared" ca="1" si="378"/>
        <v>No</v>
      </c>
      <c r="H1978" s="12">
        <f t="shared" ca="1" si="386"/>
        <v>0</v>
      </c>
      <c r="I1978" s="10">
        <f t="shared" ca="1" si="379"/>
        <v>0</v>
      </c>
      <c r="J1978" s="13">
        <f t="shared" ca="1" si="380"/>
        <v>0</v>
      </c>
      <c r="K1978" s="14">
        <f t="shared" ca="1" si="381"/>
        <v>398.20000000000005</v>
      </c>
      <c r="L1978" s="14">
        <f t="shared" ca="1" si="382"/>
        <v>0</v>
      </c>
      <c r="M1978" s="15">
        <f t="shared" ca="1" si="383"/>
        <v>398.20000000000005</v>
      </c>
      <c r="N1978" s="16">
        <f ca="1">SUM($M$9:M1978)/A1978</f>
        <v>335.90192893401024</v>
      </c>
    </row>
    <row r="1979" spans="1:14" x14ac:dyDescent="0.25">
      <c r="A1979" s="8">
        <v>1971</v>
      </c>
      <c r="B1979" s="9">
        <f t="shared" ca="1" si="375"/>
        <v>1991</v>
      </c>
      <c r="C1979" s="10">
        <f t="shared" ca="1" si="376"/>
        <v>0</v>
      </c>
      <c r="D1979" s="11">
        <f t="shared" ca="1" si="384"/>
        <v>1.6516209015191241E-2</v>
      </c>
      <c r="E1979" s="9">
        <f t="shared" ca="1" si="385"/>
        <v>293</v>
      </c>
      <c r="F1979" s="9">
        <f t="shared" ca="1" si="377"/>
        <v>1698</v>
      </c>
      <c r="G1979" s="12" t="str">
        <f t="shared" ca="1" si="378"/>
        <v>No</v>
      </c>
      <c r="H1979" s="12">
        <f t="shared" ca="1" si="386"/>
        <v>0</v>
      </c>
      <c r="I1979" s="10">
        <f t="shared" ca="1" si="379"/>
        <v>0</v>
      </c>
      <c r="J1979" s="13">
        <f t="shared" ca="1" si="380"/>
        <v>0</v>
      </c>
      <c r="K1979" s="14">
        <f t="shared" ca="1" si="381"/>
        <v>339.6</v>
      </c>
      <c r="L1979" s="14">
        <f t="shared" ca="1" si="382"/>
        <v>0</v>
      </c>
      <c r="M1979" s="15">
        <f t="shared" ca="1" si="383"/>
        <v>339.6</v>
      </c>
      <c r="N1979" s="16">
        <f ca="1">SUM($M$9:M1979)/A1979</f>
        <v>335.90380517503814</v>
      </c>
    </row>
    <row r="1980" spans="1:14" x14ac:dyDescent="0.25">
      <c r="A1980" s="8">
        <v>1972</v>
      </c>
      <c r="B1980" s="9">
        <f t="shared" ca="1" si="375"/>
        <v>1698</v>
      </c>
      <c r="C1980" s="10">
        <f t="shared" ca="1" si="376"/>
        <v>0</v>
      </c>
      <c r="D1980" s="11">
        <f t="shared" ca="1" si="384"/>
        <v>0.41950611834561047</v>
      </c>
      <c r="E1980" s="9">
        <f t="shared" ca="1" si="385"/>
        <v>389</v>
      </c>
      <c r="F1980" s="9">
        <f t="shared" ca="1" si="377"/>
        <v>1309</v>
      </c>
      <c r="G1980" s="12" t="str">
        <f t="shared" ca="1" si="378"/>
        <v>No</v>
      </c>
      <c r="H1980" s="12">
        <f t="shared" ca="1" si="386"/>
        <v>0</v>
      </c>
      <c r="I1980" s="10">
        <f t="shared" ca="1" si="379"/>
        <v>0</v>
      </c>
      <c r="J1980" s="13">
        <f t="shared" ca="1" si="380"/>
        <v>0</v>
      </c>
      <c r="K1980" s="14">
        <f t="shared" ca="1" si="381"/>
        <v>261.8</v>
      </c>
      <c r="L1980" s="14">
        <f t="shared" ca="1" si="382"/>
        <v>0</v>
      </c>
      <c r="M1980" s="15">
        <f t="shared" ca="1" si="383"/>
        <v>261.8</v>
      </c>
      <c r="N1980" s="16">
        <f ca="1">SUM($M$9:M1980)/A1980</f>
        <v>335.86622718052746</v>
      </c>
    </row>
    <row r="1981" spans="1:14" x14ac:dyDescent="0.25">
      <c r="A1981" s="8">
        <v>1973</v>
      </c>
      <c r="B1981" s="9">
        <f t="shared" ref="B1981:B2008" ca="1" si="387">IF(I1980=1,F1980+Quantity,F1980)</f>
        <v>1309</v>
      </c>
      <c r="C1981" s="10">
        <f t="shared" ref="C1981:C2008" ca="1" si="388">IF(I1980=1,Quantity,0)</f>
        <v>0</v>
      </c>
      <c r="D1981" s="11">
        <f t="shared" ca="1" si="384"/>
        <v>0.68868381631717512</v>
      </c>
      <c r="E1981" s="9">
        <f t="shared" ca="1" si="385"/>
        <v>424</v>
      </c>
      <c r="F1981" s="9">
        <f t="shared" ref="F1981:F2008" ca="1" si="389">IF(B1981+C1981-E1981&lt;0,0,B1981-E1981)</f>
        <v>885</v>
      </c>
      <c r="G1981" s="12" t="str">
        <f t="shared" ref="G1981:G2008" ca="1" si="390">IF(B1981&lt;Point,IF(I1980=0,"Yes","No"),"No")</f>
        <v>Yes</v>
      </c>
      <c r="H1981" s="12">
        <f t="shared" ca="1" si="386"/>
        <v>0.60938520842247901</v>
      </c>
      <c r="I1981" s="10">
        <f t="shared" ref="I1981:I2008" ca="1" si="391">IF(I1980&gt;0,I1980-1,(IF(G1981="Yes",(VLOOKUP(H1981,LTD,3)),0)))</f>
        <v>1</v>
      </c>
      <c r="J1981" s="13">
        <f t="shared" ref="J1981:J2008" ca="1" si="392">IF(G1981="Yes",Order_Cost,0)</f>
        <v>300</v>
      </c>
      <c r="K1981" s="14">
        <f t="shared" ref="K1981:K2008" ca="1" si="393">F1981*Holding_Cost</f>
        <v>177</v>
      </c>
      <c r="L1981" s="14">
        <f t="shared" ref="L1981:L2008" ca="1" si="394">IF(B1981+C1981&lt;E1981,Shortage_Cost*(E1981-B1981-C1981),0)</f>
        <v>0</v>
      </c>
      <c r="M1981" s="15">
        <f t="shared" ref="M1981:M2008" ca="1" si="395">SUM(J1981:L1981)</f>
        <v>477</v>
      </c>
      <c r="N1981" s="16">
        <f ca="1">SUM($M$9:M1981)/A1981</f>
        <v>335.93775975671576</v>
      </c>
    </row>
    <row r="1982" spans="1:14" x14ac:dyDescent="0.25">
      <c r="A1982" s="8">
        <v>1974</v>
      </c>
      <c r="B1982" s="9">
        <f t="shared" ca="1" si="387"/>
        <v>2685</v>
      </c>
      <c r="C1982" s="10">
        <f t="shared" ca="1" si="388"/>
        <v>1800</v>
      </c>
      <c r="D1982" s="11">
        <f t="shared" ca="1" si="384"/>
        <v>0.61176585153831065</v>
      </c>
      <c r="E1982" s="9">
        <f t="shared" ca="1" si="385"/>
        <v>414</v>
      </c>
      <c r="F1982" s="9">
        <f t="shared" ca="1" si="389"/>
        <v>2271</v>
      </c>
      <c r="G1982" s="12" t="str">
        <f t="shared" ca="1" si="390"/>
        <v>No</v>
      </c>
      <c r="H1982" s="12">
        <f t="shared" ca="1" si="386"/>
        <v>0</v>
      </c>
      <c r="I1982" s="10">
        <f t="shared" ca="1" si="391"/>
        <v>0</v>
      </c>
      <c r="J1982" s="13">
        <f t="shared" ca="1" si="392"/>
        <v>0</v>
      </c>
      <c r="K1982" s="14">
        <f t="shared" ca="1" si="393"/>
        <v>454.20000000000005</v>
      </c>
      <c r="L1982" s="14">
        <f t="shared" ca="1" si="394"/>
        <v>0</v>
      </c>
      <c r="M1982" s="15">
        <f t="shared" ca="1" si="395"/>
        <v>454.20000000000005</v>
      </c>
      <c r="N1982" s="16">
        <f ca="1">SUM($M$9:M1982)/A1982</f>
        <v>335.99766970618043</v>
      </c>
    </row>
    <row r="1983" spans="1:14" x14ac:dyDescent="0.25">
      <c r="A1983" s="8">
        <v>1975</v>
      </c>
      <c r="B1983" s="9">
        <f t="shared" ca="1" si="387"/>
        <v>2271</v>
      </c>
      <c r="C1983" s="10">
        <f t="shared" ca="1" si="388"/>
        <v>0</v>
      </c>
      <c r="D1983" s="11">
        <f t="shared" ca="1" si="384"/>
        <v>0.29480715602719065</v>
      </c>
      <c r="E1983" s="9">
        <f t="shared" ca="1" si="385"/>
        <v>373</v>
      </c>
      <c r="F1983" s="9">
        <f t="shared" ca="1" si="389"/>
        <v>1898</v>
      </c>
      <c r="G1983" s="12" t="str">
        <f t="shared" ca="1" si="390"/>
        <v>No</v>
      </c>
      <c r="H1983" s="12">
        <f t="shared" ca="1" si="386"/>
        <v>0</v>
      </c>
      <c r="I1983" s="10">
        <f t="shared" ca="1" si="391"/>
        <v>0</v>
      </c>
      <c r="J1983" s="13">
        <f t="shared" ca="1" si="392"/>
        <v>0</v>
      </c>
      <c r="K1983" s="14">
        <f t="shared" ca="1" si="393"/>
        <v>379.6</v>
      </c>
      <c r="L1983" s="14">
        <f t="shared" ca="1" si="394"/>
        <v>0</v>
      </c>
      <c r="M1983" s="15">
        <f t="shared" ca="1" si="395"/>
        <v>379.6</v>
      </c>
      <c r="N1983" s="16">
        <f ca="1">SUM($M$9:M1983)/A1983</f>
        <v>336.01974683544307</v>
      </c>
    </row>
    <row r="1984" spans="1:14" x14ac:dyDescent="0.25">
      <c r="A1984" s="8">
        <v>1976</v>
      </c>
      <c r="B1984" s="9">
        <f t="shared" ca="1" si="387"/>
        <v>1898</v>
      </c>
      <c r="C1984" s="10">
        <f t="shared" ca="1" si="388"/>
        <v>0</v>
      </c>
      <c r="D1984" s="11">
        <f t="shared" ca="1" si="384"/>
        <v>0.10719922527367021</v>
      </c>
      <c r="E1984" s="9">
        <f t="shared" ca="1" si="385"/>
        <v>337</v>
      </c>
      <c r="F1984" s="9">
        <f t="shared" ca="1" si="389"/>
        <v>1561</v>
      </c>
      <c r="G1984" s="12" t="str">
        <f t="shared" ca="1" si="390"/>
        <v>No</v>
      </c>
      <c r="H1984" s="12">
        <f t="shared" ca="1" si="386"/>
        <v>0</v>
      </c>
      <c r="I1984" s="10">
        <f t="shared" ca="1" si="391"/>
        <v>0</v>
      </c>
      <c r="J1984" s="13">
        <f t="shared" ca="1" si="392"/>
        <v>0</v>
      </c>
      <c r="K1984" s="14">
        <f t="shared" ca="1" si="393"/>
        <v>312.20000000000005</v>
      </c>
      <c r="L1984" s="14">
        <f t="shared" ca="1" si="394"/>
        <v>0</v>
      </c>
      <c r="M1984" s="15">
        <f t="shared" ca="1" si="395"/>
        <v>312.20000000000005</v>
      </c>
      <c r="N1984" s="16">
        <f ca="1">SUM($M$9:M1984)/A1984</f>
        <v>336.00769230769237</v>
      </c>
    </row>
    <row r="1985" spans="1:14" x14ac:dyDescent="0.25">
      <c r="A1985" s="8">
        <v>1977</v>
      </c>
      <c r="B1985" s="9">
        <f t="shared" ca="1" si="387"/>
        <v>1561</v>
      </c>
      <c r="C1985" s="10">
        <f t="shared" ca="1" si="388"/>
        <v>0</v>
      </c>
      <c r="D1985" s="11">
        <f t="shared" ca="1" si="384"/>
        <v>2.8987877757993386E-2</v>
      </c>
      <c r="E1985" s="9">
        <f t="shared" ca="1" si="385"/>
        <v>305</v>
      </c>
      <c r="F1985" s="9">
        <f t="shared" ca="1" si="389"/>
        <v>1256</v>
      </c>
      <c r="G1985" s="12" t="str">
        <f t="shared" ca="1" si="390"/>
        <v>No</v>
      </c>
      <c r="H1985" s="12">
        <f t="shared" ca="1" si="386"/>
        <v>0</v>
      </c>
      <c r="I1985" s="10">
        <f t="shared" ca="1" si="391"/>
        <v>0</v>
      </c>
      <c r="J1985" s="13">
        <f t="shared" ca="1" si="392"/>
        <v>0</v>
      </c>
      <c r="K1985" s="14">
        <f t="shared" ca="1" si="393"/>
        <v>251.20000000000002</v>
      </c>
      <c r="L1985" s="14">
        <f t="shared" ca="1" si="394"/>
        <v>0</v>
      </c>
      <c r="M1985" s="15">
        <f t="shared" ca="1" si="395"/>
        <v>251.20000000000002</v>
      </c>
      <c r="N1985" s="16">
        <f ca="1">SUM($M$9:M1985)/A1985</f>
        <v>335.96479514415785</v>
      </c>
    </row>
    <row r="1986" spans="1:14" x14ac:dyDescent="0.25">
      <c r="A1986" s="8">
        <v>1978</v>
      </c>
      <c r="B1986" s="9">
        <f t="shared" ca="1" si="387"/>
        <v>1256</v>
      </c>
      <c r="C1986" s="10">
        <f t="shared" ca="1" si="388"/>
        <v>0</v>
      </c>
      <c r="D1986" s="11">
        <f t="shared" ca="1" si="384"/>
        <v>0.90430401261482551</v>
      </c>
      <c r="E1986" s="9">
        <f t="shared" ca="1" si="385"/>
        <v>465</v>
      </c>
      <c r="F1986" s="9">
        <f t="shared" ca="1" si="389"/>
        <v>791</v>
      </c>
      <c r="G1986" s="12" t="str">
        <f t="shared" ca="1" si="390"/>
        <v>Yes</v>
      </c>
      <c r="H1986" s="12">
        <f t="shared" ca="1" si="386"/>
        <v>0.22580545047546963</v>
      </c>
      <c r="I1986" s="10">
        <f t="shared" ca="1" si="391"/>
        <v>1</v>
      </c>
      <c r="J1986" s="13">
        <f t="shared" ca="1" si="392"/>
        <v>300</v>
      </c>
      <c r="K1986" s="14">
        <f t="shared" ca="1" si="393"/>
        <v>158.20000000000002</v>
      </c>
      <c r="L1986" s="14">
        <f t="shared" ca="1" si="394"/>
        <v>0</v>
      </c>
      <c r="M1986" s="15">
        <f t="shared" ca="1" si="395"/>
        <v>458.20000000000005</v>
      </c>
      <c r="N1986" s="16">
        <f ca="1">SUM($M$9:M1986)/A1986</f>
        <v>336.02659251769461</v>
      </c>
    </row>
    <row r="1987" spans="1:14" x14ac:dyDescent="0.25">
      <c r="A1987" s="8">
        <v>1979</v>
      </c>
      <c r="B1987" s="9">
        <f t="shared" ca="1" si="387"/>
        <v>2591</v>
      </c>
      <c r="C1987" s="10">
        <f t="shared" ca="1" si="388"/>
        <v>1800</v>
      </c>
      <c r="D1987" s="11">
        <f t="shared" ca="1" si="384"/>
        <v>0.42087395029684604</v>
      </c>
      <c r="E1987" s="9">
        <f t="shared" ca="1" si="385"/>
        <v>390</v>
      </c>
      <c r="F1987" s="9">
        <f t="shared" ca="1" si="389"/>
        <v>2201</v>
      </c>
      <c r="G1987" s="12" t="str">
        <f t="shared" ca="1" si="390"/>
        <v>No</v>
      </c>
      <c r="H1987" s="12">
        <f t="shared" ca="1" si="386"/>
        <v>0</v>
      </c>
      <c r="I1987" s="10">
        <f t="shared" ca="1" si="391"/>
        <v>0</v>
      </c>
      <c r="J1987" s="13">
        <f t="shared" ca="1" si="392"/>
        <v>0</v>
      </c>
      <c r="K1987" s="14">
        <f t="shared" ca="1" si="393"/>
        <v>440.20000000000005</v>
      </c>
      <c r="L1987" s="14">
        <f t="shared" ca="1" si="394"/>
        <v>0</v>
      </c>
      <c r="M1987" s="15">
        <f t="shared" ca="1" si="395"/>
        <v>440.20000000000005</v>
      </c>
      <c r="N1987" s="16">
        <f ca="1">SUM($M$9:M1987)/A1987</f>
        <v>336.07923193532082</v>
      </c>
    </row>
    <row r="1988" spans="1:14" x14ac:dyDescent="0.25">
      <c r="A1988" s="8">
        <v>1980</v>
      </c>
      <c r="B1988" s="9">
        <f t="shared" ca="1" si="387"/>
        <v>2201</v>
      </c>
      <c r="C1988" s="10">
        <f t="shared" ca="1" si="388"/>
        <v>0</v>
      </c>
      <c r="D1988" s="11">
        <f t="shared" ca="1" si="384"/>
        <v>0.96403476319065806</v>
      </c>
      <c r="E1988" s="9">
        <f t="shared" ca="1" si="385"/>
        <v>489</v>
      </c>
      <c r="F1988" s="9">
        <f t="shared" ca="1" si="389"/>
        <v>1712</v>
      </c>
      <c r="G1988" s="12" t="str">
        <f t="shared" ca="1" si="390"/>
        <v>No</v>
      </c>
      <c r="H1988" s="12">
        <f t="shared" ca="1" si="386"/>
        <v>0</v>
      </c>
      <c r="I1988" s="10">
        <f t="shared" ca="1" si="391"/>
        <v>0</v>
      </c>
      <c r="J1988" s="13">
        <f t="shared" ca="1" si="392"/>
        <v>0</v>
      </c>
      <c r="K1988" s="14">
        <f t="shared" ca="1" si="393"/>
        <v>342.40000000000003</v>
      </c>
      <c r="L1988" s="14">
        <f t="shared" ca="1" si="394"/>
        <v>0</v>
      </c>
      <c r="M1988" s="15">
        <f t="shared" ca="1" si="395"/>
        <v>342.40000000000003</v>
      </c>
      <c r="N1988" s="16">
        <f ca="1">SUM($M$9:M1988)/A1988</f>
        <v>336.08242424242422</v>
      </c>
    </row>
    <row r="1989" spans="1:14" x14ac:dyDescent="0.25">
      <c r="A1989" s="8">
        <v>1981</v>
      </c>
      <c r="B1989" s="9">
        <f t="shared" ca="1" si="387"/>
        <v>1712</v>
      </c>
      <c r="C1989" s="10">
        <f t="shared" ca="1" si="388"/>
        <v>0</v>
      </c>
      <c r="D1989" s="11">
        <f t="shared" ca="1" si="384"/>
        <v>0.48119851887767284</v>
      </c>
      <c r="E1989" s="9">
        <f t="shared" ca="1" si="385"/>
        <v>397</v>
      </c>
      <c r="F1989" s="9">
        <f t="shared" ca="1" si="389"/>
        <v>1315</v>
      </c>
      <c r="G1989" s="12" t="str">
        <f t="shared" ca="1" si="390"/>
        <v>No</v>
      </c>
      <c r="H1989" s="12">
        <f t="shared" ca="1" si="386"/>
        <v>0</v>
      </c>
      <c r="I1989" s="10">
        <f t="shared" ca="1" si="391"/>
        <v>0</v>
      </c>
      <c r="J1989" s="13">
        <f t="shared" ca="1" si="392"/>
        <v>0</v>
      </c>
      <c r="K1989" s="14">
        <f t="shared" ca="1" si="393"/>
        <v>263</v>
      </c>
      <c r="L1989" s="14">
        <f t="shared" ca="1" si="394"/>
        <v>0</v>
      </c>
      <c r="M1989" s="15">
        <f t="shared" ca="1" si="395"/>
        <v>263</v>
      </c>
      <c r="N1989" s="16">
        <f ca="1">SUM($M$9:M1989)/A1989</f>
        <v>336.04553255931347</v>
      </c>
    </row>
    <row r="1990" spans="1:14" x14ac:dyDescent="0.25">
      <c r="A1990" s="8">
        <v>1982</v>
      </c>
      <c r="B1990" s="9">
        <f t="shared" ca="1" si="387"/>
        <v>1315</v>
      </c>
      <c r="C1990" s="10">
        <f t="shared" ca="1" si="388"/>
        <v>0</v>
      </c>
      <c r="D1990" s="11">
        <f t="shared" ca="1" si="384"/>
        <v>0.97024446602686665</v>
      </c>
      <c r="E1990" s="9">
        <f t="shared" ca="1" si="385"/>
        <v>494</v>
      </c>
      <c r="F1990" s="9">
        <f t="shared" ca="1" si="389"/>
        <v>821</v>
      </c>
      <c r="G1990" s="12" t="str">
        <f t="shared" ca="1" si="390"/>
        <v>Yes</v>
      </c>
      <c r="H1990" s="12">
        <f t="shared" ca="1" si="386"/>
        <v>0.84377113232654333</v>
      </c>
      <c r="I1990" s="10">
        <f t="shared" ca="1" si="391"/>
        <v>2</v>
      </c>
      <c r="J1990" s="13">
        <f t="shared" ca="1" si="392"/>
        <v>300</v>
      </c>
      <c r="K1990" s="14">
        <f t="shared" ca="1" si="393"/>
        <v>164.20000000000002</v>
      </c>
      <c r="L1990" s="14">
        <f t="shared" ca="1" si="394"/>
        <v>0</v>
      </c>
      <c r="M1990" s="15">
        <f t="shared" ca="1" si="395"/>
        <v>464.20000000000005</v>
      </c>
      <c r="N1990" s="16">
        <f ca="1">SUM($M$9:M1990)/A1990</f>
        <v>336.11019172552972</v>
      </c>
    </row>
    <row r="1991" spans="1:14" x14ac:dyDescent="0.25">
      <c r="A1991" s="8">
        <v>1983</v>
      </c>
      <c r="B1991" s="9">
        <f t="shared" ca="1" si="387"/>
        <v>821</v>
      </c>
      <c r="C1991" s="10">
        <f t="shared" ca="1" si="388"/>
        <v>0</v>
      </c>
      <c r="D1991" s="11">
        <f t="shared" ca="1" si="384"/>
        <v>5.5286587585112845E-2</v>
      </c>
      <c r="E1991" s="9">
        <f t="shared" ca="1" si="385"/>
        <v>320</v>
      </c>
      <c r="F1991" s="9">
        <f t="shared" ca="1" si="389"/>
        <v>501</v>
      </c>
      <c r="G1991" s="12" t="str">
        <f t="shared" ca="1" si="390"/>
        <v>No</v>
      </c>
      <c r="H1991" s="12">
        <f t="shared" ca="1" si="386"/>
        <v>0</v>
      </c>
      <c r="I1991" s="10">
        <f t="shared" ca="1" si="391"/>
        <v>1</v>
      </c>
      <c r="J1991" s="13">
        <f t="shared" ca="1" si="392"/>
        <v>0</v>
      </c>
      <c r="K1991" s="14">
        <f t="shared" ca="1" si="393"/>
        <v>100.2</v>
      </c>
      <c r="L1991" s="14">
        <f t="shared" ca="1" si="394"/>
        <v>0</v>
      </c>
      <c r="M1991" s="15">
        <f t="shared" ca="1" si="395"/>
        <v>100.2</v>
      </c>
      <c r="N1991" s="16">
        <f ca="1">SUM($M$9:M1991)/A1991</f>
        <v>335.99122541603623</v>
      </c>
    </row>
    <row r="1992" spans="1:14" x14ac:dyDescent="0.25">
      <c r="A1992" s="8">
        <v>1984</v>
      </c>
      <c r="B1992" s="9">
        <f t="shared" ca="1" si="387"/>
        <v>2301</v>
      </c>
      <c r="C1992" s="10">
        <f t="shared" ca="1" si="388"/>
        <v>1800</v>
      </c>
      <c r="D1992" s="11">
        <f t="shared" ca="1" si="384"/>
        <v>0.29513219347903275</v>
      </c>
      <c r="E1992" s="9">
        <f t="shared" ca="1" si="385"/>
        <v>373</v>
      </c>
      <c r="F1992" s="9">
        <f t="shared" ca="1" si="389"/>
        <v>1928</v>
      </c>
      <c r="G1992" s="12" t="str">
        <f t="shared" ca="1" si="390"/>
        <v>No</v>
      </c>
      <c r="H1992" s="12">
        <f t="shared" ca="1" si="386"/>
        <v>0</v>
      </c>
      <c r="I1992" s="10">
        <f t="shared" ca="1" si="391"/>
        <v>0</v>
      </c>
      <c r="J1992" s="13">
        <f t="shared" ca="1" si="392"/>
        <v>0</v>
      </c>
      <c r="K1992" s="14">
        <f t="shared" ca="1" si="393"/>
        <v>385.6</v>
      </c>
      <c r="L1992" s="14">
        <f t="shared" ca="1" si="394"/>
        <v>0</v>
      </c>
      <c r="M1992" s="15">
        <f t="shared" ca="1" si="395"/>
        <v>385.6</v>
      </c>
      <c r="N1992" s="16">
        <f ca="1">SUM($M$9:M1992)/A1992</f>
        <v>336.01622983870959</v>
      </c>
    </row>
    <row r="1993" spans="1:14" x14ac:dyDescent="0.25">
      <c r="A1993" s="8">
        <v>1985</v>
      </c>
      <c r="B1993" s="9">
        <f t="shared" ca="1" si="387"/>
        <v>1928</v>
      </c>
      <c r="C1993" s="10">
        <f t="shared" ca="1" si="388"/>
        <v>0</v>
      </c>
      <c r="D1993" s="11">
        <f t="shared" ca="1" si="384"/>
        <v>0.17194436751680497</v>
      </c>
      <c r="E1993" s="9">
        <f t="shared" ca="1" si="385"/>
        <v>352</v>
      </c>
      <c r="F1993" s="9">
        <f t="shared" ca="1" si="389"/>
        <v>1576</v>
      </c>
      <c r="G1993" s="12" t="str">
        <f t="shared" ca="1" si="390"/>
        <v>No</v>
      </c>
      <c r="H1993" s="12">
        <f t="shared" ca="1" si="386"/>
        <v>0</v>
      </c>
      <c r="I1993" s="10">
        <f t="shared" ca="1" si="391"/>
        <v>0</v>
      </c>
      <c r="J1993" s="13">
        <f t="shared" ca="1" si="392"/>
        <v>0</v>
      </c>
      <c r="K1993" s="14">
        <f t="shared" ca="1" si="393"/>
        <v>315.20000000000005</v>
      </c>
      <c r="L1993" s="14">
        <f t="shared" ca="1" si="394"/>
        <v>0</v>
      </c>
      <c r="M1993" s="15">
        <f t="shared" ca="1" si="395"/>
        <v>315.20000000000005</v>
      </c>
      <c r="N1993" s="16">
        <f ca="1">SUM($M$9:M1993)/A1993</f>
        <v>336.00574307304777</v>
      </c>
    </row>
    <row r="1994" spans="1:14" x14ac:dyDescent="0.25">
      <c r="A1994" s="8">
        <v>1986</v>
      </c>
      <c r="B1994" s="9">
        <f t="shared" ca="1" si="387"/>
        <v>1576</v>
      </c>
      <c r="C1994" s="10">
        <f t="shared" ca="1" si="388"/>
        <v>0</v>
      </c>
      <c r="D1994" s="11">
        <f t="shared" ref="D1994:D2008" ca="1" si="396">RAND()</f>
        <v>6.407764994417009E-2</v>
      </c>
      <c r="E1994" s="9">
        <f t="shared" ref="E1994:E2008" ca="1" si="397">INT(NORMINV(D1994,D_Mean,D_StdDev))</f>
        <v>323</v>
      </c>
      <c r="F1994" s="9">
        <f t="shared" ca="1" si="389"/>
        <v>1253</v>
      </c>
      <c r="G1994" s="12" t="str">
        <f t="shared" ca="1" si="390"/>
        <v>No</v>
      </c>
      <c r="H1994" s="12">
        <f t="shared" ref="H1994:H2008" ca="1" si="398">IF(G1994="Yes",RAND(),0)</f>
        <v>0</v>
      </c>
      <c r="I1994" s="10">
        <f t="shared" ca="1" si="391"/>
        <v>0</v>
      </c>
      <c r="J1994" s="13">
        <f t="shared" ca="1" si="392"/>
        <v>0</v>
      </c>
      <c r="K1994" s="14">
        <f t="shared" ca="1" si="393"/>
        <v>250.60000000000002</v>
      </c>
      <c r="L1994" s="14">
        <f t="shared" ca="1" si="394"/>
        <v>0</v>
      </c>
      <c r="M1994" s="15">
        <f t="shared" ca="1" si="395"/>
        <v>250.60000000000002</v>
      </c>
      <c r="N1994" s="16">
        <f ca="1">SUM($M$9:M1994)/A1994</f>
        <v>335.96273917421939</v>
      </c>
    </row>
    <row r="1995" spans="1:14" x14ac:dyDescent="0.25">
      <c r="A1995" s="8">
        <v>1987</v>
      </c>
      <c r="B1995" s="9">
        <f t="shared" ca="1" si="387"/>
        <v>1253</v>
      </c>
      <c r="C1995" s="10">
        <f t="shared" ca="1" si="388"/>
        <v>0</v>
      </c>
      <c r="D1995" s="11">
        <f t="shared" ca="1" si="396"/>
        <v>1.3125388314223607E-2</v>
      </c>
      <c r="E1995" s="9">
        <f t="shared" ca="1" si="397"/>
        <v>288</v>
      </c>
      <c r="F1995" s="9">
        <f t="shared" ca="1" si="389"/>
        <v>965</v>
      </c>
      <c r="G1995" s="12" t="str">
        <f t="shared" ca="1" si="390"/>
        <v>Yes</v>
      </c>
      <c r="H1995" s="12">
        <f t="shared" ca="1" si="398"/>
        <v>0.72069224956385425</v>
      </c>
      <c r="I1995" s="10">
        <f t="shared" ca="1" si="391"/>
        <v>2</v>
      </c>
      <c r="J1995" s="13">
        <f t="shared" ca="1" si="392"/>
        <v>300</v>
      </c>
      <c r="K1995" s="14">
        <f t="shared" ca="1" si="393"/>
        <v>193</v>
      </c>
      <c r="L1995" s="14">
        <f t="shared" ca="1" si="394"/>
        <v>0</v>
      </c>
      <c r="M1995" s="15">
        <f t="shared" ca="1" si="395"/>
        <v>493</v>
      </c>
      <c r="N1995" s="16">
        <f ca="1">SUM($M$9:M1995)/A1995</f>
        <v>336.0417715148464</v>
      </c>
    </row>
    <row r="1996" spans="1:14" x14ac:dyDescent="0.25">
      <c r="A1996" s="8">
        <v>1988</v>
      </c>
      <c r="B1996" s="9">
        <f t="shared" ca="1" si="387"/>
        <v>965</v>
      </c>
      <c r="C1996" s="10">
        <f t="shared" ca="1" si="388"/>
        <v>0</v>
      </c>
      <c r="D1996" s="11">
        <f t="shared" ca="1" si="396"/>
        <v>0.53317478436626109</v>
      </c>
      <c r="E1996" s="9">
        <f t="shared" ca="1" si="397"/>
        <v>404</v>
      </c>
      <c r="F1996" s="9">
        <f t="shared" ca="1" si="389"/>
        <v>561</v>
      </c>
      <c r="G1996" s="12" t="str">
        <f t="shared" ca="1" si="390"/>
        <v>No</v>
      </c>
      <c r="H1996" s="12">
        <f t="shared" ca="1" si="398"/>
        <v>0</v>
      </c>
      <c r="I1996" s="10">
        <f t="shared" ca="1" si="391"/>
        <v>1</v>
      </c>
      <c r="J1996" s="13">
        <f t="shared" ca="1" si="392"/>
        <v>0</v>
      </c>
      <c r="K1996" s="14">
        <f t="shared" ca="1" si="393"/>
        <v>112.2</v>
      </c>
      <c r="L1996" s="14">
        <f t="shared" ca="1" si="394"/>
        <v>0</v>
      </c>
      <c r="M1996" s="15">
        <f t="shared" ca="1" si="395"/>
        <v>112.2</v>
      </c>
      <c r="N1996" s="16">
        <f ca="1">SUM($M$9:M1996)/A1996</f>
        <v>335.92917505030169</v>
      </c>
    </row>
    <row r="1997" spans="1:14" x14ac:dyDescent="0.25">
      <c r="A1997" s="8">
        <v>1989</v>
      </c>
      <c r="B1997" s="9">
        <f t="shared" ca="1" si="387"/>
        <v>2361</v>
      </c>
      <c r="C1997" s="10">
        <f t="shared" ca="1" si="388"/>
        <v>1800</v>
      </c>
      <c r="D1997" s="11">
        <f t="shared" ca="1" si="396"/>
        <v>0.36729229927463736</v>
      </c>
      <c r="E1997" s="9">
        <f t="shared" ca="1" si="397"/>
        <v>383</v>
      </c>
      <c r="F1997" s="9">
        <f t="shared" ca="1" si="389"/>
        <v>1978</v>
      </c>
      <c r="G1997" s="12" t="str">
        <f t="shared" ca="1" si="390"/>
        <v>No</v>
      </c>
      <c r="H1997" s="12">
        <f t="shared" ca="1" si="398"/>
        <v>0</v>
      </c>
      <c r="I1997" s="10">
        <f t="shared" ca="1" si="391"/>
        <v>0</v>
      </c>
      <c r="J1997" s="13">
        <f t="shared" ca="1" si="392"/>
        <v>0</v>
      </c>
      <c r="K1997" s="14">
        <f t="shared" ca="1" si="393"/>
        <v>395.6</v>
      </c>
      <c r="L1997" s="14">
        <f t="shared" ca="1" si="394"/>
        <v>0</v>
      </c>
      <c r="M1997" s="15">
        <f t="shared" ca="1" si="395"/>
        <v>395.6</v>
      </c>
      <c r="N1997" s="16">
        <f ca="1">SUM($M$9:M1997)/A1997</f>
        <v>335.95917546505768</v>
      </c>
    </row>
    <row r="1998" spans="1:14" x14ac:dyDescent="0.25">
      <c r="A1998" s="8">
        <v>1990</v>
      </c>
      <c r="B1998" s="9">
        <f t="shared" ca="1" si="387"/>
        <v>1978</v>
      </c>
      <c r="C1998" s="10">
        <f t="shared" ca="1" si="388"/>
        <v>0</v>
      </c>
      <c r="D1998" s="11">
        <f t="shared" ca="1" si="396"/>
        <v>0.80294289409002206</v>
      </c>
      <c r="E1998" s="9">
        <f t="shared" ca="1" si="397"/>
        <v>442</v>
      </c>
      <c r="F1998" s="9">
        <f t="shared" ca="1" si="389"/>
        <v>1536</v>
      </c>
      <c r="G1998" s="12" t="str">
        <f t="shared" ca="1" si="390"/>
        <v>No</v>
      </c>
      <c r="H1998" s="12">
        <f t="shared" ca="1" si="398"/>
        <v>0</v>
      </c>
      <c r="I1998" s="10">
        <f t="shared" ca="1" si="391"/>
        <v>0</v>
      </c>
      <c r="J1998" s="13">
        <f t="shared" ca="1" si="392"/>
        <v>0</v>
      </c>
      <c r="K1998" s="14">
        <f t="shared" ca="1" si="393"/>
        <v>307.20000000000005</v>
      </c>
      <c r="L1998" s="14">
        <f t="shared" ca="1" si="394"/>
        <v>0</v>
      </c>
      <c r="M1998" s="15">
        <f t="shared" ca="1" si="395"/>
        <v>307.20000000000005</v>
      </c>
      <c r="N1998" s="16">
        <f ca="1">SUM($M$9:M1998)/A1998</f>
        <v>335.94472361809028</v>
      </c>
    </row>
    <row r="1999" spans="1:14" x14ac:dyDescent="0.25">
      <c r="A1999" s="8">
        <v>1991</v>
      </c>
      <c r="B1999" s="9">
        <f t="shared" ca="1" si="387"/>
        <v>1536</v>
      </c>
      <c r="C1999" s="10">
        <f t="shared" ca="1" si="388"/>
        <v>0</v>
      </c>
      <c r="D1999" s="11">
        <f t="shared" ca="1" si="396"/>
        <v>0.23033463753007943</v>
      </c>
      <c r="E1999" s="9">
        <f t="shared" ca="1" si="397"/>
        <v>363</v>
      </c>
      <c r="F1999" s="9">
        <f t="shared" ca="1" si="389"/>
        <v>1173</v>
      </c>
      <c r="G1999" s="12" t="str">
        <f t="shared" ca="1" si="390"/>
        <v>No</v>
      </c>
      <c r="H1999" s="12">
        <f t="shared" ca="1" si="398"/>
        <v>0</v>
      </c>
      <c r="I1999" s="10">
        <f t="shared" ca="1" si="391"/>
        <v>0</v>
      </c>
      <c r="J1999" s="13">
        <f t="shared" ca="1" si="392"/>
        <v>0</v>
      </c>
      <c r="K1999" s="14">
        <f t="shared" ca="1" si="393"/>
        <v>234.60000000000002</v>
      </c>
      <c r="L1999" s="14">
        <f t="shared" ca="1" si="394"/>
        <v>0</v>
      </c>
      <c r="M1999" s="15">
        <f t="shared" ca="1" si="395"/>
        <v>234.60000000000002</v>
      </c>
      <c r="N1999" s="16">
        <f ca="1">SUM($M$9:M1999)/A1999</f>
        <v>335.89382219989938</v>
      </c>
    </row>
    <row r="2000" spans="1:14" x14ac:dyDescent="0.25">
      <c r="A2000" s="8">
        <v>1992</v>
      </c>
      <c r="B2000" s="9">
        <f t="shared" ca="1" si="387"/>
        <v>1173</v>
      </c>
      <c r="C2000" s="10">
        <f t="shared" ca="1" si="388"/>
        <v>0</v>
      </c>
      <c r="D2000" s="11">
        <f t="shared" ca="1" si="396"/>
        <v>0.84907924419540126</v>
      </c>
      <c r="E2000" s="9">
        <f t="shared" ca="1" si="397"/>
        <v>451</v>
      </c>
      <c r="F2000" s="9">
        <f t="shared" ca="1" si="389"/>
        <v>722</v>
      </c>
      <c r="G2000" s="12" t="str">
        <f t="shared" ca="1" si="390"/>
        <v>Yes</v>
      </c>
      <c r="H2000" s="12">
        <f t="shared" ca="1" si="398"/>
        <v>0.52453943168314343</v>
      </c>
      <c r="I2000" s="10">
        <f t="shared" ca="1" si="391"/>
        <v>1</v>
      </c>
      <c r="J2000" s="13">
        <f t="shared" ca="1" si="392"/>
        <v>300</v>
      </c>
      <c r="K2000" s="14">
        <f t="shared" ca="1" si="393"/>
        <v>144.4</v>
      </c>
      <c r="L2000" s="14">
        <f t="shared" ca="1" si="394"/>
        <v>0</v>
      </c>
      <c r="M2000" s="15">
        <f t="shared" ca="1" si="395"/>
        <v>444.4</v>
      </c>
      <c r="N2000" s="16">
        <f ca="1">SUM($M$9:M2000)/A2000</f>
        <v>335.94829317269057</v>
      </c>
    </row>
    <row r="2001" spans="1:14" x14ac:dyDescent="0.25">
      <c r="A2001" s="8">
        <v>1993</v>
      </c>
      <c r="B2001" s="9">
        <f t="shared" ca="1" si="387"/>
        <v>2522</v>
      </c>
      <c r="C2001" s="10">
        <f t="shared" ca="1" si="388"/>
        <v>1800</v>
      </c>
      <c r="D2001" s="11">
        <f t="shared" ca="1" si="396"/>
        <v>0.29624075769515379</v>
      </c>
      <c r="E2001" s="9">
        <f t="shared" ca="1" si="397"/>
        <v>373</v>
      </c>
      <c r="F2001" s="9">
        <f t="shared" ca="1" si="389"/>
        <v>2149</v>
      </c>
      <c r="G2001" s="12" t="str">
        <f t="shared" ca="1" si="390"/>
        <v>No</v>
      </c>
      <c r="H2001" s="12">
        <f t="shared" ca="1" si="398"/>
        <v>0</v>
      </c>
      <c r="I2001" s="10">
        <f t="shared" ca="1" si="391"/>
        <v>0</v>
      </c>
      <c r="J2001" s="13">
        <f t="shared" ca="1" si="392"/>
        <v>0</v>
      </c>
      <c r="K2001" s="14">
        <f t="shared" ca="1" si="393"/>
        <v>429.8</v>
      </c>
      <c r="L2001" s="14">
        <f t="shared" ca="1" si="394"/>
        <v>0</v>
      </c>
      <c r="M2001" s="15">
        <f t="shared" ca="1" si="395"/>
        <v>429.8</v>
      </c>
      <c r="N2001" s="16">
        <f ca="1">SUM($M$9:M2001)/A2001</f>
        <v>335.99538384345192</v>
      </c>
    </row>
    <row r="2002" spans="1:14" x14ac:dyDescent="0.25">
      <c r="A2002" s="8">
        <v>1994</v>
      </c>
      <c r="B2002" s="9">
        <f t="shared" ca="1" si="387"/>
        <v>2149</v>
      </c>
      <c r="C2002" s="10">
        <f t="shared" ca="1" si="388"/>
        <v>0</v>
      </c>
      <c r="D2002" s="11">
        <f t="shared" ca="1" si="396"/>
        <v>0.33739291616323142</v>
      </c>
      <c r="E2002" s="9">
        <f t="shared" ca="1" si="397"/>
        <v>379</v>
      </c>
      <c r="F2002" s="9">
        <f t="shared" ca="1" si="389"/>
        <v>1770</v>
      </c>
      <c r="G2002" s="12" t="str">
        <f t="shared" ca="1" si="390"/>
        <v>No</v>
      </c>
      <c r="H2002" s="12">
        <f t="shared" ca="1" si="398"/>
        <v>0</v>
      </c>
      <c r="I2002" s="10">
        <f t="shared" ca="1" si="391"/>
        <v>0</v>
      </c>
      <c r="J2002" s="13">
        <f t="shared" ca="1" si="392"/>
        <v>0</v>
      </c>
      <c r="K2002" s="14">
        <f t="shared" ca="1" si="393"/>
        <v>354</v>
      </c>
      <c r="L2002" s="14">
        <f t="shared" ca="1" si="394"/>
        <v>0</v>
      </c>
      <c r="M2002" s="15">
        <f t="shared" ca="1" si="395"/>
        <v>354</v>
      </c>
      <c r="N2002" s="16">
        <f ca="1">SUM($M$9:M2002)/A2002</f>
        <v>336.00441323971899</v>
      </c>
    </row>
    <row r="2003" spans="1:14" x14ac:dyDescent="0.25">
      <c r="A2003" s="8">
        <v>1995</v>
      </c>
      <c r="B2003" s="9">
        <f t="shared" ca="1" si="387"/>
        <v>1770</v>
      </c>
      <c r="C2003" s="10">
        <f t="shared" ca="1" si="388"/>
        <v>0</v>
      </c>
      <c r="D2003" s="11">
        <f t="shared" ca="1" si="396"/>
        <v>0.28084023593501639</v>
      </c>
      <c r="E2003" s="9">
        <f t="shared" ca="1" si="397"/>
        <v>370</v>
      </c>
      <c r="F2003" s="9">
        <f t="shared" ca="1" si="389"/>
        <v>1400</v>
      </c>
      <c r="G2003" s="12" t="str">
        <f t="shared" ca="1" si="390"/>
        <v>No</v>
      </c>
      <c r="H2003" s="12">
        <f t="shared" ca="1" si="398"/>
        <v>0</v>
      </c>
      <c r="I2003" s="10">
        <f t="shared" ca="1" si="391"/>
        <v>0</v>
      </c>
      <c r="J2003" s="13">
        <f t="shared" ca="1" si="392"/>
        <v>0</v>
      </c>
      <c r="K2003" s="14">
        <f t="shared" ca="1" si="393"/>
        <v>280</v>
      </c>
      <c r="L2003" s="14">
        <f t="shared" ca="1" si="394"/>
        <v>0</v>
      </c>
      <c r="M2003" s="15">
        <f t="shared" ca="1" si="395"/>
        <v>280</v>
      </c>
      <c r="N2003" s="16">
        <f ca="1">SUM($M$9:M2003)/A2003</f>
        <v>335.97634085213019</v>
      </c>
    </row>
    <row r="2004" spans="1:14" x14ac:dyDescent="0.25">
      <c r="A2004" s="8">
        <v>1996</v>
      </c>
      <c r="B2004" s="9">
        <f t="shared" ca="1" si="387"/>
        <v>1400</v>
      </c>
      <c r="C2004" s="10">
        <f t="shared" ca="1" si="388"/>
        <v>0</v>
      </c>
      <c r="D2004" s="11">
        <f t="shared" ca="1" si="396"/>
        <v>0.9414142784291345</v>
      </c>
      <c r="E2004" s="9">
        <f t="shared" ca="1" si="397"/>
        <v>478</v>
      </c>
      <c r="F2004" s="9">
        <f t="shared" ca="1" si="389"/>
        <v>922</v>
      </c>
      <c r="G2004" s="12" t="str">
        <f t="shared" ca="1" si="390"/>
        <v>No</v>
      </c>
      <c r="H2004" s="12">
        <f t="shared" ca="1" si="398"/>
        <v>0</v>
      </c>
      <c r="I2004" s="10">
        <f t="shared" ca="1" si="391"/>
        <v>0</v>
      </c>
      <c r="J2004" s="13">
        <f t="shared" ca="1" si="392"/>
        <v>0</v>
      </c>
      <c r="K2004" s="14">
        <f t="shared" ca="1" si="393"/>
        <v>184.4</v>
      </c>
      <c r="L2004" s="14">
        <f t="shared" ca="1" si="394"/>
        <v>0</v>
      </c>
      <c r="M2004" s="15">
        <f t="shared" ca="1" si="395"/>
        <v>184.4</v>
      </c>
      <c r="N2004" s="16">
        <f ca="1">SUM($M$9:M2004)/A2004</f>
        <v>335.90040080160304</v>
      </c>
    </row>
    <row r="2005" spans="1:14" x14ac:dyDescent="0.25">
      <c r="A2005" s="8">
        <v>1997</v>
      </c>
      <c r="B2005" s="9">
        <f t="shared" ca="1" si="387"/>
        <v>922</v>
      </c>
      <c r="C2005" s="10">
        <f t="shared" ca="1" si="388"/>
        <v>0</v>
      </c>
      <c r="D2005" s="11">
        <f t="shared" ca="1" si="396"/>
        <v>0.2661259116275223</v>
      </c>
      <c r="E2005" s="9">
        <f t="shared" ca="1" si="397"/>
        <v>368</v>
      </c>
      <c r="F2005" s="9">
        <f t="shared" ca="1" si="389"/>
        <v>554</v>
      </c>
      <c r="G2005" s="12" t="str">
        <f t="shared" ca="1" si="390"/>
        <v>Yes</v>
      </c>
      <c r="H2005" s="12">
        <f t="shared" ca="1" si="398"/>
        <v>0.87048031868626319</v>
      </c>
      <c r="I2005" s="10">
        <f t="shared" ca="1" si="391"/>
        <v>2</v>
      </c>
      <c r="J2005" s="13">
        <f t="shared" ca="1" si="392"/>
        <v>300</v>
      </c>
      <c r="K2005" s="14">
        <f t="shared" ca="1" si="393"/>
        <v>110.80000000000001</v>
      </c>
      <c r="L2005" s="14">
        <f t="shared" ca="1" si="394"/>
        <v>0</v>
      </c>
      <c r="M2005" s="15">
        <f t="shared" ca="1" si="395"/>
        <v>410.8</v>
      </c>
      <c r="N2005" s="16">
        <f ca="1">SUM($M$9:M2005)/A2005</f>
        <v>335.9379068602903</v>
      </c>
    </row>
    <row r="2006" spans="1:14" x14ac:dyDescent="0.25">
      <c r="A2006" s="8">
        <v>1998</v>
      </c>
      <c r="B2006" s="9">
        <f t="shared" ca="1" si="387"/>
        <v>554</v>
      </c>
      <c r="C2006" s="10">
        <f t="shared" ca="1" si="388"/>
        <v>0</v>
      </c>
      <c r="D2006" s="11">
        <f t="shared" ca="1" si="396"/>
        <v>0.13245465418313107</v>
      </c>
      <c r="E2006" s="9">
        <f t="shared" ca="1" si="397"/>
        <v>344</v>
      </c>
      <c r="F2006" s="9">
        <f t="shared" ca="1" si="389"/>
        <v>210</v>
      </c>
      <c r="G2006" s="12" t="str">
        <f t="shared" ca="1" si="390"/>
        <v>No</v>
      </c>
      <c r="H2006" s="12">
        <f t="shared" ca="1" si="398"/>
        <v>0</v>
      </c>
      <c r="I2006" s="10">
        <f t="shared" ca="1" si="391"/>
        <v>1</v>
      </c>
      <c r="J2006" s="13">
        <f t="shared" ca="1" si="392"/>
        <v>0</v>
      </c>
      <c r="K2006" s="14">
        <f t="shared" ca="1" si="393"/>
        <v>42</v>
      </c>
      <c r="L2006" s="14">
        <f t="shared" ca="1" si="394"/>
        <v>0</v>
      </c>
      <c r="M2006" s="15">
        <f t="shared" ca="1" si="395"/>
        <v>42</v>
      </c>
      <c r="N2006" s="16">
        <f ca="1">SUM($M$9:M2006)/A2006</f>
        <v>335.79079079079065</v>
      </c>
    </row>
    <row r="2007" spans="1:14" x14ac:dyDescent="0.25">
      <c r="A2007" s="8">
        <v>1999</v>
      </c>
      <c r="B2007" s="9">
        <f t="shared" ca="1" si="387"/>
        <v>2010</v>
      </c>
      <c r="C2007" s="10">
        <f t="shared" ca="1" si="388"/>
        <v>1800</v>
      </c>
      <c r="D2007" s="11">
        <f t="shared" ca="1" si="396"/>
        <v>2.3721297312051304E-2</v>
      </c>
      <c r="E2007" s="9">
        <f t="shared" ca="1" si="397"/>
        <v>300</v>
      </c>
      <c r="F2007" s="9">
        <f t="shared" ca="1" si="389"/>
        <v>1710</v>
      </c>
      <c r="G2007" s="12" t="str">
        <f t="shared" ca="1" si="390"/>
        <v>No</v>
      </c>
      <c r="H2007" s="12">
        <f t="shared" ca="1" si="398"/>
        <v>0</v>
      </c>
      <c r="I2007" s="10">
        <f t="shared" ca="1" si="391"/>
        <v>0</v>
      </c>
      <c r="J2007" s="13">
        <f t="shared" ca="1" si="392"/>
        <v>0</v>
      </c>
      <c r="K2007" s="14">
        <f t="shared" ca="1" si="393"/>
        <v>342</v>
      </c>
      <c r="L2007" s="14">
        <f t="shared" ca="1" si="394"/>
        <v>0</v>
      </c>
      <c r="M2007" s="15">
        <f t="shared" ca="1" si="395"/>
        <v>342</v>
      </c>
      <c r="N2007" s="16">
        <f ca="1">SUM($M$9:M2007)/A2007</f>
        <v>335.79389694847413</v>
      </c>
    </row>
    <row r="2008" spans="1:14" x14ac:dyDescent="0.25">
      <c r="A2008" s="8">
        <v>2000</v>
      </c>
      <c r="B2008" s="9">
        <f t="shared" ca="1" si="387"/>
        <v>1710</v>
      </c>
      <c r="C2008" s="10">
        <f t="shared" ca="1" si="388"/>
        <v>0</v>
      </c>
      <c r="D2008" s="11">
        <f t="shared" ca="1" si="396"/>
        <v>0.98123800571003661</v>
      </c>
      <c r="E2008" s="9">
        <f t="shared" ca="1" si="397"/>
        <v>504</v>
      </c>
      <c r="F2008" s="9">
        <f t="shared" ca="1" si="389"/>
        <v>1206</v>
      </c>
      <c r="G2008" s="12" t="str">
        <f t="shared" ca="1" si="390"/>
        <v>No</v>
      </c>
      <c r="H2008" s="12">
        <f t="shared" ca="1" si="398"/>
        <v>0</v>
      </c>
      <c r="I2008" s="10">
        <f t="shared" ca="1" si="391"/>
        <v>0</v>
      </c>
      <c r="J2008" s="13">
        <f t="shared" ca="1" si="392"/>
        <v>0</v>
      </c>
      <c r="K2008" s="14">
        <f t="shared" ca="1" si="393"/>
        <v>241.20000000000002</v>
      </c>
      <c r="L2008" s="14">
        <f t="shared" ca="1" si="394"/>
        <v>0</v>
      </c>
      <c r="M2008" s="15">
        <f t="shared" ca="1" si="395"/>
        <v>241.20000000000002</v>
      </c>
      <c r="N2008" s="16">
        <f ca="1">SUM($M$9:M2008)/A2008</f>
        <v>335.74659999999989</v>
      </c>
    </row>
    <row r="2009" spans="1:14" x14ac:dyDescent="0.25">
      <c r="E2009" s="6"/>
      <c r="F2009" s="6"/>
      <c r="G2009" s="6"/>
      <c r="H2009" s="6"/>
      <c r="I2009" s="53"/>
      <c r="J2009" s="6"/>
      <c r="K2009" s="6"/>
      <c r="L2009" s="6"/>
      <c r="M2009" s="6"/>
      <c r="N2009" s="6"/>
    </row>
    <row r="2010" spans="1:14" x14ac:dyDescent="0.25">
      <c r="E2010" s="6"/>
      <c r="F2010" s="6"/>
      <c r="G2010" s="6"/>
      <c r="H2010" s="6"/>
      <c r="I2010" s="53"/>
      <c r="J2010" s="6"/>
      <c r="K2010" s="6"/>
      <c r="L2010" s="6"/>
      <c r="M2010" s="6"/>
      <c r="N2010" s="6"/>
    </row>
    <row r="2011" spans="1:14" x14ac:dyDescent="0.25">
      <c r="E2011" s="6"/>
      <c r="F2011" s="6"/>
      <c r="G2011" s="6"/>
      <c r="H2011" s="6"/>
      <c r="I2011" s="53"/>
      <c r="J2011" s="6"/>
      <c r="K2011" s="6"/>
      <c r="L2011" s="6"/>
      <c r="M2011" s="6"/>
      <c r="N2011" s="6"/>
    </row>
    <row r="2012" spans="1:14" x14ac:dyDescent="0.25">
      <c r="E2012" s="6"/>
      <c r="F2012" s="6"/>
      <c r="G2012" s="6"/>
      <c r="H2012" s="6"/>
      <c r="I2012" s="53"/>
      <c r="J2012" s="6"/>
      <c r="K2012" s="6"/>
      <c r="L2012" s="6"/>
      <c r="M2012" s="6"/>
      <c r="N2012" s="6"/>
    </row>
    <row r="2013" spans="1:14" x14ac:dyDescent="0.25">
      <c r="E2013" s="6"/>
      <c r="F2013" s="6"/>
      <c r="G2013" s="6"/>
      <c r="H2013" s="6"/>
      <c r="I2013" s="53"/>
      <c r="J2013" s="6"/>
      <c r="K2013" s="6"/>
      <c r="L2013" s="6"/>
      <c r="M2013" s="6"/>
      <c r="N2013" s="6"/>
    </row>
    <row r="2014" spans="1:14" x14ac:dyDescent="0.25">
      <c r="E2014" s="6"/>
      <c r="F2014" s="6"/>
      <c r="G2014" s="6"/>
      <c r="H2014" s="6"/>
      <c r="I2014" s="53"/>
      <c r="J2014" s="6"/>
      <c r="K2014" s="6"/>
      <c r="L2014" s="6"/>
      <c r="M2014" s="6"/>
      <c r="N2014" s="6"/>
    </row>
    <row r="2015" spans="1:14" x14ac:dyDescent="0.25">
      <c r="E2015" s="6"/>
      <c r="F2015" s="6"/>
      <c r="G2015" s="6"/>
      <c r="H2015" s="6"/>
      <c r="I2015" s="53"/>
      <c r="J2015" s="6"/>
      <c r="K2015" s="6"/>
      <c r="L2015" s="6"/>
      <c r="M2015" s="6"/>
      <c r="N2015" s="6"/>
    </row>
    <row r="2016" spans="1:14" x14ac:dyDescent="0.25">
      <c r="E2016" s="6"/>
      <c r="F2016" s="6"/>
      <c r="G2016" s="6"/>
      <c r="H2016" s="6"/>
      <c r="I2016" s="53"/>
      <c r="J2016" s="6"/>
      <c r="K2016" s="6"/>
      <c r="L2016" s="6"/>
      <c r="M2016" s="6"/>
      <c r="N2016" s="6"/>
    </row>
    <row r="2017" spans="5:14" x14ac:dyDescent="0.25">
      <c r="E2017" s="6"/>
      <c r="F2017" s="6"/>
      <c r="G2017" s="6"/>
      <c r="H2017" s="6"/>
      <c r="I2017" s="53"/>
      <c r="J2017" s="6"/>
      <c r="K2017" s="6"/>
      <c r="L2017" s="6"/>
      <c r="M2017" s="6"/>
      <c r="N2017" s="6"/>
    </row>
    <row r="2018" spans="5:14" x14ac:dyDescent="0.25">
      <c r="E2018" s="6"/>
      <c r="F2018" s="6"/>
      <c r="G2018" s="6"/>
      <c r="H2018" s="6"/>
      <c r="I2018" s="53"/>
      <c r="J2018" s="6"/>
      <c r="K2018" s="6"/>
      <c r="L2018" s="6"/>
      <c r="M2018" s="6"/>
      <c r="N2018" s="6"/>
    </row>
    <row r="2019" spans="5:14" x14ac:dyDescent="0.25">
      <c r="E2019" s="6"/>
      <c r="F2019" s="6"/>
      <c r="G2019" s="6"/>
      <c r="H2019" s="6"/>
      <c r="I2019" s="53"/>
      <c r="J2019" s="6"/>
      <c r="K2019" s="6"/>
      <c r="L2019" s="6"/>
      <c r="M2019" s="6"/>
      <c r="N2019" s="6"/>
    </row>
    <row r="2020" spans="5:14" x14ac:dyDescent="0.25">
      <c r="E2020" s="6"/>
      <c r="F2020" s="6"/>
      <c r="G2020" s="6"/>
      <c r="H2020" s="6"/>
      <c r="I2020" s="53"/>
      <c r="J2020" s="6"/>
      <c r="K2020" s="6"/>
      <c r="L2020" s="6"/>
      <c r="M2020" s="6"/>
      <c r="N2020" s="6"/>
    </row>
    <row r="2021" spans="5:14" x14ac:dyDescent="0.25">
      <c r="E2021" s="6"/>
      <c r="F2021" s="6"/>
      <c r="G2021" s="6"/>
      <c r="H2021" s="6"/>
      <c r="I2021" s="53"/>
      <c r="J2021" s="6"/>
      <c r="K2021" s="6"/>
      <c r="L2021" s="6"/>
      <c r="M2021" s="6"/>
      <c r="N2021" s="6"/>
    </row>
    <row r="2022" spans="5:14" x14ac:dyDescent="0.25">
      <c r="E2022" s="6"/>
      <c r="F2022" s="6"/>
      <c r="G2022" s="6"/>
      <c r="H2022" s="6"/>
      <c r="I2022" s="53"/>
      <c r="J2022" s="6"/>
      <c r="K2022" s="6"/>
      <c r="L2022" s="6"/>
      <c r="M2022" s="6"/>
      <c r="N2022" s="6"/>
    </row>
    <row r="2023" spans="5:14" x14ac:dyDescent="0.25">
      <c r="E2023" s="6"/>
      <c r="F2023" s="6"/>
      <c r="G2023" s="6"/>
      <c r="H2023" s="6"/>
      <c r="I2023" s="53"/>
      <c r="J2023" s="6"/>
      <c r="K2023" s="6"/>
      <c r="L2023" s="6"/>
      <c r="M2023" s="6"/>
      <c r="N2023" s="6"/>
    </row>
    <row r="2024" spans="5:14" x14ac:dyDescent="0.25">
      <c r="E2024" s="6"/>
      <c r="F2024" s="6"/>
      <c r="G2024" s="6"/>
      <c r="H2024" s="6"/>
      <c r="I2024" s="53"/>
      <c r="J2024" s="6"/>
      <c r="K2024" s="6"/>
      <c r="L2024" s="6"/>
      <c r="M2024" s="6"/>
      <c r="N2024" s="6"/>
    </row>
    <row r="2025" spans="5:14" x14ac:dyDescent="0.25">
      <c r="E2025" s="6"/>
      <c r="F2025" s="6"/>
      <c r="G2025" s="6"/>
      <c r="H2025" s="6"/>
      <c r="I2025" s="53"/>
      <c r="J2025" s="6"/>
      <c r="K2025" s="6"/>
      <c r="L2025" s="6"/>
      <c r="M2025" s="6"/>
      <c r="N2025" s="6"/>
    </row>
    <row r="2026" spans="5:14" x14ac:dyDescent="0.25">
      <c r="E2026" s="6"/>
      <c r="F2026" s="6"/>
      <c r="G2026" s="6"/>
      <c r="H2026" s="6"/>
      <c r="I2026" s="53"/>
      <c r="J2026" s="6"/>
      <c r="K2026" s="6"/>
      <c r="L2026" s="6"/>
      <c r="M2026" s="6"/>
      <c r="N2026" s="6"/>
    </row>
    <row r="2027" spans="5:14" x14ac:dyDescent="0.25">
      <c r="E2027" s="6"/>
      <c r="F2027" s="6"/>
      <c r="G2027" s="6"/>
      <c r="H2027" s="6"/>
      <c r="I2027" s="53"/>
      <c r="J2027" s="6"/>
      <c r="K2027" s="6"/>
      <c r="L2027" s="6"/>
      <c r="M2027" s="6"/>
      <c r="N2027" s="6"/>
    </row>
    <row r="2028" spans="5:14" x14ac:dyDescent="0.25">
      <c r="E2028" s="6"/>
      <c r="F2028" s="6"/>
      <c r="G2028" s="6"/>
      <c r="H2028" s="6"/>
      <c r="I2028" s="53"/>
      <c r="J2028" s="6"/>
      <c r="K2028" s="6"/>
      <c r="L2028" s="6"/>
      <c r="M2028" s="6"/>
      <c r="N2028" s="6"/>
    </row>
    <row r="2029" spans="5:14" x14ac:dyDescent="0.25">
      <c r="E2029" s="6"/>
      <c r="F2029" s="6"/>
      <c r="G2029" s="6"/>
      <c r="H2029" s="6"/>
      <c r="I2029" s="53"/>
      <c r="J2029" s="6"/>
      <c r="K2029" s="6"/>
      <c r="L2029" s="6"/>
      <c r="M2029" s="6"/>
      <c r="N2029" s="6"/>
    </row>
    <row r="2030" spans="5:14" x14ac:dyDescent="0.25">
      <c r="E2030" s="6"/>
      <c r="F2030" s="6"/>
      <c r="G2030" s="6"/>
      <c r="H2030" s="6"/>
      <c r="I2030" s="53"/>
      <c r="J2030" s="6"/>
      <c r="K2030" s="6"/>
      <c r="L2030" s="6"/>
      <c r="M2030" s="6"/>
      <c r="N2030" s="6"/>
    </row>
    <row r="2031" spans="5:14" x14ac:dyDescent="0.25">
      <c r="E2031" s="6"/>
      <c r="F2031" s="6"/>
      <c r="G2031" s="6"/>
      <c r="H2031" s="6"/>
      <c r="I2031" s="53"/>
      <c r="J2031" s="6"/>
      <c r="K2031" s="6"/>
      <c r="L2031" s="6"/>
      <c r="M2031" s="6"/>
      <c r="N2031" s="6"/>
    </row>
    <row r="2032" spans="5:14" x14ac:dyDescent="0.25">
      <c r="E2032" s="6"/>
      <c r="F2032" s="6"/>
      <c r="G2032" s="6"/>
      <c r="H2032" s="6"/>
      <c r="I2032" s="53"/>
      <c r="J2032" s="6"/>
      <c r="K2032" s="6"/>
      <c r="L2032" s="6"/>
      <c r="M2032" s="6"/>
      <c r="N2032" s="6"/>
    </row>
    <row r="2033" spans="5:14" x14ac:dyDescent="0.25">
      <c r="E2033" s="6"/>
      <c r="F2033" s="6"/>
      <c r="G2033" s="6"/>
      <c r="H2033" s="6"/>
      <c r="I2033" s="53"/>
      <c r="J2033" s="6"/>
      <c r="K2033" s="6"/>
      <c r="L2033" s="6"/>
      <c r="M2033" s="6"/>
      <c r="N2033" s="6"/>
    </row>
    <row r="2034" spans="5:14" x14ac:dyDescent="0.25">
      <c r="E2034" s="6"/>
      <c r="F2034" s="6"/>
      <c r="G2034" s="6"/>
      <c r="H2034" s="6"/>
      <c r="I2034" s="53"/>
      <c r="J2034" s="6"/>
      <c r="K2034" s="6"/>
      <c r="L2034" s="6"/>
      <c r="M2034" s="6"/>
      <c r="N2034" s="6"/>
    </row>
    <row r="2035" spans="5:14" x14ac:dyDescent="0.25">
      <c r="E2035" s="6"/>
      <c r="F2035" s="6"/>
      <c r="G2035" s="6"/>
      <c r="H2035" s="6"/>
      <c r="I2035" s="53"/>
      <c r="J2035" s="6"/>
      <c r="K2035" s="6"/>
      <c r="L2035" s="6"/>
      <c r="M2035" s="6"/>
      <c r="N2035" s="6"/>
    </row>
    <row r="2036" spans="5:14" x14ac:dyDescent="0.25">
      <c r="E2036" s="6"/>
      <c r="F2036" s="6"/>
      <c r="G2036" s="6"/>
      <c r="H2036" s="6"/>
      <c r="I2036" s="53"/>
      <c r="J2036" s="6"/>
      <c r="K2036" s="6"/>
      <c r="L2036" s="6"/>
      <c r="M2036" s="6"/>
      <c r="N2036" s="6"/>
    </row>
    <row r="2037" spans="5:14" x14ac:dyDescent="0.25">
      <c r="E2037" s="6"/>
      <c r="F2037" s="6"/>
      <c r="G2037" s="6"/>
      <c r="H2037" s="6"/>
      <c r="I2037" s="53"/>
      <c r="J2037" s="6"/>
      <c r="K2037" s="6"/>
      <c r="L2037" s="6"/>
      <c r="M2037" s="6"/>
      <c r="N2037" s="6"/>
    </row>
    <row r="2038" spans="5:14" x14ac:dyDescent="0.25">
      <c r="E2038" s="6"/>
      <c r="F2038" s="6"/>
      <c r="G2038" s="6"/>
      <c r="H2038" s="6"/>
      <c r="I2038" s="53"/>
      <c r="J2038" s="6"/>
      <c r="K2038" s="6"/>
      <c r="L2038" s="6"/>
      <c r="M2038" s="6"/>
      <c r="N2038" s="6"/>
    </row>
    <row r="2039" spans="5:14" x14ac:dyDescent="0.25">
      <c r="E2039" s="6"/>
      <c r="F2039" s="6"/>
      <c r="G2039" s="6"/>
      <c r="H2039" s="6"/>
      <c r="I2039" s="53"/>
      <c r="J2039" s="6"/>
      <c r="K2039" s="6"/>
      <c r="L2039" s="6"/>
      <c r="M2039" s="6"/>
      <c r="N2039" s="6"/>
    </row>
    <row r="2040" spans="5:14" x14ac:dyDescent="0.25">
      <c r="E2040" s="6"/>
      <c r="F2040" s="6"/>
      <c r="G2040" s="6"/>
      <c r="H2040" s="6"/>
      <c r="I2040" s="53"/>
      <c r="J2040" s="6"/>
      <c r="K2040" s="6"/>
      <c r="L2040" s="6"/>
      <c r="M2040" s="6"/>
      <c r="N2040" s="6"/>
    </row>
    <row r="2041" spans="5:14" x14ac:dyDescent="0.25">
      <c r="E2041" s="6"/>
      <c r="F2041" s="6"/>
      <c r="G2041" s="6"/>
      <c r="H2041" s="6"/>
      <c r="I2041" s="53"/>
      <c r="J2041" s="6"/>
      <c r="K2041" s="6"/>
      <c r="L2041" s="6"/>
      <c r="M2041" s="6"/>
      <c r="N2041" s="6"/>
    </row>
    <row r="2042" spans="5:14" x14ac:dyDescent="0.25">
      <c r="E2042" s="6"/>
      <c r="F2042" s="6"/>
      <c r="G2042" s="6"/>
      <c r="H2042" s="6"/>
      <c r="I2042" s="53"/>
      <c r="J2042" s="6"/>
      <c r="K2042" s="6"/>
      <c r="L2042" s="6"/>
      <c r="M2042" s="6"/>
      <c r="N2042" s="6"/>
    </row>
    <row r="2043" spans="5:14" x14ac:dyDescent="0.25">
      <c r="E2043" s="6"/>
      <c r="F2043" s="6"/>
      <c r="G2043" s="6"/>
      <c r="H2043" s="6"/>
      <c r="I2043" s="53"/>
      <c r="J2043" s="6"/>
      <c r="K2043" s="6"/>
      <c r="L2043" s="6"/>
      <c r="M2043" s="6"/>
      <c r="N2043" s="6"/>
    </row>
    <row r="2044" spans="5:14" x14ac:dyDescent="0.25">
      <c r="E2044" s="6"/>
      <c r="F2044" s="6"/>
      <c r="G2044" s="6"/>
      <c r="H2044" s="6"/>
      <c r="I2044" s="53"/>
      <c r="J2044" s="6"/>
      <c r="K2044" s="6"/>
      <c r="L2044" s="6"/>
      <c r="M2044" s="6"/>
      <c r="N2044" s="6"/>
    </row>
    <row r="2045" spans="5:14" x14ac:dyDescent="0.25">
      <c r="E2045" s="6"/>
      <c r="F2045" s="6"/>
      <c r="G2045" s="6"/>
      <c r="H2045" s="6"/>
      <c r="I2045" s="53"/>
      <c r="J2045" s="6"/>
      <c r="K2045" s="6"/>
      <c r="L2045" s="6"/>
      <c r="M2045" s="6"/>
      <c r="N2045" s="6"/>
    </row>
    <row r="2046" spans="5:14" x14ac:dyDescent="0.25">
      <c r="E2046" s="6"/>
      <c r="F2046" s="6"/>
      <c r="G2046" s="6"/>
      <c r="H2046" s="6"/>
      <c r="I2046" s="53"/>
      <c r="J2046" s="6"/>
      <c r="K2046" s="6"/>
      <c r="L2046" s="6"/>
      <c r="M2046" s="6"/>
      <c r="N2046" s="6"/>
    </row>
    <row r="2047" spans="5:14" x14ac:dyDescent="0.25">
      <c r="E2047" s="6"/>
      <c r="F2047" s="6"/>
      <c r="G2047" s="6"/>
      <c r="H2047" s="6"/>
      <c r="I2047" s="53"/>
      <c r="J2047" s="6"/>
      <c r="K2047" s="6"/>
      <c r="L2047" s="6"/>
      <c r="M2047" s="6"/>
      <c r="N2047" s="6"/>
    </row>
    <row r="2048" spans="5:14" x14ac:dyDescent="0.25">
      <c r="E2048" s="6"/>
      <c r="F2048" s="6"/>
      <c r="G2048" s="6"/>
      <c r="H2048" s="6"/>
      <c r="I2048" s="53"/>
      <c r="J2048" s="6"/>
      <c r="K2048" s="6"/>
      <c r="L2048" s="6"/>
      <c r="M2048" s="6"/>
      <c r="N2048" s="6"/>
    </row>
    <row r="2049" spans="5:14" x14ac:dyDescent="0.25">
      <c r="E2049" s="6"/>
      <c r="F2049" s="6"/>
      <c r="G2049" s="6"/>
      <c r="H2049" s="6"/>
      <c r="I2049" s="53"/>
      <c r="J2049" s="6"/>
      <c r="K2049" s="6"/>
      <c r="L2049" s="6"/>
      <c r="M2049" s="6"/>
      <c r="N2049" s="6"/>
    </row>
    <row r="2050" spans="5:14" x14ac:dyDescent="0.25">
      <c r="E2050" s="6"/>
      <c r="F2050" s="6"/>
      <c r="G2050" s="6"/>
      <c r="H2050" s="6"/>
      <c r="I2050" s="53"/>
      <c r="J2050" s="6"/>
      <c r="K2050" s="6"/>
      <c r="L2050" s="6"/>
      <c r="M2050" s="6"/>
      <c r="N2050" s="6"/>
    </row>
    <row r="2051" spans="5:14" x14ac:dyDescent="0.25">
      <c r="E2051" s="6"/>
      <c r="F2051" s="6"/>
      <c r="G2051" s="6"/>
      <c r="H2051" s="6"/>
      <c r="I2051" s="53"/>
      <c r="J2051" s="6"/>
      <c r="K2051" s="6"/>
      <c r="L2051" s="6"/>
      <c r="M2051" s="6"/>
      <c r="N2051" s="6"/>
    </row>
    <row r="2052" spans="5:14" x14ac:dyDescent="0.25">
      <c r="E2052" s="6"/>
      <c r="F2052" s="6"/>
      <c r="G2052" s="6"/>
      <c r="H2052" s="6"/>
      <c r="I2052" s="53"/>
      <c r="J2052" s="6"/>
      <c r="K2052" s="6"/>
      <c r="L2052" s="6"/>
      <c r="M2052" s="6"/>
      <c r="N2052" s="6"/>
    </row>
    <row r="2053" spans="5:14" x14ac:dyDescent="0.25">
      <c r="E2053" s="6"/>
      <c r="F2053" s="6"/>
      <c r="G2053" s="6"/>
      <c r="H2053" s="6"/>
      <c r="I2053" s="53"/>
      <c r="J2053" s="6"/>
      <c r="K2053" s="6"/>
      <c r="L2053" s="6"/>
      <c r="M2053" s="6"/>
      <c r="N2053" s="6"/>
    </row>
    <row r="2054" spans="5:14" x14ac:dyDescent="0.25">
      <c r="E2054" s="6"/>
      <c r="F2054" s="6"/>
      <c r="G2054" s="6"/>
      <c r="H2054" s="6"/>
      <c r="I2054" s="53"/>
      <c r="J2054" s="6"/>
      <c r="K2054" s="6"/>
      <c r="L2054" s="6"/>
      <c r="M2054" s="6"/>
      <c r="N2054" s="6"/>
    </row>
    <row r="2055" spans="5:14" x14ac:dyDescent="0.25">
      <c r="E2055" s="6"/>
      <c r="F2055" s="6"/>
      <c r="G2055" s="6"/>
      <c r="H2055" s="6"/>
      <c r="I2055" s="53"/>
      <c r="J2055" s="6"/>
      <c r="K2055" s="6"/>
      <c r="L2055" s="6"/>
      <c r="M2055" s="6"/>
      <c r="N2055" s="6"/>
    </row>
    <row r="2056" spans="5:14" x14ac:dyDescent="0.25">
      <c r="E2056" s="6"/>
      <c r="F2056" s="6"/>
      <c r="G2056" s="6"/>
      <c r="H2056" s="6"/>
      <c r="I2056" s="53"/>
      <c r="J2056" s="6"/>
      <c r="K2056" s="6"/>
      <c r="L2056" s="6"/>
      <c r="M2056" s="6"/>
      <c r="N2056" s="6"/>
    </row>
    <row r="2057" spans="5:14" x14ac:dyDescent="0.25">
      <c r="E2057" s="6"/>
      <c r="F2057" s="6"/>
      <c r="G2057" s="6"/>
      <c r="H2057" s="6"/>
      <c r="I2057" s="53"/>
      <c r="J2057" s="6"/>
      <c r="K2057" s="6"/>
      <c r="L2057" s="6"/>
      <c r="M2057" s="6"/>
      <c r="N2057" s="6"/>
    </row>
    <row r="2058" spans="5:14" x14ac:dyDescent="0.25">
      <c r="E2058" s="6"/>
      <c r="F2058" s="6"/>
      <c r="G2058" s="6"/>
      <c r="H2058" s="6"/>
      <c r="I2058" s="53"/>
      <c r="J2058" s="6"/>
      <c r="K2058" s="6"/>
      <c r="L2058" s="6"/>
      <c r="M2058" s="6"/>
      <c r="N2058" s="6"/>
    </row>
    <row r="2059" spans="5:14" x14ac:dyDescent="0.25">
      <c r="E2059" s="6"/>
      <c r="F2059" s="6"/>
      <c r="G2059" s="6"/>
      <c r="H2059" s="6"/>
      <c r="I2059" s="53"/>
      <c r="J2059" s="6"/>
      <c r="K2059" s="6"/>
      <c r="L2059" s="6"/>
      <c r="M2059" s="6"/>
      <c r="N2059" s="6"/>
    </row>
    <row r="2060" spans="5:14" x14ac:dyDescent="0.25">
      <c r="E2060" s="6"/>
      <c r="F2060" s="6"/>
      <c r="G2060" s="6"/>
      <c r="H2060" s="6"/>
      <c r="I2060" s="53"/>
      <c r="J2060" s="6"/>
      <c r="K2060" s="6"/>
      <c r="L2060" s="6"/>
      <c r="M2060" s="6"/>
      <c r="N2060" s="6"/>
    </row>
    <row r="2061" spans="5:14" x14ac:dyDescent="0.25">
      <c r="E2061" s="6"/>
      <c r="F2061" s="6"/>
      <c r="G2061" s="6"/>
      <c r="H2061" s="6"/>
      <c r="I2061" s="53"/>
      <c r="J2061" s="6"/>
      <c r="K2061" s="6"/>
      <c r="L2061" s="6"/>
      <c r="M2061" s="6"/>
      <c r="N2061" s="6"/>
    </row>
    <row r="2062" spans="5:14" x14ac:dyDescent="0.25">
      <c r="E2062" s="6"/>
      <c r="F2062" s="6"/>
      <c r="G2062" s="6"/>
      <c r="H2062" s="6"/>
      <c r="I2062" s="53"/>
      <c r="J2062" s="6"/>
      <c r="K2062" s="6"/>
      <c r="L2062" s="6"/>
      <c r="M2062" s="6"/>
      <c r="N2062" s="6"/>
    </row>
    <row r="2063" spans="5:14" x14ac:dyDescent="0.25">
      <c r="E2063" s="6"/>
      <c r="F2063" s="6"/>
      <c r="G2063" s="6"/>
      <c r="H2063" s="6"/>
      <c r="I2063" s="53"/>
      <c r="J2063" s="6"/>
      <c r="K2063" s="6"/>
      <c r="L2063" s="6"/>
      <c r="M2063" s="6"/>
      <c r="N2063" s="6"/>
    </row>
    <row r="2064" spans="5:14" x14ac:dyDescent="0.25">
      <c r="E2064" s="6"/>
      <c r="F2064" s="6"/>
      <c r="G2064" s="6"/>
      <c r="H2064" s="6"/>
      <c r="I2064" s="53"/>
      <c r="J2064" s="6"/>
      <c r="K2064" s="6"/>
      <c r="L2064" s="6"/>
      <c r="M2064" s="6"/>
      <c r="N2064" s="6"/>
    </row>
    <row r="2065" spans="5:14" x14ac:dyDescent="0.25">
      <c r="E2065" s="6"/>
      <c r="F2065" s="6"/>
      <c r="G2065" s="6"/>
      <c r="H2065" s="6"/>
      <c r="I2065" s="53"/>
      <c r="J2065" s="6"/>
      <c r="K2065" s="6"/>
      <c r="L2065" s="6"/>
      <c r="M2065" s="6"/>
      <c r="N2065" s="6"/>
    </row>
    <row r="2066" spans="5:14" x14ac:dyDescent="0.25">
      <c r="E2066" s="6"/>
      <c r="F2066" s="6"/>
      <c r="G2066" s="6"/>
      <c r="H2066" s="6"/>
      <c r="I2066" s="53"/>
      <c r="J2066" s="6"/>
      <c r="K2066" s="6"/>
      <c r="L2066" s="6"/>
      <c r="M2066" s="6"/>
      <c r="N2066" s="6"/>
    </row>
    <row r="2067" spans="5:14" x14ac:dyDescent="0.25">
      <c r="E2067" s="6"/>
      <c r="F2067" s="6"/>
      <c r="G2067" s="6"/>
      <c r="H2067" s="6"/>
      <c r="I2067" s="53"/>
      <c r="J2067" s="6"/>
      <c r="K2067" s="6"/>
      <c r="L2067" s="6"/>
      <c r="M2067" s="6"/>
      <c r="N2067" s="6"/>
    </row>
    <row r="2068" spans="5:14" x14ac:dyDescent="0.25">
      <c r="E2068" s="6"/>
      <c r="F2068" s="6"/>
      <c r="G2068" s="6"/>
      <c r="H2068" s="6"/>
      <c r="I2068" s="53"/>
      <c r="J2068" s="6"/>
      <c r="K2068" s="6"/>
      <c r="L2068" s="6"/>
      <c r="M2068" s="6"/>
      <c r="N2068" s="6"/>
    </row>
    <row r="2069" spans="5:14" x14ac:dyDescent="0.25">
      <c r="E2069" s="6"/>
      <c r="F2069" s="6"/>
      <c r="G2069" s="6"/>
      <c r="H2069" s="6"/>
      <c r="I2069" s="53"/>
      <c r="J2069" s="6"/>
      <c r="K2069" s="6"/>
      <c r="L2069" s="6"/>
      <c r="M2069" s="6"/>
      <c r="N2069" s="6"/>
    </row>
    <row r="2070" spans="5:14" x14ac:dyDescent="0.25">
      <c r="E2070" s="6"/>
      <c r="F2070" s="6"/>
      <c r="G2070" s="6"/>
      <c r="H2070" s="6"/>
      <c r="I2070" s="53"/>
      <c r="J2070" s="6"/>
      <c r="K2070" s="6"/>
      <c r="L2070" s="6"/>
      <c r="M2070" s="6"/>
      <c r="N2070" s="6"/>
    </row>
    <row r="2071" spans="5:14" x14ac:dyDescent="0.25">
      <c r="E2071" s="6"/>
      <c r="F2071" s="6"/>
      <c r="G2071" s="6"/>
      <c r="H2071" s="6"/>
      <c r="I2071" s="53"/>
      <c r="J2071" s="6"/>
      <c r="K2071" s="6"/>
      <c r="L2071" s="6"/>
      <c r="M2071" s="6"/>
      <c r="N2071" s="6"/>
    </row>
    <row r="2072" spans="5:14" x14ac:dyDescent="0.25">
      <c r="E2072" s="6"/>
      <c r="F2072" s="6"/>
      <c r="G2072" s="6"/>
      <c r="H2072" s="6"/>
      <c r="I2072" s="53"/>
      <c r="J2072" s="6"/>
      <c r="K2072" s="6"/>
      <c r="L2072" s="6"/>
      <c r="M2072" s="6"/>
      <c r="N2072" s="6"/>
    </row>
    <row r="2073" spans="5:14" x14ac:dyDescent="0.25">
      <c r="E2073" s="6"/>
      <c r="F2073" s="6"/>
      <c r="G2073" s="6"/>
      <c r="H2073" s="6"/>
      <c r="I2073" s="53"/>
      <c r="J2073" s="6"/>
      <c r="K2073" s="6"/>
      <c r="L2073" s="6"/>
      <c r="M2073" s="6"/>
      <c r="N2073" s="6"/>
    </row>
    <row r="2074" spans="5:14" x14ac:dyDescent="0.25">
      <c r="E2074" s="6"/>
      <c r="F2074" s="6"/>
      <c r="G2074" s="6"/>
      <c r="H2074" s="6"/>
      <c r="I2074" s="53"/>
      <c r="J2074" s="6"/>
      <c r="K2074" s="6"/>
      <c r="L2074" s="6"/>
      <c r="M2074" s="6"/>
      <c r="N2074" s="6"/>
    </row>
    <row r="2075" spans="5:14" x14ac:dyDescent="0.25">
      <c r="E2075" s="6"/>
      <c r="F2075" s="6"/>
      <c r="G2075" s="6"/>
      <c r="H2075" s="6"/>
      <c r="I2075" s="53"/>
      <c r="J2075" s="6"/>
      <c r="K2075" s="6"/>
      <c r="L2075" s="6"/>
      <c r="M2075" s="6"/>
      <c r="N2075" s="6"/>
    </row>
    <row r="2076" spans="5:14" x14ac:dyDescent="0.25">
      <c r="E2076" s="6"/>
      <c r="F2076" s="6"/>
      <c r="G2076" s="6"/>
      <c r="H2076" s="6"/>
      <c r="I2076" s="53"/>
      <c r="J2076" s="6"/>
      <c r="K2076" s="6"/>
      <c r="L2076" s="6"/>
      <c r="M2076" s="6"/>
      <c r="N2076" s="6"/>
    </row>
    <row r="2077" spans="5:14" x14ac:dyDescent="0.25">
      <c r="E2077" s="6"/>
      <c r="F2077" s="6"/>
      <c r="G2077" s="6"/>
      <c r="H2077" s="6"/>
      <c r="I2077" s="53"/>
      <c r="J2077" s="6"/>
      <c r="K2077" s="6"/>
      <c r="L2077" s="6"/>
      <c r="M2077" s="6"/>
      <c r="N2077" s="6"/>
    </row>
    <row r="2078" spans="5:14" x14ac:dyDescent="0.25">
      <c r="E2078" s="6"/>
      <c r="F2078" s="6"/>
      <c r="G2078" s="6"/>
      <c r="H2078" s="6"/>
      <c r="I2078" s="53"/>
      <c r="J2078" s="6"/>
      <c r="K2078" s="6"/>
      <c r="L2078" s="6"/>
      <c r="M2078" s="6"/>
      <c r="N2078" s="6"/>
    </row>
    <row r="2079" spans="5:14" x14ac:dyDescent="0.25">
      <c r="E2079" s="6"/>
      <c r="F2079" s="6"/>
      <c r="G2079" s="6"/>
      <c r="H2079" s="6"/>
      <c r="I2079" s="53"/>
      <c r="J2079" s="6"/>
      <c r="K2079" s="6"/>
      <c r="L2079" s="6"/>
      <c r="M2079" s="6"/>
      <c r="N2079" s="6"/>
    </row>
    <row r="2080" spans="5:14" x14ac:dyDescent="0.25">
      <c r="E2080" s="6"/>
      <c r="F2080" s="6"/>
      <c r="G2080" s="6"/>
      <c r="H2080" s="6"/>
      <c r="I2080" s="53"/>
      <c r="J2080" s="6"/>
      <c r="K2080" s="6"/>
      <c r="L2080" s="6"/>
      <c r="M2080" s="6"/>
      <c r="N2080" s="6"/>
    </row>
    <row r="2081" spans="5:14" x14ac:dyDescent="0.25">
      <c r="E2081" s="6"/>
      <c r="F2081" s="6"/>
      <c r="G2081" s="6"/>
      <c r="H2081" s="6"/>
      <c r="I2081" s="53"/>
      <c r="J2081" s="6"/>
      <c r="K2081" s="6"/>
      <c r="L2081" s="6"/>
      <c r="M2081" s="6"/>
      <c r="N2081" s="6"/>
    </row>
    <row r="2082" spans="5:14" x14ac:dyDescent="0.25">
      <c r="E2082" s="6"/>
      <c r="F2082" s="6"/>
      <c r="G2082" s="6"/>
      <c r="H2082" s="6"/>
      <c r="I2082" s="53"/>
      <c r="J2082" s="6"/>
      <c r="K2082" s="6"/>
      <c r="L2082" s="6"/>
      <c r="M2082" s="6"/>
      <c r="N2082" s="6"/>
    </row>
    <row r="2083" spans="5:14" x14ac:dyDescent="0.25">
      <c r="E2083" s="6"/>
      <c r="F2083" s="6"/>
      <c r="G2083" s="6"/>
      <c r="H2083" s="6"/>
      <c r="I2083" s="53"/>
      <c r="J2083" s="6"/>
      <c r="K2083" s="6"/>
      <c r="L2083" s="6"/>
      <c r="M2083" s="6"/>
      <c r="N2083" s="6"/>
    </row>
    <row r="2084" spans="5:14" x14ac:dyDescent="0.25">
      <c r="E2084" s="6"/>
      <c r="F2084" s="6"/>
      <c r="G2084" s="6"/>
      <c r="H2084" s="6"/>
      <c r="I2084" s="53"/>
      <c r="J2084" s="6"/>
      <c r="K2084" s="6"/>
      <c r="L2084" s="6"/>
      <c r="M2084" s="6"/>
      <c r="N2084" s="6"/>
    </row>
    <row r="2085" spans="5:14" x14ac:dyDescent="0.25">
      <c r="E2085" s="6"/>
      <c r="F2085" s="6"/>
      <c r="G2085" s="6"/>
      <c r="H2085" s="6"/>
      <c r="I2085" s="53"/>
      <c r="J2085" s="6"/>
      <c r="K2085" s="6"/>
      <c r="L2085" s="6"/>
      <c r="M2085" s="6"/>
      <c r="N2085" s="6"/>
    </row>
    <row r="2086" spans="5:14" x14ac:dyDescent="0.25">
      <c r="E2086" s="6"/>
      <c r="F2086" s="6"/>
      <c r="G2086" s="6"/>
      <c r="H2086" s="6"/>
      <c r="I2086" s="53"/>
      <c r="J2086" s="6"/>
      <c r="K2086" s="6"/>
      <c r="L2086" s="6"/>
      <c r="M2086" s="6"/>
      <c r="N2086" s="6"/>
    </row>
    <row r="2087" spans="5:14" x14ac:dyDescent="0.25">
      <c r="E2087" s="6"/>
      <c r="F2087" s="6"/>
      <c r="G2087" s="6"/>
      <c r="H2087" s="6"/>
      <c r="I2087" s="53"/>
      <c r="J2087" s="6"/>
      <c r="K2087" s="6"/>
      <c r="L2087" s="6"/>
      <c r="M2087" s="6"/>
      <c r="N2087" s="6"/>
    </row>
    <row r="2088" spans="5:14" x14ac:dyDescent="0.25">
      <c r="E2088" s="6"/>
      <c r="F2088" s="6"/>
      <c r="G2088" s="6"/>
      <c r="H2088" s="6"/>
      <c r="I2088" s="53"/>
      <c r="J2088" s="6"/>
      <c r="K2088" s="6"/>
      <c r="L2088" s="6"/>
      <c r="M2088" s="6"/>
      <c r="N2088" s="6"/>
    </row>
    <row r="2089" spans="5:14" x14ac:dyDescent="0.25">
      <c r="E2089" s="6"/>
      <c r="F2089" s="6"/>
      <c r="G2089" s="6"/>
      <c r="H2089" s="6"/>
      <c r="I2089" s="53"/>
      <c r="J2089" s="6"/>
      <c r="K2089" s="6"/>
      <c r="L2089" s="6"/>
      <c r="M2089" s="6"/>
      <c r="N2089" s="6"/>
    </row>
    <row r="2090" spans="5:14" x14ac:dyDescent="0.25">
      <c r="E2090" s="6"/>
      <c r="F2090" s="6"/>
      <c r="G2090" s="6"/>
      <c r="H2090" s="6"/>
      <c r="I2090" s="53"/>
      <c r="J2090" s="6"/>
      <c r="K2090" s="6"/>
      <c r="L2090" s="6"/>
      <c r="M2090" s="6"/>
      <c r="N2090" s="6"/>
    </row>
    <row r="2091" spans="5:14" x14ac:dyDescent="0.25">
      <c r="E2091" s="6"/>
      <c r="F2091" s="6"/>
      <c r="G2091" s="6"/>
      <c r="H2091" s="6"/>
      <c r="I2091" s="53"/>
      <c r="J2091" s="6"/>
      <c r="K2091" s="6"/>
      <c r="L2091" s="6"/>
      <c r="M2091" s="6"/>
      <c r="N2091" s="6"/>
    </row>
    <row r="2092" spans="5:14" x14ac:dyDescent="0.25">
      <c r="E2092" s="6"/>
      <c r="F2092" s="6"/>
      <c r="G2092" s="6"/>
      <c r="H2092" s="6"/>
      <c r="I2092" s="53"/>
      <c r="J2092" s="6"/>
      <c r="K2092" s="6"/>
      <c r="L2092" s="6"/>
      <c r="M2092" s="6"/>
      <c r="N2092" s="6"/>
    </row>
    <row r="2093" spans="5:14" x14ac:dyDescent="0.25">
      <c r="E2093" s="6"/>
      <c r="F2093" s="6"/>
      <c r="G2093" s="6"/>
      <c r="H2093" s="6"/>
      <c r="I2093" s="53"/>
      <c r="J2093" s="6"/>
      <c r="K2093" s="6"/>
      <c r="L2093" s="6"/>
      <c r="M2093" s="6"/>
      <c r="N2093" s="6"/>
    </row>
    <row r="2094" spans="5:14" x14ac:dyDescent="0.25">
      <c r="E2094" s="6"/>
      <c r="F2094" s="6"/>
      <c r="G2094" s="6"/>
      <c r="H2094" s="6"/>
      <c r="I2094" s="53"/>
      <c r="J2094" s="6"/>
      <c r="K2094" s="6"/>
      <c r="L2094" s="6"/>
      <c r="M2094" s="6"/>
      <c r="N2094" s="6"/>
    </row>
    <row r="2095" spans="5:14" x14ac:dyDescent="0.25">
      <c r="E2095" s="6"/>
      <c r="F2095" s="6"/>
      <c r="G2095" s="6"/>
      <c r="H2095" s="6"/>
      <c r="I2095" s="53"/>
      <c r="J2095" s="6"/>
      <c r="K2095" s="6"/>
      <c r="L2095" s="6"/>
      <c r="M2095" s="6"/>
      <c r="N2095" s="6"/>
    </row>
    <row r="2096" spans="5:14" x14ac:dyDescent="0.25">
      <c r="E2096" s="6"/>
      <c r="F2096" s="6"/>
      <c r="G2096" s="6"/>
      <c r="H2096" s="6"/>
      <c r="I2096" s="53"/>
      <c r="J2096" s="6"/>
      <c r="K2096" s="6"/>
      <c r="L2096" s="6"/>
      <c r="M2096" s="6"/>
      <c r="N2096" s="6"/>
    </row>
    <row r="2097" spans="5:14" x14ac:dyDescent="0.25">
      <c r="E2097" s="6"/>
      <c r="F2097" s="6"/>
      <c r="G2097" s="6"/>
      <c r="H2097" s="6"/>
      <c r="I2097" s="53"/>
      <c r="J2097" s="6"/>
      <c r="K2097" s="6"/>
      <c r="L2097" s="6"/>
      <c r="M2097" s="6"/>
      <c r="N2097" s="6"/>
    </row>
    <row r="2098" spans="5:14" x14ac:dyDescent="0.25">
      <c r="E2098" s="6"/>
      <c r="F2098" s="6"/>
      <c r="G2098" s="6"/>
      <c r="H2098" s="6"/>
      <c r="I2098" s="53"/>
      <c r="J2098" s="6"/>
      <c r="K2098" s="6"/>
      <c r="L2098" s="6"/>
      <c r="M2098" s="6"/>
      <c r="N2098" s="6"/>
    </row>
    <row r="2099" spans="5:14" x14ac:dyDescent="0.25">
      <c r="E2099" s="6"/>
      <c r="F2099" s="6"/>
      <c r="G2099" s="6"/>
      <c r="H2099" s="6"/>
      <c r="I2099" s="53"/>
      <c r="J2099" s="6"/>
      <c r="K2099" s="6"/>
      <c r="L2099" s="6"/>
      <c r="M2099" s="6"/>
      <c r="N2099" s="6"/>
    </row>
    <row r="2100" spans="5:14" x14ac:dyDescent="0.25">
      <c r="E2100" s="6"/>
      <c r="F2100" s="6"/>
      <c r="G2100" s="6"/>
      <c r="H2100" s="6"/>
      <c r="I2100" s="53"/>
      <c r="J2100" s="6"/>
      <c r="K2100" s="6"/>
      <c r="L2100" s="6"/>
      <c r="M2100" s="6"/>
      <c r="N2100" s="6"/>
    </row>
    <row r="2101" spans="5:14" x14ac:dyDescent="0.25">
      <c r="E2101" s="6"/>
      <c r="F2101" s="6"/>
      <c r="G2101" s="6"/>
      <c r="H2101" s="6"/>
      <c r="I2101" s="53"/>
      <c r="J2101" s="6"/>
      <c r="K2101" s="6"/>
      <c r="L2101" s="6"/>
      <c r="M2101" s="6"/>
      <c r="N2101" s="6"/>
    </row>
    <row r="2102" spans="5:14" x14ac:dyDescent="0.25">
      <c r="E2102" s="6"/>
      <c r="F2102" s="6"/>
      <c r="G2102" s="6"/>
      <c r="H2102" s="6"/>
      <c r="I2102" s="53"/>
      <c r="J2102" s="6"/>
      <c r="K2102" s="6"/>
      <c r="L2102" s="6"/>
      <c r="M2102" s="6"/>
      <c r="N2102" s="6"/>
    </row>
    <row r="2103" spans="5:14" x14ac:dyDescent="0.25">
      <c r="E2103" s="6"/>
      <c r="F2103" s="6"/>
      <c r="G2103" s="6"/>
      <c r="H2103" s="6"/>
      <c r="I2103" s="53"/>
      <c r="J2103" s="6"/>
      <c r="K2103" s="6"/>
      <c r="L2103" s="6"/>
      <c r="M2103" s="6"/>
      <c r="N2103" s="6"/>
    </row>
    <row r="2104" spans="5:14" x14ac:dyDescent="0.25">
      <c r="E2104" s="6"/>
      <c r="F2104" s="6"/>
      <c r="G2104" s="6"/>
      <c r="H2104" s="6"/>
      <c r="I2104" s="53"/>
      <c r="J2104" s="6"/>
      <c r="K2104" s="6"/>
      <c r="L2104" s="6"/>
      <c r="M2104" s="6"/>
      <c r="N2104" s="6"/>
    </row>
    <row r="2105" spans="5:14" x14ac:dyDescent="0.25">
      <c r="E2105" s="6"/>
      <c r="F2105" s="6"/>
      <c r="G2105" s="6"/>
      <c r="H2105" s="6"/>
      <c r="I2105" s="53"/>
      <c r="J2105" s="6"/>
      <c r="K2105" s="6"/>
      <c r="L2105" s="6"/>
      <c r="M2105" s="6"/>
      <c r="N2105" s="6"/>
    </row>
    <row r="2106" spans="5:14" x14ac:dyDescent="0.25">
      <c r="E2106" s="6"/>
      <c r="F2106" s="6"/>
      <c r="G2106" s="6"/>
      <c r="H2106" s="6"/>
      <c r="I2106" s="53"/>
      <c r="J2106" s="6"/>
      <c r="K2106" s="6"/>
      <c r="L2106" s="6"/>
      <c r="M2106" s="6"/>
      <c r="N2106" s="6"/>
    </row>
    <row r="2107" spans="5:14" x14ac:dyDescent="0.25">
      <c r="E2107" s="6"/>
      <c r="F2107" s="6"/>
      <c r="G2107" s="6"/>
      <c r="H2107" s="6"/>
      <c r="I2107" s="53"/>
      <c r="J2107" s="6"/>
      <c r="K2107" s="6"/>
      <c r="L2107" s="6"/>
      <c r="M2107" s="6"/>
      <c r="N2107" s="6"/>
    </row>
    <row r="2108" spans="5:14" x14ac:dyDescent="0.25">
      <c r="E2108" s="6"/>
      <c r="F2108" s="6"/>
      <c r="G2108" s="6"/>
      <c r="H2108" s="6"/>
      <c r="I2108" s="53"/>
      <c r="J2108" s="6"/>
      <c r="K2108" s="6"/>
      <c r="L2108" s="6"/>
      <c r="M2108" s="6"/>
      <c r="N2108" s="6"/>
    </row>
    <row r="2109" spans="5:14" x14ac:dyDescent="0.25">
      <c r="E2109" s="6"/>
      <c r="F2109" s="6"/>
      <c r="G2109" s="6"/>
      <c r="H2109" s="6"/>
      <c r="I2109" s="53"/>
      <c r="J2109" s="6"/>
      <c r="K2109" s="6"/>
      <c r="L2109" s="6"/>
      <c r="M2109" s="6"/>
      <c r="N2109" s="6"/>
    </row>
    <row r="2110" spans="5:14" x14ac:dyDescent="0.25">
      <c r="E2110" s="6"/>
      <c r="F2110" s="6"/>
      <c r="G2110" s="6"/>
      <c r="H2110" s="6"/>
      <c r="I2110" s="53"/>
      <c r="J2110" s="6"/>
      <c r="K2110" s="6"/>
      <c r="L2110" s="6"/>
      <c r="M2110" s="6"/>
      <c r="N2110" s="6"/>
    </row>
    <row r="2111" spans="5:14" x14ac:dyDescent="0.25">
      <c r="E2111" s="6"/>
      <c r="F2111" s="6"/>
      <c r="G2111" s="6"/>
      <c r="H2111" s="6"/>
      <c r="I2111" s="53"/>
      <c r="J2111" s="6"/>
      <c r="K2111" s="6"/>
      <c r="L2111" s="6"/>
      <c r="M2111" s="6"/>
      <c r="N2111" s="6"/>
    </row>
    <row r="2112" spans="5:14" x14ac:dyDescent="0.25">
      <c r="E2112" s="6"/>
      <c r="F2112" s="6"/>
      <c r="G2112" s="6"/>
      <c r="H2112" s="6"/>
      <c r="I2112" s="53"/>
      <c r="J2112" s="6"/>
      <c r="K2112" s="6"/>
      <c r="L2112" s="6"/>
      <c r="M2112" s="6"/>
      <c r="N2112" s="6"/>
    </row>
    <row r="2113" spans="5:14" x14ac:dyDescent="0.25">
      <c r="E2113" s="6"/>
      <c r="F2113" s="6"/>
      <c r="G2113" s="6"/>
      <c r="H2113" s="6"/>
      <c r="I2113" s="53"/>
      <c r="J2113" s="6"/>
      <c r="K2113" s="6"/>
      <c r="L2113" s="6"/>
      <c r="M2113" s="6"/>
      <c r="N2113" s="6"/>
    </row>
    <row r="2114" spans="5:14" x14ac:dyDescent="0.25">
      <c r="E2114" s="6"/>
      <c r="F2114" s="6"/>
      <c r="G2114" s="6"/>
      <c r="H2114" s="6"/>
      <c r="I2114" s="53"/>
      <c r="J2114" s="6"/>
      <c r="K2114" s="6"/>
      <c r="L2114" s="6"/>
      <c r="M2114" s="6"/>
      <c r="N2114" s="6"/>
    </row>
    <row r="2115" spans="5:14" x14ac:dyDescent="0.25">
      <c r="E2115" s="6"/>
      <c r="F2115" s="6"/>
      <c r="G2115" s="6"/>
      <c r="H2115" s="6"/>
      <c r="I2115" s="53"/>
      <c r="J2115" s="6"/>
      <c r="K2115" s="6"/>
      <c r="L2115" s="6"/>
      <c r="M2115" s="6"/>
      <c r="N2115" s="6"/>
    </row>
    <row r="2116" spans="5:14" x14ac:dyDescent="0.25">
      <c r="E2116" s="6"/>
      <c r="F2116" s="6"/>
      <c r="G2116" s="6"/>
      <c r="H2116" s="6"/>
      <c r="I2116" s="53"/>
      <c r="J2116" s="6"/>
      <c r="K2116" s="6"/>
      <c r="L2116" s="6"/>
      <c r="M2116" s="6"/>
      <c r="N2116" s="6"/>
    </row>
    <row r="2117" spans="5:14" x14ac:dyDescent="0.25">
      <c r="E2117" s="6"/>
      <c r="F2117" s="6"/>
      <c r="G2117" s="6"/>
      <c r="H2117" s="6"/>
      <c r="I2117" s="53"/>
      <c r="J2117" s="6"/>
      <c r="K2117" s="6"/>
      <c r="L2117" s="6"/>
      <c r="M2117" s="6"/>
      <c r="N2117" s="6"/>
    </row>
    <row r="2118" spans="5:14" x14ac:dyDescent="0.25">
      <c r="E2118" s="6"/>
      <c r="F2118" s="6"/>
      <c r="G2118" s="6"/>
      <c r="H2118" s="6"/>
      <c r="I2118" s="53"/>
      <c r="J2118" s="6"/>
      <c r="K2118" s="6"/>
      <c r="L2118" s="6"/>
      <c r="M2118" s="6"/>
      <c r="N2118" s="6"/>
    </row>
    <row r="2119" spans="5:14" x14ac:dyDescent="0.25">
      <c r="E2119" s="6"/>
      <c r="F2119" s="6"/>
      <c r="G2119" s="6"/>
      <c r="H2119" s="6"/>
      <c r="I2119" s="53"/>
      <c r="J2119" s="6"/>
      <c r="K2119" s="6"/>
      <c r="L2119" s="6"/>
      <c r="M2119" s="6"/>
      <c r="N2119" s="6"/>
    </row>
    <row r="2120" spans="5:14" x14ac:dyDescent="0.25">
      <c r="E2120" s="6"/>
      <c r="F2120" s="6"/>
      <c r="G2120" s="6"/>
      <c r="H2120" s="6"/>
      <c r="I2120" s="53"/>
      <c r="J2120" s="6"/>
      <c r="K2120" s="6"/>
      <c r="L2120" s="6"/>
      <c r="M2120" s="6"/>
      <c r="N2120" s="6"/>
    </row>
    <row r="2121" spans="5:14" x14ac:dyDescent="0.25">
      <c r="E2121" s="6"/>
      <c r="F2121" s="6"/>
      <c r="G2121" s="6"/>
      <c r="H2121" s="6"/>
      <c r="I2121" s="53"/>
      <c r="J2121" s="6"/>
      <c r="K2121" s="6"/>
      <c r="L2121" s="6"/>
      <c r="M2121" s="6"/>
      <c r="N2121" s="6"/>
    </row>
    <row r="2122" spans="5:14" x14ac:dyDescent="0.25">
      <c r="E2122" s="6"/>
      <c r="F2122" s="6"/>
      <c r="G2122" s="6"/>
      <c r="H2122" s="6"/>
      <c r="I2122" s="53"/>
      <c r="J2122" s="6"/>
      <c r="K2122" s="6"/>
      <c r="L2122" s="6"/>
      <c r="M2122" s="6"/>
      <c r="N2122" s="6"/>
    </row>
    <row r="2123" spans="5:14" x14ac:dyDescent="0.25">
      <c r="E2123" s="6"/>
      <c r="F2123" s="6"/>
      <c r="G2123" s="6"/>
      <c r="H2123" s="6"/>
      <c r="I2123" s="53"/>
      <c r="J2123" s="6"/>
      <c r="K2123" s="6"/>
      <c r="L2123" s="6"/>
      <c r="M2123" s="6"/>
      <c r="N2123" s="6"/>
    </row>
    <row r="2124" spans="5:14" x14ac:dyDescent="0.25">
      <c r="E2124" s="6"/>
      <c r="F2124" s="6"/>
      <c r="G2124" s="6"/>
      <c r="H2124" s="6"/>
      <c r="I2124" s="53"/>
      <c r="J2124" s="6"/>
      <c r="K2124" s="6"/>
      <c r="L2124" s="6"/>
      <c r="M2124" s="6"/>
      <c r="N2124" s="6"/>
    </row>
    <row r="2125" spans="5:14" x14ac:dyDescent="0.25">
      <c r="E2125" s="6"/>
      <c r="F2125" s="6"/>
      <c r="G2125" s="6"/>
      <c r="H2125" s="6"/>
      <c r="I2125" s="53"/>
      <c r="J2125" s="6"/>
      <c r="K2125" s="6"/>
      <c r="L2125" s="6"/>
      <c r="M2125" s="6"/>
      <c r="N2125" s="6"/>
    </row>
    <row r="2126" spans="5:14" x14ac:dyDescent="0.25">
      <c r="E2126" s="6"/>
      <c r="F2126" s="6"/>
      <c r="G2126" s="6"/>
      <c r="H2126" s="6"/>
      <c r="I2126" s="53"/>
      <c r="J2126" s="6"/>
      <c r="K2126" s="6"/>
      <c r="L2126" s="6"/>
      <c r="M2126" s="6"/>
      <c r="N2126" s="6"/>
    </row>
    <row r="2127" spans="5:14" x14ac:dyDescent="0.25">
      <c r="E2127" s="6"/>
      <c r="F2127" s="6"/>
      <c r="G2127" s="6"/>
      <c r="H2127" s="6"/>
      <c r="I2127" s="53"/>
      <c r="J2127" s="6"/>
      <c r="K2127" s="6"/>
      <c r="L2127" s="6"/>
      <c r="M2127" s="6"/>
      <c r="N2127" s="6"/>
    </row>
    <row r="2128" spans="5:14" x14ac:dyDescent="0.25">
      <c r="E2128" s="6"/>
      <c r="F2128" s="6"/>
      <c r="G2128" s="6"/>
      <c r="H2128" s="6"/>
      <c r="I2128" s="53"/>
      <c r="J2128" s="6"/>
      <c r="K2128" s="6"/>
      <c r="L2128" s="6"/>
      <c r="M2128" s="6"/>
      <c r="N2128" s="6"/>
    </row>
    <row r="2129" spans="5:14" x14ac:dyDescent="0.25">
      <c r="E2129" s="6"/>
      <c r="F2129" s="6"/>
      <c r="G2129" s="6"/>
      <c r="H2129" s="6"/>
      <c r="I2129" s="53"/>
      <c r="J2129" s="6"/>
      <c r="K2129" s="6"/>
      <c r="L2129" s="6"/>
      <c r="M2129" s="6"/>
      <c r="N2129" s="6"/>
    </row>
    <row r="2130" spans="5:14" x14ac:dyDescent="0.25">
      <c r="E2130" s="6"/>
      <c r="F2130" s="6"/>
      <c r="G2130" s="6"/>
      <c r="H2130" s="6"/>
      <c r="I2130" s="53"/>
      <c r="J2130" s="6"/>
      <c r="K2130" s="6"/>
      <c r="L2130" s="6"/>
      <c r="M2130" s="6"/>
      <c r="N2130" s="6"/>
    </row>
    <row r="2131" spans="5:14" x14ac:dyDescent="0.25">
      <c r="E2131" s="6"/>
      <c r="F2131" s="6"/>
      <c r="G2131" s="6"/>
      <c r="H2131" s="6"/>
      <c r="I2131" s="53"/>
      <c r="J2131" s="6"/>
      <c r="K2131" s="6"/>
      <c r="L2131" s="6"/>
      <c r="M2131" s="6"/>
      <c r="N2131" s="6"/>
    </row>
    <row r="2132" spans="5:14" x14ac:dyDescent="0.25">
      <c r="E2132" s="6"/>
      <c r="F2132" s="6"/>
      <c r="G2132" s="6"/>
      <c r="H2132" s="6"/>
      <c r="I2132" s="53"/>
      <c r="J2132" s="6"/>
      <c r="K2132" s="6"/>
      <c r="L2132" s="6"/>
      <c r="M2132" s="6"/>
      <c r="N2132" s="6"/>
    </row>
    <row r="2133" spans="5:14" x14ac:dyDescent="0.25">
      <c r="E2133" s="6"/>
      <c r="F2133" s="6"/>
      <c r="G2133" s="6"/>
      <c r="H2133" s="6"/>
      <c r="I2133" s="53"/>
      <c r="J2133" s="6"/>
      <c r="K2133" s="6"/>
      <c r="L2133" s="6"/>
      <c r="M2133" s="6"/>
      <c r="N2133" s="6"/>
    </row>
    <row r="2134" spans="5:14" x14ac:dyDescent="0.25">
      <c r="E2134" s="6"/>
      <c r="F2134" s="6"/>
      <c r="G2134" s="6"/>
      <c r="H2134" s="6"/>
      <c r="I2134" s="53"/>
      <c r="J2134" s="6"/>
      <c r="K2134" s="6"/>
      <c r="L2134" s="6"/>
      <c r="M2134" s="6"/>
      <c r="N2134" s="6"/>
    </row>
    <row r="2135" spans="5:14" x14ac:dyDescent="0.25">
      <c r="E2135" s="6"/>
      <c r="F2135" s="6"/>
      <c r="G2135" s="6"/>
      <c r="H2135" s="6"/>
      <c r="I2135" s="53"/>
      <c r="J2135" s="6"/>
      <c r="K2135" s="6"/>
      <c r="L2135" s="6"/>
      <c r="M2135" s="6"/>
      <c r="N2135" s="6"/>
    </row>
    <row r="2136" spans="5:14" x14ac:dyDescent="0.25">
      <c r="E2136" s="6"/>
      <c r="F2136" s="6"/>
      <c r="G2136" s="6"/>
      <c r="H2136" s="6"/>
      <c r="I2136" s="53"/>
      <c r="J2136" s="6"/>
      <c r="K2136" s="6"/>
      <c r="L2136" s="6"/>
      <c r="M2136" s="6"/>
      <c r="N2136" s="6"/>
    </row>
    <row r="2137" spans="5:14" x14ac:dyDescent="0.25">
      <c r="E2137" s="6"/>
      <c r="F2137" s="6"/>
      <c r="G2137" s="6"/>
      <c r="H2137" s="6"/>
      <c r="I2137" s="53"/>
      <c r="J2137" s="6"/>
      <c r="K2137" s="6"/>
      <c r="L2137" s="6"/>
      <c r="M2137" s="6"/>
      <c r="N2137" s="6"/>
    </row>
    <row r="2138" spans="5:14" x14ac:dyDescent="0.25">
      <c r="E2138" s="6"/>
      <c r="F2138" s="6"/>
      <c r="G2138" s="6"/>
      <c r="H2138" s="6"/>
      <c r="I2138" s="53"/>
      <c r="J2138" s="6"/>
      <c r="K2138" s="6"/>
      <c r="L2138" s="6"/>
      <c r="M2138" s="6"/>
      <c r="N2138" s="6"/>
    </row>
    <row r="2139" spans="5:14" x14ac:dyDescent="0.25">
      <c r="E2139" s="6"/>
      <c r="F2139" s="6"/>
      <c r="G2139" s="6"/>
      <c r="H2139" s="6"/>
      <c r="I2139" s="53"/>
      <c r="J2139" s="6"/>
      <c r="K2139" s="6"/>
      <c r="L2139" s="6"/>
      <c r="M2139" s="6"/>
      <c r="N2139" s="6"/>
    </row>
    <row r="2140" spans="5:14" x14ac:dyDescent="0.25">
      <c r="E2140" s="6"/>
      <c r="F2140" s="6"/>
      <c r="G2140" s="6"/>
      <c r="H2140" s="6"/>
      <c r="I2140" s="53"/>
      <c r="J2140" s="6"/>
      <c r="K2140" s="6"/>
      <c r="L2140" s="6"/>
      <c r="M2140" s="6"/>
      <c r="N2140" s="6"/>
    </row>
    <row r="2141" spans="5:14" x14ac:dyDescent="0.25">
      <c r="E2141" s="6"/>
      <c r="F2141" s="6"/>
      <c r="G2141" s="6"/>
      <c r="H2141" s="6"/>
      <c r="I2141" s="53"/>
      <c r="J2141" s="6"/>
      <c r="K2141" s="6"/>
      <c r="L2141" s="6"/>
      <c r="M2141" s="6"/>
      <c r="N2141" s="6"/>
    </row>
    <row r="2142" spans="5:14" x14ac:dyDescent="0.25">
      <c r="E2142" s="6"/>
      <c r="F2142" s="6"/>
      <c r="G2142" s="6"/>
      <c r="H2142" s="6"/>
      <c r="I2142" s="53"/>
      <c r="J2142" s="6"/>
      <c r="K2142" s="6"/>
      <c r="L2142" s="6"/>
      <c r="M2142" s="6"/>
      <c r="N2142" s="6"/>
    </row>
    <row r="2143" spans="5:14" x14ac:dyDescent="0.25">
      <c r="E2143" s="6"/>
      <c r="F2143" s="6"/>
      <c r="G2143" s="6"/>
      <c r="H2143" s="6"/>
      <c r="I2143" s="53"/>
      <c r="J2143" s="6"/>
      <c r="K2143" s="6"/>
      <c r="L2143" s="6"/>
      <c r="M2143" s="6"/>
      <c r="N2143" s="6"/>
    </row>
    <row r="2144" spans="5:14" x14ac:dyDescent="0.25">
      <c r="E2144" s="6"/>
      <c r="F2144" s="6"/>
      <c r="G2144" s="6"/>
      <c r="H2144" s="6"/>
      <c r="I2144" s="53"/>
      <c r="J2144" s="6"/>
      <c r="K2144" s="6"/>
      <c r="L2144" s="6"/>
      <c r="M2144" s="6"/>
      <c r="N2144" s="6"/>
    </row>
    <row r="2145" spans="5:14" x14ac:dyDescent="0.25">
      <c r="E2145" s="6"/>
      <c r="F2145" s="6"/>
      <c r="G2145" s="6"/>
      <c r="H2145" s="6"/>
      <c r="I2145" s="53"/>
      <c r="J2145" s="6"/>
      <c r="K2145" s="6"/>
      <c r="L2145" s="6"/>
      <c r="M2145" s="6"/>
      <c r="N2145" s="6"/>
    </row>
    <row r="2146" spans="5:14" x14ac:dyDescent="0.25">
      <c r="E2146" s="6"/>
      <c r="F2146" s="6"/>
      <c r="G2146" s="6"/>
      <c r="H2146" s="6"/>
      <c r="I2146" s="53"/>
      <c r="J2146" s="6"/>
      <c r="K2146" s="6"/>
      <c r="L2146" s="6"/>
      <c r="M2146" s="6"/>
      <c r="N2146" s="6"/>
    </row>
    <row r="2147" spans="5:14" x14ac:dyDescent="0.25">
      <c r="E2147" s="6"/>
      <c r="F2147" s="6"/>
      <c r="G2147" s="6"/>
      <c r="H2147" s="6"/>
      <c r="I2147" s="53"/>
      <c r="J2147" s="6"/>
      <c r="K2147" s="6"/>
      <c r="L2147" s="6"/>
      <c r="M2147" s="6"/>
      <c r="N2147" s="6"/>
    </row>
    <row r="2148" spans="5:14" x14ac:dyDescent="0.25">
      <c r="E2148" s="6"/>
      <c r="F2148" s="6"/>
      <c r="G2148" s="6"/>
      <c r="H2148" s="6"/>
      <c r="I2148" s="53"/>
      <c r="J2148" s="6"/>
      <c r="K2148" s="6"/>
      <c r="L2148" s="6"/>
      <c r="M2148" s="6"/>
      <c r="N2148" s="6"/>
    </row>
    <row r="2149" spans="5:14" x14ac:dyDescent="0.25">
      <c r="E2149" s="6"/>
      <c r="F2149" s="6"/>
      <c r="G2149" s="6"/>
      <c r="H2149" s="6"/>
      <c r="I2149" s="53"/>
      <c r="J2149" s="6"/>
      <c r="K2149" s="6"/>
      <c r="L2149" s="6"/>
      <c r="M2149" s="6"/>
      <c r="N2149" s="6"/>
    </row>
    <row r="2150" spans="5:14" x14ac:dyDescent="0.25">
      <c r="E2150" s="6"/>
      <c r="F2150" s="6"/>
      <c r="G2150" s="6"/>
      <c r="H2150" s="6"/>
      <c r="I2150" s="53"/>
      <c r="J2150" s="6"/>
      <c r="K2150" s="6"/>
      <c r="L2150" s="6"/>
      <c r="M2150" s="6"/>
      <c r="N2150" s="6"/>
    </row>
    <row r="2151" spans="5:14" x14ac:dyDescent="0.25">
      <c r="E2151" s="6"/>
      <c r="F2151" s="6"/>
      <c r="G2151" s="6"/>
      <c r="H2151" s="6"/>
      <c r="I2151" s="53"/>
      <c r="J2151" s="6"/>
      <c r="K2151" s="6"/>
      <c r="L2151" s="6"/>
      <c r="M2151" s="6"/>
      <c r="N2151" s="6"/>
    </row>
    <row r="2152" spans="5:14" x14ac:dyDescent="0.25">
      <c r="E2152" s="6"/>
      <c r="F2152" s="6"/>
      <c r="G2152" s="6"/>
      <c r="H2152" s="6"/>
      <c r="I2152" s="53"/>
      <c r="J2152" s="6"/>
      <c r="K2152" s="6"/>
      <c r="L2152" s="6"/>
      <c r="M2152" s="6"/>
      <c r="N2152" s="6"/>
    </row>
    <row r="2153" spans="5:14" x14ac:dyDescent="0.25">
      <c r="E2153" s="6"/>
      <c r="F2153" s="6"/>
      <c r="G2153" s="6"/>
      <c r="H2153" s="6"/>
      <c r="I2153" s="53"/>
      <c r="J2153" s="6"/>
      <c r="K2153" s="6"/>
      <c r="L2153" s="6"/>
      <c r="M2153" s="6"/>
      <c r="N2153" s="6"/>
    </row>
    <row r="2154" spans="5:14" x14ac:dyDescent="0.25">
      <c r="E2154" s="6"/>
      <c r="F2154" s="6"/>
      <c r="G2154" s="6"/>
      <c r="H2154" s="6"/>
      <c r="I2154" s="53"/>
      <c r="J2154" s="6"/>
      <c r="K2154" s="6"/>
      <c r="L2154" s="6"/>
      <c r="M2154" s="6"/>
      <c r="N2154" s="6"/>
    </row>
    <row r="2155" spans="5:14" x14ac:dyDescent="0.25">
      <c r="E2155" s="6"/>
      <c r="F2155" s="6"/>
      <c r="G2155" s="6"/>
      <c r="H2155" s="6"/>
      <c r="I2155" s="53"/>
      <c r="J2155" s="6"/>
      <c r="K2155" s="6"/>
      <c r="L2155" s="6"/>
      <c r="M2155" s="6"/>
      <c r="N2155" s="6"/>
    </row>
    <row r="2156" spans="5:14" x14ac:dyDescent="0.25">
      <c r="E2156" s="6"/>
      <c r="F2156" s="6"/>
      <c r="G2156" s="6"/>
      <c r="H2156" s="6"/>
      <c r="I2156" s="53"/>
      <c r="J2156" s="6"/>
      <c r="K2156" s="6"/>
      <c r="L2156" s="6"/>
      <c r="M2156" s="6"/>
      <c r="N2156" s="6"/>
    </row>
    <row r="2157" spans="5:14" x14ac:dyDescent="0.25">
      <c r="E2157" s="6"/>
      <c r="F2157" s="6"/>
      <c r="G2157" s="6"/>
      <c r="H2157" s="6"/>
      <c r="I2157" s="53"/>
      <c r="J2157" s="6"/>
      <c r="K2157" s="6"/>
      <c r="L2157" s="6"/>
      <c r="M2157" s="6"/>
      <c r="N2157" s="6"/>
    </row>
    <row r="2158" spans="5:14" x14ac:dyDescent="0.25">
      <c r="E2158" s="6"/>
      <c r="F2158" s="6"/>
      <c r="G2158" s="6"/>
      <c r="H2158" s="6"/>
      <c r="I2158" s="53"/>
      <c r="J2158" s="6"/>
      <c r="K2158" s="6"/>
      <c r="L2158" s="6"/>
      <c r="M2158" s="6"/>
      <c r="N2158" s="6"/>
    </row>
    <row r="2159" spans="5:14" x14ac:dyDescent="0.25">
      <c r="E2159" s="6"/>
      <c r="F2159" s="6"/>
      <c r="G2159" s="6"/>
      <c r="H2159" s="6"/>
      <c r="I2159" s="53"/>
      <c r="J2159" s="6"/>
      <c r="K2159" s="6"/>
      <c r="L2159" s="6"/>
      <c r="M2159" s="6"/>
      <c r="N2159" s="6"/>
    </row>
    <row r="2160" spans="5:14" x14ac:dyDescent="0.25">
      <c r="E2160" s="6"/>
      <c r="F2160" s="6"/>
      <c r="G2160" s="6"/>
      <c r="H2160" s="6"/>
      <c r="I2160" s="53"/>
      <c r="J2160" s="6"/>
      <c r="K2160" s="6"/>
      <c r="L2160" s="6"/>
      <c r="M2160" s="6"/>
      <c r="N2160" s="6"/>
    </row>
    <row r="2161" spans="5:14" x14ac:dyDescent="0.25">
      <c r="E2161" s="6"/>
      <c r="F2161" s="6"/>
      <c r="G2161" s="6"/>
      <c r="H2161" s="6"/>
      <c r="I2161" s="53"/>
      <c r="J2161" s="6"/>
      <c r="K2161" s="6"/>
      <c r="L2161" s="6"/>
      <c r="M2161" s="6"/>
      <c r="N2161" s="6"/>
    </row>
    <row r="2162" spans="5:14" x14ac:dyDescent="0.25">
      <c r="E2162" s="6"/>
      <c r="F2162" s="6"/>
      <c r="G2162" s="6"/>
      <c r="H2162" s="6"/>
      <c r="I2162" s="53"/>
      <c r="J2162" s="6"/>
      <c r="K2162" s="6"/>
      <c r="L2162" s="6"/>
      <c r="M2162" s="6"/>
      <c r="N2162" s="6"/>
    </row>
    <row r="2163" spans="5:14" x14ac:dyDescent="0.25">
      <c r="E2163" s="6"/>
      <c r="F2163" s="6"/>
      <c r="G2163" s="6"/>
      <c r="H2163" s="6"/>
      <c r="I2163" s="53"/>
      <c r="J2163" s="6"/>
      <c r="K2163" s="6"/>
      <c r="L2163" s="6"/>
      <c r="M2163" s="6"/>
      <c r="N2163" s="6"/>
    </row>
    <row r="2164" spans="5:14" x14ac:dyDescent="0.25">
      <c r="E2164" s="6"/>
      <c r="F2164" s="6"/>
      <c r="G2164" s="6"/>
      <c r="H2164" s="6"/>
      <c r="I2164" s="53"/>
      <c r="J2164" s="6"/>
      <c r="K2164" s="6"/>
      <c r="L2164" s="6"/>
      <c r="M2164" s="6"/>
      <c r="N2164" s="6"/>
    </row>
    <row r="2165" spans="5:14" x14ac:dyDescent="0.25">
      <c r="E2165" s="6"/>
      <c r="F2165" s="6"/>
      <c r="G2165" s="6"/>
      <c r="H2165" s="6"/>
      <c r="I2165" s="53"/>
      <c r="J2165" s="6"/>
      <c r="K2165" s="6"/>
      <c r="L2165" s="6"/>
      <c r="M2165" s="6"/>
      <c r="N2165" s="6"/>
    </row>
    <row r="2166" spans="5:14" x14ac:dyDescent="0.25">
      <c r="E2166" s="6"/>
      <c r="F2166" s="6"/>
      <c r="G2166" s="6"/>
      <c r="H2166" s="6"/>
      <c r="I2166" s="53"/>
      <c r="J2166" s="6"/>
      <c r="K2166" s="6"/>
      <c r="L2166" s="6"/>
      <c r="M2166" s="6"/>
      <c r="N2166" s="6"/>
    </row>
    <row r="2167" spans="5:14" x14ac:dyDescent="0.25">
      <c r="E2167" s="6"/>
      <c r="F2167" s="6"/>
      <c r="G2167" s="6"/>
      <c r="H2167" s="6"/>
      <c r="I2167" s="53"/>
      <c r="J2167" s="6"/>
      <c r="K2167" s="6"/>
      <c r="L2167" s="6"/>
      <c r="M2167" s="6"/>
      <c r="N2167" s="6"/>
    </row>
    <row r="2168" spans="5:14" x14ac:dyDescent="0.25">
      <c r="E2168" s="6"/>
      <c r="F2168" s="6"/>
      <c r="G2168" s="6"/>
      <c r="H2168" s="6"/>
      <c r="I2168" s="53"/>
      <c r="J2168" s="6"/>
      <c r="K2168" s="6"/>
      <c r="L2168" s="6"/>
      <c r="M2168" s="6"/>
      <c r="N2168" s="6"/>
    </row>
    <row r="2169" spans="5:14" x14ac:dyDescent="0.25">
      <c r="E2169" s="6"/>
      <c r="F2169" s="6"/>
      <c r="G2169" s="6"/>
      <c r="H2169" s="6"/>
      <c r="I2169" s="53"/>
      <c r="J2169" s="6"/>
      <c r="K2169" s="6"/>
      <c r="L2169" s="6"/>
      <c r="M2169" s="6"/>
      <c r="N2169" s="6"/>
    </row>
    <row r="2170" spans="5:14" x14ac:dyDescent="0.25">
      <c r="E2170" s="6"/>
      <c r="F2170" s="6"/>
      <c r="G2170" s="6"/>
      <c r="H2170" s="6"/>
      <c r="I2170" s="53"/>
      <c r="J2170" s="6"/>
      <c r="K2170" s="6"/>
      <c r="L2170" s="6"/>
      <c r="M2170" s="6"/>
      <c r="N2170" s="6"/>
    </row>
    <row r="2171" spans="5:14" x14ac:dyDescent="0.25">
      <c r="E2171" s="6"/>
      <c r="F2171" s="6"/>
      <c r="G2171" s="6"/>
      <c r="H2171" s="6"/>
      <c r="I2171" s="53"/>
      <c r="J2171" s="6"/>
      <c r="K2171" s="6"/>
      <c r="L2171" s="6"/>
      <c r="M2171" s="6"/>
      <c r="N2171" s="6"/>
    </row>
    <row r="2172" spans="5:14" x14ac:dyDescent="0.25">
      <c r="E2172" s="6"/>
      <c r="F2172" s="6"/>
      <c r="G2172" s="6"/>
      <c r="H2172" s="6"/>
      <c r="I2172" s="53"/>
      <c r="J2172" s="6"/>
      <c r="K2172" s="6"/>
      <c r="L2172" s="6"/>
      <c r="M2172" s="6"/>
      <c r="N2172" s="6"/>
    </row>
    <row r="2173" spans="5:14" x14ac:dyDescent="0.25">
      <c r="E2173" s="6"/>
      <c r="F2173" s="6"/>
      <c r="G2173" s="6"/>
      <c r="H2173" s="6"/>
      <c r="I2173" s="53"/>
      <c r="J2173" s="6"/>
      <c r="K2173" s="6"/>
      <c r="L2173" s="6"/>
      <c r="M2173" s="6"/>
      <c r="N2173" s="6"/>
    </row>
    <row r="2174" spans="5:14" x14ac:dyDescent="0.25">
      <c r="E2174" s="6"/>
      <c r="F2174" s="6"/>
      <c r="G2174" s="6"/>
      <c r="H2174" s="6"/>
      <c r="I2174" s="53"/>
      <c r="J2174" s="6"/>
      <c r="K2174" s="6"/>
      <c r="L2174" s="6"/>
      <c r="M2174" s="6"/>
      <c r="N2174" s="6"/>
    </row>
    <row r="2175" spans="5:14" x14ac:dyDescent="0.25">
      <c r="E2175" s="6"/>
      <c r="F2175" s="6"/>
      <c r="G2175" s="6"/>
      <c r="H2175" s="6"/>
      <c r="I2175" s="53"/>
      <c r="J2175" s="6"/>
      <c r="K2175" s="6"/>
      <c r="L2175" s="6"/>
      <c r="M2175" s="6"/>
      <c r="N2175" s="6"/>
    </row>
    <row r="2176" spans="5:14" x14ac:dyDescent="0.25">
      <c r="E2176" s="6"/>
      <c r="F2176" s="6"/>
      <c r="G2176" s="6"/>
      <c r="H2176" s="6"/>
      <c r="I2176" s="53"/>
      <c r="J2176" s="6"/>
      <c r="K2176" s="6"/>
      <c r="L2176" s="6"/>
      <c r="M2176" s="6"/>
      <c r="N2176" s="6"/>
    </row>
    <row r="2177" spans="5:14" x14ac:dyDescent="0.25">
      <c r="E2177" s="6"/>
      <c r="F2177" s="6"/>
      <c r="G2177" s="6"/>
      <c r="H2177" s="6"/>
      <c r="I2177" s="53"/>
      <c r="J2177" s="6"/>
      <c r="K2177" s="6"/>
      <c r="L2177" s="6"/>
      <c r="M2177" s="6"/>
      <c r="N2177" s="6"/>
    </row>
    <row r="2178" spans="5:14" x14ac:dyDescent="0.25">
      <c r="E2178" s="6"/>
      <c r="F2178" s="6"/>
      <c r="G2178" s="6"/>
      <c r="H2178" s="6"/>
      <c r="I2178" s="53"/>
      <c r="J2178" s="6"/>
      <c r="K2178" s="6"/>
      <c r="L2178" s="6"/>
      <c r="M2178" s="6"/>
      <c r="N2178" s="6"/>
    </row>
    <row r="2179" spans="5:14" x14ac:dyDescent="0.25">
      <c r="E2179" s="6"/>
      <c r="F2179" s="6"/>
      <c r="G2179" s="6"/>
      <c r="H2179" s="6"/>
      <c r="I2179" s="53"/>
      <c r="J2179" s="6"/>
      <c r="K2179" s="6"/>
      <c r="L2179" s="6"/>
      <c r="M2179" s="6"/>
      <c r="N2179" s="6"/>
    </row>
    <row r="2180" spans="5:14" x14ac:dyDescent="0.25">
      <c r="E2180" s="6"/>
      <c r="F2180" s="6"/>
      <c r="G2180" s="6"/>
      <c r="H2180" s="6"/>
      <c r="I2180" s="53"/>
      <c r="J2180" s="6"/>
      <c r="K2180" s="6"/>
      <c r="L2180" s="6"/>
      <c r="M2180" s="6"/>
      <c r="N2180" s="6"/>
    </row>
    <row r="2181" spans="5:14" x14ac:dyDescent="0.25">
      <c r="E2181" s="6"/>
      <c r="F2181" s="6"/>
      <c r="G2181" s="6"/>
      <c r="H2181" s="6"/>
      <c r="I2181" s="53"/>
      <c r="J2181" s="6"/>
      <c r="K2181" s="6"/>
      <c r="L2181" s="6"/>
      <c r="M2181" s="6"/>
      <c r="N2181" s="6"/>
    </row>
    <row r="2182" spans="5:14" x14ac:dyDescent="0.25">
      <c r="E2182" s="6"/>
      <c r="F2182" s="6"/>
      <c r="G2182" s="6"/>
      <c r="H2182" s="6"/>
      <c r="I2182" s="53"/>
      <c r="J2182" s="6"/>
      <c r="K2182" s="6"/>
      <c r="L2182" s="6"/>
      <c r="M2182" s="6"/>
      <c r="N2182" s="6"/>
    </row>
    <row r="2183" spans="5:14" x14ac:dyDescent="0.25">
      <c r="E2183" s="6"/>
      <c r="F2183" s="6"/>
      <c r="G2183" s="6"/>
      <c r="H2183" s="6"/>
      <c r="I2183" s="53"/>
      <c r="J2183" s="6"/>
      <c r="K2183" s="6"/>
      <c r="L2183" s="6"/>
      <c r="M2183" s="6"/>
      <c r="N2183" s="6"/>
    </row>
    <row r="2184" spans="5:14" x14ac:dyDescent="0.25">
      <c r="E2184" s="6"/>
      <c r="F2184" s="6"/>
      <c r="G2184" s="6"/>
      <c r="H2184" s="6"/>
      <c r="I2184" s="53"/>
      <c r="J2184" s="6"/>
      <c r="K2184" s="6"/>
      <c r="L2184" s="6"/>
      <c r="M2184" s="6"/>
      <c r="N2184" s="6"/>
    </row>
    <row r="2185" spans="5:14" x14ac:dyDescent="0.25">
      <c r="E2185" s="6"/>
      <c r="F2185" s="6"/>
      <c r="G2185" s="6"/>
      <c r="H2185" s="6"/>
      <c r="I2185" s="53"/>
      <c r="J2185" s="6"/>
      <c r="K2185" s="6"/>
      <c r="L2185" s="6"/>
      <c r="M2185" s="6"/>
      <c r="N2185" s="6"/>
    </row>
    <row r="2186" spans="5:14" x14ac:dyDescent="0.25">
      <c r="E2186" s="6"/>
      <c r="F2186" s="6"/>
      <c r="G2186" s="6"/>
      <c r="H2186" s="6"/>
      <c r="I2186" s="53"/>
      <c r="J2186" s="6"/>
      <c r="K2186" s="6"/>
      <c r="L2186" s="6"/>
      <c r="M2186" s="6"/>
      <c r="N2186" s="6"/>
    </row>
    <row r="2187" spans="5:14" x14ac:dyDescent="0.25">
      <c r="E2187" s="6"/>
      <c r="F2187" s="6"/>
      <c r="G2187" s="6"/>
      <c r="H2187" s="6"/>
      <c r="I2187" s="53"/>
      <c r="J2187" s="6"/>
      <c r="K2187" s="6"/>
      <c r="L2187" s="6"/>
      <c r="M2187" s="6"/>
      <c r="N2187" s="6"/>
    </row>
    <row r="2188" spans="5:14" x14ac:dyDescent="0.25">
      <c r="E2188" s="6"/>
      <c r="F2188" s="6"/>
      <c r="G2188" s="6"/>
      <c r="H2188" s="6"/>
      <c r="I2188" s="53"/>
      <c r="J2188" s="6"/>
      <c r="K2188" s="6"/>
      <c r="L2188" s="6"/>
      <c r="M2188" s="6"/>
      <c r="N2188" s="6"/>
    </row>
    <row r="2189" spans="5:14" x14ac:dyDescent="0.25">
      <c r="E2189" s="6"/>
      <c r="F2189" s="6"/>
      <c r="G2189" s="6"/>
      <c r="H2189" s="6"/>
      <c r="I2189" s="53"/>
      <c r="J2189" s="6"/>
      <c r="K2189" s="6"/>
      <c r="L2189" s="6"/>
      <c r="M2189" s="6"/>
      <c r="N2189" s="6"/>
    </row>
    <row r="2190" spans="5:14" x14ac:dyDescent="0.25">
      <c r="E2190" s="6"/>
      <c r="F2190" s="6"/>
      <c r="G2190" s="6"/>
      <c r="H2190" s="6"/>
      <c r="I2190" s="53"/>
      <c r="J2190" s="6"/>
      <c r="K2190" s="6"/>
      <c r="L2190" s="6"/>
      <c r="M2190" s="6"/>
      <c r="N2190" s="6"/>
    </row>
    <row r="2191" spans="5:14" x14ac:dyDescent="0.25">
      <c r="E2191" s="6"/>
      <c r="F2191" s="6"/>
      <c r="G2191" s="6"/>
      <c r="H2191" s="6"/>
      <c r="I2191" s="53"/>
      <c r="J2191" s="6"/>
      <c r="K2191" s="6"/>
      <c r="L2191" s="6"/>
      <c r="M2191" s="6"/>
      <c r="N2191" s="6"/>
    </row>
    <row r="2192" spans="5:14" x14ac:dyDescent="0.25">
      <c r="E2192" s="6"/>
      <c r="F2192" s="6"/>
      <c r="G2192" s="6"/>
      <c r="H2192" s="6"/>
      <c r="I2192" s="53"/>
      <c r="J2192" s="6"/>
      <c r="K2192" s="6"/>
      <c r="L2192" s="6"/>
      <c r="M2192" s="6"/>
      <c r="N2192" s="6"/>
    </row>
    <row r="2193" spans="5:14" x14ac:dyDescent="0.25">
      <c r="E2193" s="6"/>
      <c r="F2193" s="6"/>
      <c r="G2193" s="6"/>
      <c r="H2193" s="6"/>
      <c r="I2193" s="53"/>
      <c r="J2193" s="6"/>
      <c r="K2193" s="6"/>
      <c r="L2193" s="6"/>
      <c r="M2193" s="6"/>
      <c r="N2193" s="6"/>
    </row>
    <row r="2194" spans="5:14" x14ac:dyDescent="0.25">
      <c r="E2194" s="6"/>
      <c r="F2194" s="6"/>
      <c r="G2194" s="6"/>
      <c r="H2194" s="6"/>
      <c r="I2194" s="53"/>
      <c r="J2194" s="6"/>
      <c r="K2194" s="6"/>
      <c r="L2194" s="6"/>
      <c r="M2194" s="6"/>
      <c r="N2194" s="6"/>
    </row>
    <row r="2195" spans="5:14" x14ac:dyDescent="0.25">
      <c r="E2195" s="6"/>
      <c r="F2195" s="6"/>
      <c r="G2195" s="6"/>
      <c r="H2195" s="6"/>
      <c r="I2195" s="53"/>
      <c r="J2195" s="6"/>
      <c r="K2195" s="6"/>
      <c r="L2195" s="6"/>
      <c r="M2195" s="6"/>
      <c r="N2195" s="6"/>
    </row>
    <row r="2196" spans="5:14" x14ac:dyDescent="0.25">
      <c r="E2196" s="6"/>
      <c r="F2196" s="6"/>
      <c r="G2196" s="6"/>
      <c r="H2196" s="6"/>
      <c r="I2196" s="53"/>
      <c r="J2196" s="6"/>
      <c r="K2196" s="6"/>
      <c r="L2196" s="6"/>
      <c r="M2196" s="6"/>
      <c r="N2196" s="6"/>
    </row>
    <row r="2197" spans="5:14" x14ac:dyDescent="0.25">
      <c r="E2197" s="6"/>
      <c r="F2197" s="6"/>
      <c r="G2197" s="6"/>
      <c r="H2197" s="6"/>
      <c r="I2197" s="53"/>
      <c r="J2197" s="6"/>
      <c r="K2197" s="6"/>
      <c r="L2197" s="6"/>
      <c r="M2197" s="6"/>
      <c r="N2197" s="6"/>
    </row>
    <row r="2198" spans="5:14" x14ac:dyDescent="0.25">
      <c r="E2198" s="6"/>
      <c r="F2198" s="6"/>
      <c r="G2198" s="6"/>
      <c r="H2198" s="6"/>
      <c r="I2198" s="53"/>
      <c r="J2198" s="6"/>
      <c r="K2198" s="6"/>
      <c r="L2198" s="6"/>
      <c r="M2198" s="6"/>
      <c r="N2198" s="6"/>
    </row>
    <row r="2199" spans="5:14" x14ac:dyDescent="0.25">
      <c r="E2199" s="6"/>
      <c r="F2199" s="6"/>
      <c r="G2199" s="6"/>
      <c r="H2199" s="6"/>
      <c r="I2199" s="53"/>
      <c r="J2199" s="6"/>
      <c r="K2199" s="6"/>
      <c r="L2199" s="6"/>
      <c r="M2199" s="6"/>
      <c r="N2199" s="6"/>
    </row>
    <row r="2200" spans="5:14" x14ac:dyDescent="0.25">
      <c r="E2200" s="6"/>
      <c r="F2200" s="6"/>
      <c r="G2200" s="6"/>
      <c r="H2200" s="6"/>
      <c r="I2200" s="53"/>
      <c r="J2200" s="6"/>
      <c r="K2200" s="6"/>
      <c r="L2200" s="6"/>
      <c r="M2200" s="6"/>
      <c r="N2200" s="6"/>
    </row>
    <row r="2201" spans="5:14" x14ac:dyDescent="0.25">
      <c r="E2201" s="6"/>
      <c r="F2201" s="6"/>
      <c r="G2201" s="6"/>
      <c r="H2201" s="6"/>
      <c r="I2201" s="53"/>
      <c r="J2201" s="6"/>
      <c r="K2201" s="6"/>
      <c r="L2201" s="6"/>
      <c r="M2201" s="6"/>
      <c r="N2201" s="6"/>
    </row>
    <row r="2202" spans="5:14" x14ac:dyDescent="0.25">
      <c r="E2202" s="6"/>
      <c r="F2202" s="6"/>
      <c r="G2202" s="6"/>
      <c r="H2202" s="6"/>
      <c r="I2202" s="53"/>
      <c r="J2202" s="6"/>
      <c r="K2202" s="6"/>
      <c r="L2202" s="6"/>
      <c r="M2202" s="6"/>
      <c r="N2202" s="6"/>
    </row>
    <row r="2203" spans="5:14" x14ac:dyDescent="0.25">
      <c r="E2203" s="6"/>
      <c r="F2203" s="6"/>
      <c r="G2203" s="6"/>
      <c r="H2203" s="6"/>
      <c r="I2203" s="53"/>
      <c r="J2203" s="6"/>
      <c r="K2203" s="6"/>
      <c r="L2203" s="6"/>
      <c r="M2203" s="6"/>
      <c r="N2203" s="6"/>
    </row>
    <row r="2204" spans="5:14" x14ac:dyDescent="0.25">
      <c r="E2204" s="6"/>
      <c r="F2204" s="6"/>
      <c r="G2204" s="6"/>
      <c r="H2204" s="6"/>
      <c r="I2204" s="53"/>
      <c r="J2204" s="6"/>
      <c r="K2204" s="6"/>
      <c r="L2204" s="6"/>
      <c r="M2204" s="6"/>
      <c r="N2204" s="6"/>
    </row>
    <row r="2205" spans="5:14" x14ac:dyDescent="0.25">
      <c r="E2205" s="6"/>
      <c r="F2205" s="6"/>
      <c r="G2205" s="6"/>
      <c r="H2205" s="6"/>
      <c r="I2205" s="53"/>
      <c r="J2205" s="6"/>
      <c r="K2205" s="6"/>
      <c r="L2205" s="6"/>
      <c r="M2205" s="6"/>
      <c r="N2205" s="6"/>
    </row>
    <row r="2206" spans="5:14" x14ac:dyDescent="0.25">
      <c r="E2206" s="6"/>
      <c r="F2206" s="6"/>
      <c r="G2206" s="6"/>
      <c r="H2206" s="6"/>
      <c r="I2206" s="53"/>
      <c r="J2206" s="6"/>
      <c r="K2206" s="6"/>
      <c r="L2206" s="6"/>
      <c r="M2206" s="6"/>
      <c r="N2206" s="6"/>
    </row>
    <row r="2207" spans="5:14" x14ac:dyDescent="0.25">
      <c r="E2207" s="6"/>
      <c r="F2207" s="6"/>
      <c r="G2207" s="6"/>
      <c r="H2207" s="6"/>
      <c r="I2207" s="53"/>
      <c r="J2207" s="6"/>
      <c r="K2207" s="6"/>
      <c r="L2207" s="6"/>
      <c r="M2207" s="6"/>
      <c r="N2207" s="6"/>
    </row>
    <row r="2208" spans="5:14" x14ac:dyDescent="0.25">
      <c r="E2208" s="6"/>
      <c r="F2208" s="6"/>
      <c r="G2208" s="6"/>
      <c r="H2208" s="6"/>
      <c r="I2208" s="53"/>
      <c r="J2208" s="6"/>
      <c r="K2208" s="6"/>
      <c r="L2208" s="6"/>
      <c r="M2208" s="6"/>
      <c r="N2208" s="6"/>
    </row>
    <row r="2209" spans="5:14" x14ac:dyDescent="0.25">
      <c r="E2209" s="6"/>
      <c r="F2209" s="6"/>
      <c r="G2209" s="6"/>
      <c r="H2209" s="6"/>
      <c r="I2209" s="53"/>
      <c r="J2209" s="6"/>
      <c r="K2209" s="6"/>
      <c r="L2209" s="6"/>
      <c r="M2209" s="6"/>
      <c r="N2209" s="6"/>
    </row>
    <row r="2210" spans="5:14" x14ac:dyDescent="0.25">
      <c r="E2210" s="6"/>
      <c r="F2210" s="6"/>
      <c r="G2210" s="6"/>
      <c r="H2210" s="6"/>
      <c r="I2210" s="53"/>
      <c r="J2210" s="6"/>
      <c r="K2210" s="6"/>
      <c r="L2210" s="6"/>
      <c r="M2210" s="6"/>
      <c r="N2210" s="6"/>
    </row>
    <row r="2211" spans="5:14" x14ac:dyDescent="0.25">
      <c r="E2211" s="6"/>
      <c r="F2211" s="6"/>
      <c r="G2211" s="6"/>
      <c r="H2211" s="6"/>
      <c r="I2211" s="53"/>
      <c r="J2211" s="6"/>
      <c r="K2211" s="6"/>
      <c r="L2211" s="6"/>
      <c r="M2211" s="6"/>
      <c r="N2211" s="6"/>
    </row>
    <row r="2212" spans="5:14" x14ac:dyDescent="0.25">
      <c r="E2212" s="6"/>
      <c r="F2212" s="6"/>
      <c r="G2212" s="6"/>
      <c r="H2212" s="6"/>
      <c r="I2212" s="53"/>
      <c r="J2212" s="6"/>
      <c r="K2212" s="6"/>
      <c r="L2212" s="6"/>
      <c r="M2212" s="6"/>
      <c r="N2212" s="6"/>
    </row>
    <row r="2213" spans="5:14" x14ac:dyDescent="0.25">
      <c r="E2213" s="6"/>
      <c r="F2213" s="6"/>
      <c r="G2213" s="6"/>
      <c r="H2213" s="6"/>
      <c r="I2213" s="53"/>
      <c r="J2213" s="6"/>
      <c r="K2213" s="6"/>
      <c r="L2213" s="6"/>
      <c r="M2213" s="6"/>
      <c r="N2213" s="6"/>
    </row>
    <row r="2214" spans="5:14" x14ac:dyDescent="0.25">
      <c r="E2214" s="6"/>
      <c r="F2214" s="6"/>
      <c r="G2214" s="6"/>
      <c r="H2214" s="6"/>
      <c r="I2214" s="53"/>
      <c r="J2214" s="6"/>
      <c r="K2214" s="6"/>
      <c r="L2214" s="6"/>
      <c r="M2214" s="6"/>
      <c r="N2214" s="6"/>
    </row>
    <row r="2215" spans="5:14" x14ac:dyDescent="0.25">
      <c r="E2215" s="6"/>
      <c r="F2215" s="6"/>
      <c r="G2215" s="6"/>
      <c r="H2215" s="6"/>
      <c r="I2215" s="53"/>
      <c r="J2215" s="6"/>
      <c r="K2215" s="6"/>
      <c r="L2215" s="6"/>
      <c r="M2215" s="6"/>
      <c r="N2215" s="6"/>
    </row>
    <row r="2216" spans="5:14" x14ac:dyDescent="0.25">
      <c r="E2216" s="6"/>
      <c r="F2216" s="6"/>
      <c r="G2216" s="6"/>
      <c r="H2216" s="6"/>
      <c r="I2216" s="53"/>
      <c r="J2216" s="6"/>
      <c r="K2216" s="6"/>
      <c r="L2216" s="6"/>
      <c r="M2216" s="6"/>
      <c r="N2216" s="6"/>
    </row>
    <row r="2217" spans="5:14" x14ac:dyDescent="0.25">
      <c r="E2217" s="6"/>
      <c r="F2217" s="6"/>
      <c r="G2217" s="6"/>
      <c r="H2217" s="6"/>
      <c r="I2217" s="53"/>
      <c r="J2217" s="6"/>
      <c r="K2217" s="6"/>
      <c r="L2217" s="6"/>
      <c r="M2217" s="6"/>
      <c r="N2217" s="6"/>
    </row>
    <row r="2218" spans="5:14" x14ac:dyDescent="0.25">
      <c r="E2218" s="6"/>
      <c r="F2218" s="6"/>
      <c r="G2218" s="6"/>
      <c r="H2218" s="6"/>
      <c r="I2218" s="53"/>
      <c r="J2218" s="6"/>
      <c r="K2218" s="6"/>
      <c r="L2218" s="6"/>
      <c r="M2218" s="6"/>
      <c r="N2218" s="6"/>
    </row>
    <row r="2219" spans="5:14" x14ac:dyDescent="0.25">
      <c r="E2219" s="6"/>
      <c r="F2219" s="6"/>
      <c r="G2219" s="6"/>
      <c r="H2219" s="6"/>
      <c r="I2219" s="53"/>
      <c r="J2219" s="6"/>
      <c r="K2219" s="6"/>
      <c r="L2219" s="6"/>
      <c r="M2219" s="6"/>
      <c r="N2219" s="6"/>
    </row>
    <row r="2220" spans="5:14" x14ac:dyDescent="0.25">
      <c r="E2220" s="6"/>
      <c r="F2220" s="6"/>
      <c r="G2220" s="6"/>
      <c r="H2220" s="6"/>
      <c r="I2220" s="53"/>
      <c r="J2220" s="6"/>
      <c r="K2220" s="6"/>
      <c r="L2220" s="6"/>
      <c r="M2220" s="6"/>
      <c r="N2220" s="6"/>
    </row>
    <row r="2221" spans="5:14" x14ac:dyDescent="0.25">
      <c r="E2221" s="6"/>
      <c r="F2221" s="6"/>
      <c r="G2221" s="6"/>
      <c r="H2221" s="6"/>
      <c r="I2221" s="53"/>
      <c r="J2221" s="6"/>
      <c r="K2221" s="6"/>
      <c r="L2221" s="6"/>
      <c r="M2221" s="6"/>
      <c r="N2221" s="6"/>
    </row>
    <row r="2222" spans="5:14" x14ac:dyDescent="0.25">
      <c r="E2222" s="6"/>
      <c r="F2222" s="6"/>
      <c r="G2222" s="6"/>
      <c r="H2222" s="6"/>
      <c r="I2222" s="53"/>
      <c r="J2222" s="6"/>
      <c r="K2222" s="6"/>
      <c r="L2222" s="6"/>
      <c r="M2222" s="6"/>
      <c r="N2222" s="6"/>
    </row>
    <row r="2223" spans="5:14" x14ac:dyDescent="0.25">
      <c r="E2223" s="6"/>
      <c r="F2223" s="6"/>
      <c r="G2223" s="6"/>
      <c r="H2223" s="6"/>
      <c r="I2223" s="53"/>
      <c r="J2223" s="6"/>
      <c r="K2223" s="6"/>
      <c r="L2223" s="6"/>
      <c r="M2223" s="6"/>
      <c r="N2223" s="6"/>
    </row>
    <row r="2224" spans="5:14" x14ac:dyDescent="0.25">
      <c r="E2224" s="6"/>
      <c r="F2224" s="6"/>
      <c r="G2224" s="6"/>
      <c r="H2224" s="6"/>
      <c r="I2224" s="53"/>
      <c r="J2224" s="6"/>
      <c r="K2224" s="6"/>
      <c r="L2224" s="6"/>
      <c r="M2224" s="6"/>
      <c r="N2224" s="6"/>
    </row>
    <row r="2225" spans="5:14" x14ac:dyDescent="0.25">
      <c r="E2225" s="6"/>
      <c r="F2225" s="6"/>
      <c r="G2225" s="6"/>
      <c r="H2225" s="6"/>
      <c r="I2225" s="53"/>
      <c r="J2225" s="6"/>
      <c r="K2225" s="6"/>
      <c r="L2225" s="6"/>
      <c r="M2225" s="6"/>
      <c r="N2225" s="6"/>
    </row>
    <row r="2226" spans="5:14" x14ac:dyDescent="0.25">
      <c r="E2226" s="6"/>
      <c r="F2226" s="6"/>
      <c r="G2226" s="6"/>
      <c r="H2226" s="6"/>
      <c r="I2226" s="53"/>
      <c r="J2226" s="6"/>
      <c r="K2226" s="6"/>
      <c r="L2226" s="6"/>
      <c r="M2226" s="6"/>
      <c r="N2226" s="6"/>
    </row>
    <row r="2227" spans="5:14" x14ac:dyDescent="0.25">
      <c r="E2227" s="6"/>
      <c r="F2227" s="6"/>
      <c r="G2227" s="6"/>
      <c r="H2227" s="6"/>
      <c r="I2227" s="53"/>
      <c r="J2227" s="6"/>
      <c r="K2227" s="6"/>
      <c r="L2227" s="6"/>
      <c r="M2227" s="6"/>
      <c r="N2227" s="6"/>
    </row>
    <row r="2228" spans="5:14" x14ac:dyDescent="0.25">
      <c r="E2228" s="6"/>
      <c r="F2228" s="6"/>
      <c r="G2228" s="6"/>
      <c r="H2228" s="6"/>
      <c r="I2228" s="53"/>
      <c r="J2228" s="6"/>
      <c r="K2228" s="6"/>
      <c r="L2228" s="6"/>
      <c r="M2228" s="6"/>
      <c r="N2228" s="6"/>
    </row>
    <row r="2229" spans="5:14" x14ac:dyDescent="0.25">
      <c r="E2229" s="6"/>
      <c r="F2229" s="6"/>
      <c r="G2229" s="6"/>
      <c r="H2229" s="6"/>
      <c r="I2229" s="53"/>
      <c r="J2229" s="6"/>
      <c r="K2229" s="6"/>
      <c r="L2229" s="6"/>
      <c r="M2229" s="6"/>
      <c r="N2229" s="6"/>
    </row>
    <row r="2230" spans="5:14" x14ac:dyDescent="0.25">
      <c r="E2230" s="6"/>
      <c r="F2230" s="6"/>
      <c r="G2230" s="6"/>
      <c r="H2230" s="6"/>
      <c r="I2230" s="53"/>
      <c r="J2230" s="6"/>
      <c r="K2230" s="6"/>
      <c r="L2230" s="6"/>
      <c r="M2230" s="6"/>
      <c r="N2230" s="6"/>
    </row>
    <row r="2231" spans="5:14" x14ac:dyDescent="0.25">
      <c r="E2231" s="6"/>
      <c r="F2231" s="6"/>
      <c r="G2231" s="6"/>
      <c r="H2231" s="6"/>
      <c r="I2231" s="53"/>
      <c r="J2231" s="6"/>
      <c r="K2231" s="6"/>
      <c r="L2231" s="6"/>
      <c r="M2231" s="6"/>
      <c r="N2231" s="6"/>
    </row>
    <row r="2232" spans="5:14" x14ac:dyDescent="0.25">
      <c r="E2232" s="6"/>
      <c r="F2232" s="6"/>
      <c r="G2232" s="6"/>
      <c r="H2232" s="6"/>
      <c r="I2232" s="53"/>
      <c r="J2232" s="6"/>
      <c r="K2232" s="6"/>
      <c r="L2232" s="6"/>
      <c r="M2232" s="6"/>
      <c r="N2232" s="6"/>
    </row>
    <row r="2233" spans="5:14" x14ac:dyDescent="0.25">
      <c r="E2233" s="6"/>
      <c r="F2233" s="6"/>
      <c r="G2233" s="6"/>
      <c r="H2233" s="6"/>
      <c r="I2233" s="53"/>
      <c r="J2233" s="6"/>
      <c r="K2233" s="6"/>
      <c r="L2233" s="6"/>
      <c r="M2233" s="6"/>
      <c r="N2233" s="6"/>
    </row>
    <row r="2234" spans="5:14" x14ac:dyDescent="0.25">
      <c r="E2234" s="6"/>
      <c r="F2234" s="6"/>
      <c r="G2234" s="6"/>
      <c r="H2234" s="6"/>
      <c r="I2234" s="53"/>
      <c r="J2234" s="6"/>
      <c r="K2234" s="6"/>
      <c r="L2234" s="6"/>
      <c r="M2234" s="6"/>
      <c r="N2234" s="6"/>
    </row>
    <row r="2235" spans="5:14" x14ac:dyDescent="0.25">
      <c r="E2235" s="6"/>
      <c r="F2235" s="6"/>
      <c r="G2235" s="6"/>
      <c r="H2235" s="6"/>
      <c r="I2235" s="53"/>
      <c r="J2235" s="6"/>
      <c r="K2235" s="6"/>
      <c r="L2235" s="6"/>
      <c r="M2235" s="6"/>
      <c r="N2235" s="6"/>
    </row>
    <row r="2236" spans="5:14" x14ac:dyDescent="0.25">
      <c r="E2236" s="6"/>
      <c r="F2236" s="6"/>
      <c r="G2236" s="6"/>
      <c r="H2236" s="6"/>
      <c r="I2236" s="53"/>
      <c r="J2236" s="6"/>
      <c r="K2236" s="6"/>
      <c r="L2236" s="6"/>
      <c r="M2236" s="6"/>
      <c r="N2236" s="6"/>
    </row>
    <row r="2237" spans="5:14" x14ac:dyDescent="0.25">
      <c r="E2237" s="6"/>
      <c r="F2237" s="6"/>
      <c r="G2237" s="6"/>
      <c r="H2237" s="6"/>
      <c r="I2237" s="53"/>
      <c r="J2237" s="6"/>
      <c r="K2237" s="6"/>
      <c r="L2237" s="6"/>
      <c r="M2237" s="6"/>
      <c r="N2237" s="6"/>
    </row>
    <row r="2238" spans="5:14" x14ac:dyDescent="0.25">
      <c r="E2238" s="6"/>
      <c r="F2238" s="6"/>
      <c r="G2238" s="6"/>
      <c r="H2238" s="6"/>
      <c r="I2238" s="53"/>
      <c r="J2238" s="6"/>
      <c r="K2238" s="6"/>
      <c r="L2238" s="6"/>
      <c r="M2238" s="6"/>
      <c r="N2238" s="6"/>
    </row>
    <row r="2239" spans="5:14" x14ac:dyDescent="0.25">
      <c r="E2239" s="6"/>
      <c r="F2239" s="6"/>
      <c r="G2239" s="6"/>
      <c r="H2239" s="6"/>
      <c r="I2239" s="53"/>
      <c r="J2239" s="6"/>
      <c r="K2239" s="6"/>
      <c r="L2239" s="6"/>
      <c r="M2239" s="6"/>
      <c r="N2239" s="6"/>
    </row>
    <row r="2240" spans="5:14" x14ac:dyDescent="0.25">
      <c r="E2240" s="6"/>
      <c r="F2240" s="6"/>
      <c r="G2240" s="6"/>
      <c r="H2240" s="6"/>
      <c r="I2240" s="53"/>
      <c r="J2240" s="6"/>
      <c r="K2240" s="6"/>
      <c r="L2240" s="6"/>
      <c r="M2240" s="6"/>
      <c r="N2240" s="6"/>
    </row>
    <row r="2241" spans="5:14" x14ac:dyDescent="0.25">
      <c r="E2241" s="6"/>
      <c r="F2241" s="6"/>
      <c r="G2241" s="6"/>
      <c r="H2241" s="6"/>
      <c r="I2241" s="53"/>
      <c r="J2241" s="6"/>
      <c r="K2241" s="6"/>
      <c r="L2241" s="6"/>
      <c r="M2241" s="6"/>
      <c r="N2241" s="6"/>
    </row>
    <row r="2242" spans="5:14" x14ac:dyDescent="0.25">
      <c r="E2242" s="6"/>
      <c r="F2242" s="6"/>
      <c r="G2242" s="6"/>
      <c r="H2242" s="6"/>
      <c r="I2242" s="53"/>
      <c r="J2242" s="6"/>
      <c r="K2242" s="6"/>
      <c r="L2242" s="6"/>
      <c r="M2242" s="6"/>
      <c r="N2242" s="6"/>
    </row>
    <row r="2243" spans="5:14" x14ac:dyDescent="0.25">
      <c r="E2243" s="6"/>
      <c r="F2243" s="6"/>
      <c r="G2243" s="6"/>
      <c r="H2243" s="6"/>
      <c r="I2243" s="53"/>
      <c r="J2243" s="6"/>
      <c r="K2243" s="6"/>
      <c r="L2243" s="6"/>
      <c r="M2243" s="6"/>
      <c r="N2243" s="6"/>
    </row>
    <row r="2244" spans="5:14" x14ac:dyDescent="0.25">
      <c r="E2244" s="6"/>
      <c r="F2244" s="6"/>
      <c r="G2244" s="6"/>
      <c r="H2244" s="6"/>
      <c r="I2244" s="53"/>
      <c r="J2244" s="6"/>
      <c r="K2244" s="6"/>
      <c r="L2244" s="6"/>
      <c r="M2244" s="6"/>
      <c r="N2244" s="6"/>
    </row>
    <row r="2245" spans="5:14" x14ac:dyDescent="0.25">
      <c r="E2245" s="6"/>
      <c r="F2245" s="6"/>
      <c r="G2245" s="6"/>
      <c r="H2245" s="6"/>
      <c r="I2245" s="53"/>
      <c r="J2245" s="6"/>
      <c r="K2245" s="6"/>
      <c r="L2245" s="6"/>
      <c r="M2245" s="6"/>
      <c r="N2245" s="6"/>
    </row>
    <row r="2246" spans="5:14" x14ac:dyDescent="0.25">
      <c r="E2246" s="6"/>
      <c r="F2246" s="6"/>
      <c r="G2246" s="6"/>
      <c r="H2246" s="6"/>
      <c r="I2246" s="53"/>
      <c r="J2246" s="6"/>
      <c r="K2246" s="6"/>
      <c r="L2246" s="6"/>
      <c r="M2246" s="6"/>
      <c r="N2246" s="6"/>
    </row>
    <row r="2247" spans="5:14" x14ac:dyDescent="0.25">
      <c r="E2247" s="6"/>
      <c r="F2247" s="6"/>
      <c r="G2247" s="6"/>
      <c r="H2247" s="6"/>
      <c r="I2247" s="53"/>
      <c r="J2247" s="6"/>
      <c r="K2247" s="6"/>
      <c r="L2247" s="6"/>
      <c r="M2247" s="6"/>
      <c r="N2247" s="6"/>
    </row>
    <row r="2248" spans="5:14" x14ac:dyDescent="0.25">
      <c r="E2248" s="6"/>
      <c r="F2248" s="6"/>
      <c r="G2248" s="6"/>
      <c r="H2248" s="6"/>
      <c r="I2248" s="53"/>
      <c r="J2248" s="6"/>
      <c r="K2248" s="6"/>
      <c r="L2248" s="6"/>
      <c r="M2248" s="6"/>
      <c r="N2248" s="6"/>
    </row>
    <row r="2249" spans="5:14" x14ac:dyDescent="0.25">
      <c r="E2249" s="6"/>
      <c r="F2249" s="6"/>
      <c r="G2249" s="6"/>
      <c r="H2249" s="6"/>
      <c r="I2249" s="53"/>
      <c r="J2249" s="6"/>
      <c r="K2249" s="6"/>
      <c r="L2249" s="6"/>
      <c r="M2249" s="6"/>
      <c r="N2249" s="6"/>
    </row>
    <row r="2250" spans="5:14" x14ac:dyDescent="0.25">
      <c r="E2250" s="6"/>
      <c r="F2250" s="6"/>
      <c r="G2250" s="6"/>
      <c r="H2250" s="6"/>
      <c r="I2250" s="53"/>
      <c r="J2250" s="6"/>
      <c r="K2250" s="6"/>
      <c r="L2250" s="6"/>
      <c r="M2250" s="6"/>
      <c r="N2250" s="6"/>
    </row>
    <row r="2251" spans="5:14" x14ac:dyDescent="0.25">
      <c r="E2251" s="6"/>
      <c r="F2251" s="6"/>
      <c r="G2251" s="6"/>
      <c r="H2251" s="6"/>
      <c r="I2251" s="53"/>
      <c r="J2251" s="6"/>
      <c r="K2251" s="6"/>
      <c r="L2251" s="6"/>
      <c r="M2251" s="6"/>
      <c r="N2251" s="6"/>
    </row>
    <row r="2252" spans="5:14" x14ac:dyDescent="0.25">
      <c r="E2252" s="6"/>
      <c r="F2252" s="6"/>
      <c r="G2252" s="6"/>
      <c r="H2252" s="6"/>
      <c r="I2252" s="53"/>
      <c r="J2252" s="6"/>
      <c r="K2252" s="6"/>
      <c r="L2252" s="6"/>
      <c r="M2252" s="6"/>
      <c r="N2252" s="6"/>
    </row>
    <row r="2253" spans="5:14" x14ac:dyDescent="0.25">
      <c r="E2253" s="6"/>
      <c r="F2253" s="6"/>
      <c r="G2253" s="6"/>
      <c r="H2253" s="6"/>
      <c r="I2253" s="53"/>
      <c r="J2253" s="6"/>
      <c r="K2253" s="6"/>
      <c r="L2253" s="6"/>
      <c r="M2253" s="6"/>
      <c r="N2253" s="6"/>
    </row>
    <row r="2254" spans="5:14" x14ac:dyDescent="0.25">
      <c r="E2254" s="6"/>
      <c r="F2254" s="6"/>
      <c r="G2254" s="6"/>
      <c r="H2254" s="6"/>
      <c r="I2254" s="53"/>
      <c r="J2254" s="6"/>
      <c r="K2254" s="6"/>
      <c r="L2254" s="6"/>
      <c r="M2254" s="6"/>
      <c r="N2254" s="6"/>
    </row>
    <row r="2255" spans="5:14" x14ac:dyDescent="0.25">
      <c r="E2255" s="6"/>
      <c r="F2255" s="6"/>
      <c r="G2255" s="6"/>
      <c r="H2255" s="6"/>
      <c r="I2255" s="53"/>
      <c r="J2255" s="6"/>
      <c r="K2255" s="6"/>
      <c r="L2255" s="6"/>
      <c r="M2255" s="6"/>
      <c r="N2255" s="6"/>
    </row>
    <row r="2256" spans="5:14" x14ac:dyDescent="0.25">
      <c r="E2256" s="6"/>
      <c r="F2256" s="6"/>
      <c r="G2256" s="6"/>
      <c r="H2256" s="6"/>
      <c r="I2256" s="53"/>
      <c r="J2256" s="6"/>
      <c r="K2256" s="6"/>
      <c r="L2256" s="6"/>
      <c r="M2256" s="6"/>
      <c r="N2256" s="6"/>
    </row>
    <row r="2257" spans="5:14" x14ac:dyDescent="0.25">
      <c r="E2257" s="6"/>
      <c r="F2257" s="6"/>
      <c r="G2257" s="6"/>
      <c r="H2257" s="6"/>
      <c r="I2257" s="53"/>
      <c r="J2257" s="6"/>
      <c r="K2257" s="6"/>
      <c r="L2257" s="6"/>
      <c r="M2257" s="6"/>
      <c r="N2257" s="6"/>
    </row>
    <row r="2258" spans="5:14" x14ac:dyDescent="0.25">
      <c r="E2258" s="6"/>
      <c r="F2258" s="6"/>
      <c r="G2258" s="6"/>
      <c r="H2258" s="6"/>
      <c r="I2258" s="53"/>
      <c r="J2258" s="6"/>
      <c r="K2258" s="6"/>
      <c r="L2258" s="6"/>
      <c r="M2258" s="6"/>
      <c r="N2258" s="6"/>
    </row>
    <row r="2259" spans="5:14" x14ac:dyDescent="0.25">
      <c r="E2259" s="6"/>
      <c r="F2259" s="6"/>
      <c r="G2259" s="6"/>
      <c r="H2259" s="6"/>
      <c r="I2259" s="53"/>
      <c r="J2259" s="6"/>
      <c r="K2259" s="6"/>
      <c r="L2259" s="6"/>
      <c r="M2259" s="6"/>
      <c r="N2259" s="6"/>
    </row>
    <row r="2260" spans="5:14" x14ac:dyDescent="0.25">
      <c r="E2260" s="6"/>
      <c r="F2260" s="6"/>
      <c r="G2260" s="6"/>
      <c r="H2260" s="6"/>
      <c r="I2260" s="53"/>
      <c r="J2260" s="6"/>
      <c r="K2260" s="6"/>
      <c r="L2260" s="6"/>
      <c r="M2260" s="6"/>
      <c r="N2260" s="6"/>
    </row>
    <row r="2261" spans="5:14" x14ac:dyDescent="0.25">
      <c r="E2261" s="6"/>
      <c r="F2261" s="6"/>
      <c r="G2261" s="6"/>
      <c r="H2261" s="6"/>
      <c r="I2261" s="53"/>
      <c r="J2261" s="6"/>
      <c r="K2261" s="6"/>
      <c r="L2261" s="6"/>
      <c r="M2261" s="6"/>
      <c r="N2261" s="6"/>
    </row>
    <row r="2262" spans="5:14" x14ac:dyDescent="0.25">
      <c r="E2262" s="6"/>
      <c r="F2262" s="6"/>
      <c r="G2262" s="6"/>
      <c r="H2262" s="6"/>
      <c r="I2262" s="53"/>
      <c r="J2262" s="6"/>
      <c r="K2262" s="6"/>
      <c r="L2262" s="6"/>
      <c r="M2262" s="6"/>
      <c r="N2262" s="6"/>
    </row>
    <row r="2263" spans="5:14" x14ac:dyDescent="0.25">
      <c r="E2263" s="6"/>
      <c r="F2263" s="6"/>
      <c r="G2263" s="6"/>
      <c r="H2263" s="6"/>
      <c r="I2263" s="53"/>
      <c r="J2263" s="6"/>
      <c r="K2263" s="6"/>
      <c r="L2263" s="6"/>
      <c r="M2263" s="6"/>
      <c r="N2263" s="6"/>
    </row>
    <row r="2264" spans="5:14" x14ac:dyDescent="0.25">
      <c r="E2264" s="6"/>
      <c r="F2264" s="6"/>
      <c r="G2264" s="6"/>
      <c r="H2264" s="6"/>
      <c r="I2264" s="53"/>
      <c r="J2264" s="6"/>
      <c r="K2264" s="6"/>
      <c r="L2264" s="6"/>
      <c r="M2264" s="6"/>
      <c r="N2264" s="6"/>
    </row>
    <row r="2265" spans="5:14" x14ac:dyDescent="0.25">
      <c r="E2265" s="6"/>
      <c r="F2265" s="6"/>
      <c r="G2265" s="6"/>
      <c r="H2265" s="6"/>
      <c r="I2265" s="53"/>
      <c r="J2265" s="6"/>
      <c r="K2265" s="6"/>
      <c r="L2265" s="6"/>
      <c r="M2265" s="6"/>
      <c r="N2265" s="6"/>
    </row>
    <row r="2266" spans="5:14" x14ac:dyDescent="0.25">
      <c r="E2266" s="6"/>
      <c r="F2266" s="6"/>
      <c r="G2266" s="6"/>
      <c r="H2266" s="6"/>
      <c r="I2266" s="53"/>
      <c r="J2266" s="6"/>
      <c r="K2266" s="6"/>
      <c r="L2266" s="6"/>
      <c r="M2266" s="6"/>
      <c r="N2266" s="6"/>
    </row>
    <row r="2267" spans="5:14" x14ac:dyDescent="0.25">
      <c r="E2267" s="6"/>
      <c r="F2267" s="6"/>
      <c r="G2267" s="6"/>
      <c r="H2267" s="6"/>
      <c r="I2267" s="53"/>
      <c r="J2267" s="6"/>
      <c r="K2267" s="6"/>
      <c r="L2267" s="6"/>
      <c r="M2267" s="6"/>
      <c r="N2267" s="6"/>
    </row>
    <row r="2268" spans="5:14" x14ac:dyDescent="0.25">
      <c r="E2268" s="6"/>
      <c r="F2268" s="6"/>
      <c r="G2268" s="6"/>
      <c r="H2268" s="6"/>
      <c r="I2268" s="53"/>
      <c r="J2268" s="6"/>
      <c r="K2268" s="6"/>
      <c r="L2268" s="6"/>
      <c r="M2268" s="6"/>
      <c r="N2268" s="6"/>
    </row>
    <row r="2269" spans="5:14" x14ac:dyDescent="0.25">
      <c r="E2269" s="6"/>
      <c r="F2269" s="6"/>
      <c r="G2269" s="6"/>
      <c r="H2269" s="6"/>
      <c r="I2269" s="53"/>
      <c r="J2269" s="6"/>
      <c r="K2269" s="6"/>
      <c r="L2269" s="6"/>
      <c r="M2269" s="6"/>
      <c r="N2269" s="6"/>
    </row>
    <row r="2270" spans="5:14" x14ac:dyDescent="0.25">
      <c r="E2270" s="6"/>
      <c r="F2270" s="6"/>
      <c r="G2270" s="6"/>
      <c r="H2270" s="6"/>
      <c r="I2270" s="53"/>
      <c r="J2270" s="6"/>
      <c r="K2270" s="6"/>
      <c r="L2270" s="6"/>
      <c r="M2270" s="6"/>
      <c r="N2270" s="6"/>
    </row>
    <row r="2271" spans="5:14" x14ac:dyDescent="0.25">
      <c r="E2271" s="6"/>
      <c r="F2271" s="6"/>
      <c r="G2271" s="6"/>
      <c r="H2271" s="6"/>
      <c r="I2271" s="53"/>
      <c r="J2271" s="6"/>
      <c r="K2271" s="6"/>
      <c r="L2271" s="6"/>
      <c r="M2271" s="6"/>
      <c r="N2271" s="6"/>
    </row>
    <row r="2272" spans="5:14" x14ac:dyDescent="0.25">
      <c r="E2272" s="6"/>
      <c r="F2272" s="6"/>
      <c r="G2272" s="6"/>
      <c r="H2272" s="6"/>
      <c r="I2272" s="53"/>
      <c r="J2272" s="6"/>
      <c r="K2272" s="6"/>
      <c r="L2272" s="6"/>
      <c r="M2272" s="6"/>
      <c r="N2272" s="6"/>
    </row>
    <row r="2273" spans="5:14" x14ac:dyDescent="0.25">
      <c r="E2273" s="6"/>
      <c r="F2273" s="6"/>
      <c r="G2273" s="6"/>
      <c r="H2273" s="6"/>
      <c r="I2273" s="53"/>
      <c r="J2273" s="6"/>
      <c r="K2273" s="6"/>
      <c r="L2273" s="6"/>
      <c r="M2273" s="6"/>
      <c r="N2273" s="6"/>
    </row>
    <row r="2274" spans="5:14" x14ac:dyDescent="0.25">
      <c r="E2274" s="6"/>
      <c r="F2274" s="6"/>
      <c r="G2274" s="6"/>
      <c r="H2274" s="6"/>
      <c r="I2274" s="53"/>
      <c r="J2274" s="6"/>
      <c r="K2274" s="6"/>
      <c r="L2274" s="6"/>
      <c r="M2274" s="6"/>
      <c r="N2274" s="6"/>
    </row>
    <row r="2275" spans="5:14" x14ac:dyDescent="0.25">
      <c r="E2275" s="6"/>
      <c r="F2275" s="6"/>
      <c r="G2275" s="6"/>
      <c r="H2275" s="6"/>
      <c r="I2275" s="53"/>
      <c r="J2275" s="6"/>
      <c r="K2275" s="6"/>
      <c r="L2275" s="6"/>
      <c r="M2275" s="6"/>
      <c r="N2275" s="6"/>
    </row>
    <row r="2276" spans="5:14" x14ac:dyDescent="0.25">
      <c r="E2276" s="6"/>
      <c r="F2276" s="6"/>
      <c r="G2276" s="6"/>
      <c r="H2276" s="6"/>
      <c r="I2276" s="53"/>
      <c r="J2276" s="6"/>
      <c r="K2276" s="6"/>
      <c r="L2276" s="6"/>
      <c r="M2276" s="6"/>
      <c r="N2276" s="6"/>
    </row>
    <row r="2277" spans="5:14" x14ac:dyDescent="0.25">
      <c r="E2277" s="6"/>
      <c r="F2277" s="6"/>
      <c r="G2277" s="6"/>
      <c r="H2277" s="6"/>
      <c r="I2277" s="53"/>
      <c r="J2277" s="6"/>
      <c r="K2277" s="6"/>
      <c r="L2277" s="6"/>
      <c r="M2277" s="6"/>
      <c r="N2277" s="6"/>
    </row>
    <row r="2278" spans="5:14" x14ac:dyDescent="0.25">
      <c r="E2278" s="6"/>
      <c r="F2278" s="6"/>
      <c r="G2278" s="6"/>
      <c r="H2278" s="6"/>
      <c r="I2278" s="53"/>
      <c r="J2278" s="6"/>
      <c r="K2278" s="6"/>
      <c r="L2278" s="6"/>
      <c r="M2278" s="6"/>
      <c r="N2278" s="6"/>
    </row>
    <row r="2279" spans="5:14" x14ac:dyDescent="0.25">
      <c r="E2279" s="6"/>
      <c r="F2279" s="6"/>
      <c r="G2279" s="6"/>
      <c r="H2279" s="6"/>
      <c r="I2279" s="53"/>
      <c r="J2279" s="6"/>
      <c r="K2279" s="6"/>
      <c r="L2279" s="6"/>
      <c r="M2279" s="6"/>
      <c r="N2279" s="6"/>
    </row>
    <row r="2280" spans="5:14" x14ac:dyDescent="0.25">
      <c r="E2280" s="6"/>
      <c r="F2280" s="6"/>
      <c r="G2280" s="6"/>
      <c r="H2280" s="6"/>
      <c r="I2280" s="53"/>
      <c r="J2280" s="6"/>
      <c r="K2280" s="6"/>
      <c r="L2280" s="6"/>
      <c r="M2280" s="6"/>
      <c r="N2280" s="6"/>
    </row>
    <row r="2281" spans="5:14" x14ac:dyDescent="0.25">
      <c r="E2281" s="6"/>
      <c r="F2281" s="6"/>
      <c r="G2281" s="6"/>
      <c r="H2281" s="6"/>
      <c r="I2281" s="53"/>
      <c r="J2281" s="6"/>
      <c r="K2281" s="6"/>
      <c r="L2281" s="6"/>
      <c r="M2281" s="6"/>
      <c r="N2281" s="6"/>
    </row>
    <row r="2282" spans="5:14" x14ac:dyDescent="0.25">
      <c r="E2282" s="6"/>
      <c r="F2282" s="6"/>
      <c r="G2282" s="6"/>
      <c r="H2282" s="6"/>
      <c r="I2282" s="53"/>
      <c r="J2282" s="6"/>
      <c r="K2282" s="6"/>
      <c r="L2282" s="6"/>
      <c r="M2282" s="6"/>
      <c r="N2282" s="6"/>
    </row>
    <row r="2283" spans="5:14" x14ac:dyDescent="0.25">
      <c r="E2283" s="6"/>
      <c r="F2283" s="6"/>
      <c r="G2283" s="6"/>
      <c r="H2283" s="6"/>
      <c r="I2283" s="53"/>
      <c r="J2283" s="6"/>
      <c r="K2283" s="6"/>
      <c r="L2283" s="6"/>
      <c r="M2283" s="6"/>
      <c r="N2283" s="6"/>
    </row>
    <row r="2284" spans="5:14" x14ac:dyDescent="0.25">
      <c r="E2284" s="6"/>
      <c r="F2284" s="6"/>
      <c r="G2284" s="6"/>
      <c r="H2284" s="6"/>
      <c r="I2284" s="53"/>
      <c r="J2284" s="6"/>
      <c r="K2284" s="6"/>
      <c r="L2284" s="6"/>
      <c r="M2284" s="6"/>
      <c r="N2284" s="6"/>
    </row>
    <row r="2285" spans="5:14" x14ac:dyDescent="0.25">
      <c r="E2285" s="6"/>
      <c r="F2285" s="6"/>
      <c r="G2285" s="6"/>
      <c r="H2285" s="6"/>
      <c r="I2285" s="53"/>
      <c r="J2285" s="6"/>
      <c r="K2285" s="6"/>
      <c r="L2285" s="6"/>
      <c r="M2285" s="6"/>
      <c r="N2285" s="6"/>
    </row>
    <row r="2286" spans="5:14" x14ac:dyDescent="0.25">
      <c r="E2286" s="6"/>
      <c r="F2286" s="6"/>
      <c r="G2286" s="6"/>
      <c r="H2286" s="6"/>
      <c r="I2286" s="53"/>
      <c r="J2286" s="6"/>
      <c r="K2286" s="6"/>
      <c r="L2286" s="6"/>
      <c r="M2286" s="6"/>
      <c r="N2286" s="6"/>
    </row>
    <row r="2287" spans="5:14" x14ac:dyDescent="0.25">
      <c r="E2287" s="6"/>
      <c r="F2287" s="6"/>
      <c r="G2287" s="6"/>
      <c r="H2287" s="6"/>
      <c r="I2287" s="53"/>
      <c r="J2287" s="6"/>
      <c r="K2287" s="6"/>
      <c r="L2287" s="6"/>
      <c r="M2287" s="6"/>
      <c r="N2287" s="6"/>
    </row>
    <row r="2288" spans="5:14" x14ac:dyDescent="0.25">
      <c r="E2288" s="6"/>
      <c r="F2288" s="6"/>
      <c r="G2288" s="6"/>
      <c r="H2288" s="6"/>
      <c r="I2288" s="53"/>
      <c r="J2288" s="6"/>
      <c r="K2288" s="6"/>
      <c r="L2288" s="6"/>
      <c r="M2288" s="6"/>
      <c r="N2288" s="6"/>
    </row>
    <row r="2289" spans="5:14" x14ac:dyDescent="0.25">
      <c r="E2289" s="6"/>
      <c r="F2289" s="6"/>
      <c r="G2289" s="6"/>
      <c r="H2289" s="6"/>
      <c r="I2289" s="53"/>
      <c r="J2289" s="6"/>
      <c r="K2289" s="6"/>
      <c r="L2289" s="6"/>
      <c r="M2289" s="6"/>
      <c r="N2289" s="6"/>
    </row>
    <row r="2290" spans="5:14" x14ac:dyDescent="0.25">
      <c r="E2290" s="6"/>
      <c r="F2290" s="6"/>
      <c r="G2290" s="6"/>
      <c r="H2290" s="6"/>
      <c r="I2290" s="53"/>
      <c r="J2290" s="6"/>
      <c r="K2290" s="6"/>
      <c r="L2290" s="6"/>
      <c r="M2290" s="6"/>
      <c r="N2290" s="6"/>
    </row>
    <row r="2291" spans="5:14" x14ac:dyDescent="0.25">
      <c r="E2291" s="6"/>
      <c r="F2291" s="6"/>
      <c r="G2291" s="6"/>
      <c r="H2291" s="6"/>
      <c r="I2291" s="53"/>
      <c r="J2291" s="6"/>
      <c r="K2291" s="6"/>
      <c r="L2291" s="6"/>
      <c r="M2291" s="6"/>
      <c r="N2291" s="6"/>
    </row>
    <row r="2292" spans="5:14" x14ac:dyDescent="0.25">
      <c r="E2292" s="6"/>
      <c r="F2292" s="6"/>
      <c r="G2292" s="6"/>
      <c r="H2292" s="6"/>
      <c r="I2292" s="53"/>
      <c r="J2292" s="6"/>
      <c r="K2292" s="6"/>
      <c r="L2292" s="6"/>
      <c r="M2292" s="6"/>
      <c r="N2292" s="6"/>
    </row>
    <row r="2293" spans="5:14" x14ac:dyDescent="0.25">
      <c r="E2293" s="6"/>
      <c r="F2293" s="6"/>
      <c r="G2293" s="6"/>
      <c r="H2293" s="6"/>
      <c r="I2293" s="53"/>
      <c r="J2293" s="6"/>
      <c r="K2293" s="6"/>
      <c r="L2293" s="6"/>
      <c r="M2293" s="6"/>
      <c r="N2293" s="6"/>
    </row>
    <row r="2294" spans="5:14" x14ac:dyDescent="0.25">
      <c r="E2294" s="6"/>
      <c r="F2294" s="6"/>
      <c r="G2294" s="6"/>
      <c r="H2294" s="6"/>
      <c r="I2294" s="53"/>
      <c r="J2294" s="6"/>
      <c r="K2294" s="6"/>
      <c r="L2294" s="6"/>
      <c r="M2294" s="6"/>
      <c r="N2294" s="6"/>
    </row>
    <row r="2295" spans="5:14" x14ac:dyDescent="0.25">
      <c r="E2295" s="6"/>
      <c r="F2295" s="6"/>
      <c r="G2295" s="6"/>
      <c r="H2295" s="6"/>
      <c r="I2295" s="53"/>
      <c r="J2295" s="6"/>
      <c r="K2295" s="6"/>
      <c r="L2295" s="6"/>
      <c r="M2295" s="6"/>
      <c r="N2295" s="6"/>
    </row>
    <row r="2296" spans="5:14" x14ac:dyDescent="0.25">
      <c r="E2296" s="6"/>
      <c r="F2296" s="6"/>
      <c r="G2296" s="6"/>
      <c r="H2296" s="6"/>
      <c r="I2296" s="53"/>
      <c r="J2296" s="6"/>
      <c r="K2296" s="6"/>
      <c r="L2296" s="6"/>
      <c r="M2296" s="6"/>
      <c r="N2296" s="6"/>
    </row>
    <row r="2297" spans="5:14" x14ac:dyDescent="0.25">
      <c r="E2297" s="6"/>
      <c r="F2297" s="6"/>
      <c r="G2297" s="6"/>
      <c r="H2297" s="6"/>
      <c r="I2297" s="53"/>
      <c r="J2297" s="6"/>
      <c r="K2297" s="6"/>
      <c r="L2297" s="6"/>
      <c r="M2297" s="6"/>
      <c r="N2297" s="6"/>
    </row>
    <row r="2298" spans="5:14" x14ac:dyDescent="0.25">
      <c r="E2298" s="6"/>
      <c r="F2298" s="6"/>
      <c r="G2298" s="6"/>
      <c r="H2298" s="6"/>
      <c r="I2298" s="53"/>
      <c r="J2298" s="6"/>
      <c r="K2298" s="6"/>
      <c r="L2298" s="6"/>
      <c r="M2298" s="6"/>
      <c r="N2298" s="6"/>
    </row>
    <row r="2299" spans="5:14" x14ac:dyDescent="0.25">
      <c r="E2299" s="6"/>
      <c r="F2299" s="6"/>
      <c r="G2299" s="6"/>
      <c r="H2299" s="6"/>
      <c r="I2299" s="53"/>
      <c r="J2299" s="6"/>
      <c r="K2299" s="6"/>
      <c r="L2299" s="6"/>
      <c r="M2299" s="6"/>
      <c r="N2299" s="6"/>
    </row>
    <row r="2300" spans="5:14" x14ac:dyDescent="0.25">
      <c r="E2300" s="6"/>
      <c r="F2300" s="6"/>
      <c r="G2300" s="6"/>
      <c r="H2300" s="6"/>
      <c r="I2300" s="53"/>
      <c r="J2300" s="6"/>
      <c r="K2300" s="6"/>
      <c r="L2300" s="6"/>
      <c r="M2300" s="6"/>
      <c r="N2300" s="6"/>
    </row>
    <row r="2301" spans="5:14" x14ac:dyDescent="0.25">
      <c r="E2301" s="6"/>
      <c r="F2301" s="6"/>
      <c r="G2301" s="6"/>
      <c r="H2301" s="6"/>
      <c r="I2301" s="53"/>
      <c r="J2301" s="6"/>
      <c r="K2301" s="6"/>
      <c r="L2301" s="6"/>
      <c r="M2301" s="6"/>
      <c r="N2301" s="6"/>
    </row>
    <row r="2302" spans="5:14" x14ac:dyDescent="0.25">
      <c r="E2302" s="6"/>
      <c r="F2302" s="6"/>
      <c r="G2302" s="6"/>
      <c r="H2302" s="6"/>
      <c r="I2302" s="53"/>
      <c r="J2302" s="6"/>
      <c r="K2302" s="6"/>
      <c r="L2302" s="6"/>
      <c r="M2302" s="6"/>
      <c r="N2302" s="6"/>
    </row>
    <row r="2303" spans="5:14" x14ac:dyDescent="0.25">
      <c r="E2303" s="6"/>
      <c r="F2303" s="6"/>
      <c r="G2303" s="6"/>
      <c r="H2303" s="6"/>
      <c r="I2303" s="53"/>
      <c r="J2303" s="6"/>
      <c r="K2303" s="6"/>
      <c r="L2303" s="6"/>
      <c r="M2303" s="6"/>
      <c r="N2303" s="6"/>
    </row>
    <row r="2304" spans="5:14" x14ac:dyDescent="0.25">
      <c r="E2304" s="6"/>
      <c r="F2304" s="6"/>
      <c r="G2304" s="6"/>
      <c r="H2304" s="6"/>
      <c r="I2304" s="53"/>
      <c r="J2304" s="6"/>
      <c r="K2304" s="6"/>
      <c r="L2304" s="6"/>
      <c r="M2304" s="6"/>
      <c r="N2304" s="6"/>
    </row>
    <row r="2305" spans="5:14" x14ac:dyDescent="0.25">
      <c r="E2305" s="6"/>
      <c r="F2305" s="6"/>
      <c r="G2305" s="6"/>
      <c r="H2305" s="6"/>
      <c r="I2305" s="53"/>
      <c r="J2305" s="6"/>
      <c r="K2305" s="6"/>
      <c r="L2305" s="6"/>
      <c r="M2305" s="6"/>
      <c r="N2305" s="6"/>
    </row>
    <row r="2306" spans="5:14" x14ac:dyDescent="0.25">
      <c r="E2306" s="6"/>
      <c r="F2306" s="6"/>
      <c r="G2306" s="6"/>
      <c r="H2306" s="6"/>
      <c r="I2306" s="53"/>
      <c r="J2306" s="6"/>
      <c r="K2306" s="6"/>
      <c r="L2306" s="6"/>
      <c r="M2306" s="6"/>
      <c r="N2306" s="6"/>
    </row>
    <row r="2307" spans="5:14" x14ac:dyDescent="0.25">
      <c r="E2307" s="6"/>
      <c r="F2307" s="6"/>
      <c r="G2307" s="6"/>
      <c r="H2307" s="6"/>
      <c r="I2307" s="53"/>
      <c r="J2307" s="6"/>
      <c r="K2307" s="6"/>
      <c r="L2307" s="6"/>
      <c r="M2307" s="6"/>
      <c r="N2307" s="6"/>
    </row>
    <row r="2308" spans="5:14" x14ac:dyDescent="0.25">
      <c r="E2308" s="6"/>
      <c r="F2308" s="6"/>
      <c r="G2308" s="6"/>
      <c r="H2308" s="6"/>
      <c r="I2308" s="53"/>
      <c r="J2308" s="6"/>
      <c r="K2308" s="6"/>
      <c r="L2308" s="6"/>
      <c r="M2308" s="6"/>
      <c r="N2308" s="6"/>
    </row>
    <row r="2309" spans="5:14" x14ac:dyDescent="0.25">
      <c r="E2309" s="6"/>
      <c r="F2309" s="6"/>
      <c r="G2309" s="6"/>
      <c r="H2309" s="6"/>
      <c r="I2309" s="53"/>
      <c r="J2309" s="6"/>
      <c r="K2309" s="6"/>
      <c r="L2309" s="6"/>
      <c r="M2309" s="6"/>
      <c r="N2309" s="6"/>
    </row>
    <row r="2310" spans="5:14" x14ac:dyDescent="0.25">
      <c r="E2310" s="6"/>
      <c r="F2310" s="6"/>
      <c r="G2310" s="6"/>
      <c r="H2310" s="6"/>
      <c r="I2310" s="53"/>
      <c r="J2310" s="6"/>
      <c r="K2310" s="6"/>
      <c r="L2310" s="6"/>
      <c r="M2310" s="6"/>
      <c r="N2310" s="6"/>
    </row>
    <row r="2311" spans="5:14" x14ac:dyDescent="0.25">
      <c r="E2311" s="6"/>
      <c r="F2311" s="6"/>
      <c r="G2311" s="6"/>
      <c r="H2311" s="6"/>
      <c r="I2311" s="53"/>
      <c r="J2311" s="6"/>
      <c r="K2311" s="6"/>
      <c r="L2311" s="6"/>
      <c r="M2311" s="6"/>
      <c r="N2311" s="6"/>
    </row>
    <row r="2312" spans="5:14" x14ac:dyDescent="0.25">
      <c r="E2312" s="6"/>
      <c r="F2312" s="6"/>
      <c r="G2312" s="6"/>
      <c r="H2312" s="6"/>
      <c r="I2312" s="53"/>
      <c r="J2312" s="6"/>
      <c r="K2312" s="6"/>
      <c r="L2312" s="6"/>
      <c r="M2312" s="6"/>
      <c r="N2312" s="6"/>
    </row>
    <row r="2313" spans="5:14" x14ac:dyDescent="0.25">
      <c r="E2313" s="6"/>
      <c r="F2313" s="6"/>
      <c r="G2313" s="6"/>
      <c r="H2313" s="6"/>
      <c r="I2313" s="53"/>
      <c r="J2313" s="6"/>
      <c r="K2313" s="6"/>
      <c r="L2313" s="6"/>
      <c r="M2313" s="6"/>
      <c r="N2313" s="6"/>
    </row>
    <row r="2314" spans="5:14" x14ac:dyDescent="0.25">
      <c r="E2314" s="6"/>
      <c r="F2314" s="6"/>
      <c r="G2314" s="6"/>
      <c r="H2314" s="6"/>
      <c r="I2314" s="53"/>
      <c r="J2314" s="6"/>
      <c r="K2314" s="6"/>
      <c r="L2314" s="6"/>
      <c r="M2314" s="6"/>
      <c r="N2314" s="6"/>
    </row>
    <row r="2315" spans="5:14" x14ac:dyDescent="0.25">
      <c r="E2315" s="6"/>
      <c r="F2315" s="6"/>
      <c r="G2315" s="6"/>
      <c r="H2315" s="6"/>
      <c r="I2315" s="53"/>
      <c r="J2315" s="6"/>
      <c r="K2315" s="6"/>
      <c r="L2315" s="6"/>
      <c r="M2315" s="6"/>
      <c r="N2315" s="6"/>
    </row>
    <row r="2316" spans="5:14" x14ac:dyDescent="0.25">
      <c r="E2316" s="6"/>
      <c r="F2316" s="6"/>
      <c r="G2316" s="6"/>
      <c r="H2316" s="6"/>
      <c r="I2316" s="53"/>
      <c r="J2316" s="6"/>
      <c r="K2316" s="6"/>
      <c r="L2316" s="6"/>
      <c r="M2316" s="6"/>
      <c r="N2316" s="6"/>
    </row>
    <row r="2317" spans="5:14" x14ac:dyDescent="0.25">
      <c r="E2317" s="6"/>
      <c r="F2317" s="6"/>
      <c r="G2317" s="6"/>
      <c r="H2317" s="6"/>
      <c r="I2317" s="53"/>
      <c r="J2317" s="6"/>
      <c r="K2317" s="6"/>
      <c r="L2317" s="6"/>
      <c r="M2317" s="6"/>
      <c r="N2317" s="6"/>
    </row>
    <row r="2318" spans="5:14" x14ac:dyDescent="0.25">
      <c r="E2318" s="6"/>
      <c r="F2318" s="6"/>
      <c r="G2318" s="6"/>
      <c r="H2318" s="6"/>
      <c r="I2318" s="53"/>
      <c r="J2318" s="6"/>
      <c r="K2318" s="6"/>
      <c r="L2318" s="6"/>
      <c r="M2318" s="6"/>
      <c r="N2318" s="6"/>
    </row>
    <row r="2319" spans="5:14" x14ac:dyDescent="0.25">
      <c r="E2319" s="6"/>
      <c r="F2319" s="6"/>
      <c r="G2319" s="6"/>
      <c r="H2319" s="6"/>
      <c r="I2319" s="53"/>
      <c r="J2319" s="6"/>
      <c r="K2319" s="6"/>
      <c r="L2319" s="6"/>
      <c r="M2319" s="6"/>
      <c r="N2319" s="6"/>
    </row>
    <row r="2320" spans="5:14" x14ac:dyDescent="0.25">
      <c r="E2320" s="6"/>
      <c r="F2320" s="6"/>
      <c r="G2320" s="6"/>
      <c r="H2320" s="6"/>
      <c r="I2320" s="53"/>
      <c r="J2320" s="6"/>
      <c r="K2320" s="6"/>
      <c r="L2320" s="6"/>
      <c r="M2320" s="6"/>
      <c r="N2320" s="6"/>
    </row>
    <row r="2321" spans="5:14" x14ac:dyDescent="0.25">
      <c r="E2321" s="6"/>
      <c r="F2321" s="6"/>
      <c r="G2321" s="6"/>
      <c r="H2321" s="6"/>
      <c r="I2321" s="53"/>
      <c r="J2321" s="6"/>
      <c r="K2321" s="6"/>
      <c r="L2321" s="6"/>
      <c r="M2321" s="6"/>
      <c r="N2321" s="6"/>
    </row>
    <row r="2322" spans="5:14" x14ac:dyDescent="0.25">
      <c r="E2322" s="6"/>
      <c r="F2322" s="6"/>
      <c r="G2322" s="6"/>
      <c r="H2322" s="6"/>
      <c r="I2322" s="53"/>
      <c r="J2322" s="6"/>
      <c r="K2322" s="6"/>
      <c r="L2322" s="6"/>
      <c r="M2322" s="6"/>
      <c r="N2322" s="6"/>
    </row>
    <row r="2323" spans="5:14" x14ac:dyDescent="0.25">
      <c r="E2323" s="6"/>
      <c r="F2323" s="6"/>
      <c r="G2323" s="6"/>
      <c r="H2323" s="6"/>
      <c r="I2323" s="53"/>
      <c r="J2323" s="6"/>
      <c r="K2323" s="6"/>
      <c r="L2323" s="6"/>
      <c r="M2323" s="6"/>
      <c r="N2323" s="6"/>
    </row>
    <row r="2324" spans="5:14" x14ac:dyDescent="0.25">
      <c r="E2324" s="6"/>
      <c r="F2324" s="6"/>
      <c r="G2324" s="6"/>
      <c r="H2324" s="6"/>
      <c r="I2324" s="53"/>
      <c r="J2324" s="6"/>
      <c r="K2324" s="6"/>
      <c r="L2324" s="6"/>
      <c r="M2324" s="6"/>
      <c r="N2324" s="6"/>
    </row>
    <row r="2325" spans="5:14" x14ac:dyDescent="0.25">
      <c r="E2325" s="6"/>
      <c r="F2325" s="6"/>
      <c r="G2325" s="6"/>
      <c r="H2325" s="6"/>
      <c r="I2325" s="53"/>
      <c r="J2325" s="6"/>
      <c r="K2325" s="6"/>
      <c r="L2325" s="6"/>
      <c r="M2325" s="6"/>
      <c r="N2325" s="6"/>
    </row>
    <row r="2326" spans="5:14" x14ac:dyDescent="0.25">
      <c r="E2326" s="6"/>
      <c r="F2326" s="6"/>
      <c r="G2326" s="6"/>
      <c r="H2326" s="6"/>
      <c r="I2326" s="53"/>
      <c r="J2326" s="6"/>
      <c r="K2326" s="6"/>
      <c r="L2326" s="6"/>
      <c r="M2326" s="6"/>
      <c r="N2326" s="6"/>
    </row>
    <row r="2327" spans="5:14" x14ac:dyDescent="0.25">
      <c r="E2327" s="6"/>
      <c r="F2327" s="6"/>
      <c r="G2327" s="6"/>
      <c r="H2327" s="6"/>
      <c r="I2327" s="53"/>
      <c r="J2327" s="6"/>
      <c r="K2327" s="6"/>
      <c r="L2327" s="6"/>
      <c r="M2327" s="6"/>
      <c r="N2327" s="6"/>
    </row>
    <row r="2328" spans="5:14" x14ac:dyDescent="0.25">
      <c r="E2328" s="6"/>
      <c r="F2328" s="6"/>
      <c r="G2328" s="6"/>
      <c r="H2328" s="6"/>
      <c r="I2328" s="53"/>
      <c r="J2328" s="6"/>
      <c r="K2328" s="6"/>
      <c r="L2328" s="6"/>
      <c r="M2328" s="6"/>
      <c r="N2328" s="6"/>
    </row>
    <row r="2329" spans="5:14" x14ac:dyDescent="0.25">
      <c r="E2329" s="6"/>
      <c r="F2329" s="6"/>
      <c r="G2329" s="6"/>
      <c r="H2329" s="6"/>
      <c r="I2329" s="53"/>
      <c r="J2329" s="6"/>
      <c r="K2329" s="6"/>
      <c r="L2329" s="6"/>
      <c r="M2329" s="6"/>
      <c r="N2329" s="6"/>
    </row>
    <row r="2330" spans="5:14" x14ac:dyDescent="0.25">
      <c r="E2330" s="6"/>
      <c r="F2330" s="6"/>
      <c r="G2330" s="6"/>
      <c r="H2330" s="6"/>
      <c r="I2330" s="53"/>
      <c r="J2330" s="6"/>
      <c r="K2330" s="6"/>
      <c r="L2330" s="6"/>
      <c r="M2330" s="6"/>
      <c r="N2330" s="6"/>
    </row>
    <row r="2331" spans="5:14" x14ac:dyDescent="0.25">
      <c r="E2331" s="6"/>
      <c r="F2331" s="6"/>
      <c r="G2331" s="6"/>
      <c r="H2331" s="6"/>
      <c r="I2331" s="53"/>
      <c r="J2331" s="6"/>
      <c r="K2331" s="6"/>
      <c r="L2331" s="6"/>
      <c r="M2331" s="6"/>
      <c r="N2331" s="6"/>
    </row>
    <row r="2332" spans="5:14" x14ac:dyDescent="0.25">
      <c r="E2332" s="6"/>
      <c r="F2332" s="6"/>
      <c r="G2332" s="6"/>
      <c r="H2332" s="6"/>
      <c r="I2332" s="53"/>
      <c r="J2332" s="6"/>
      <c r="K2332" s="6"/>
      <c r="L2332" s="6"/>
      <c r="M2332" s="6"/>
      <c r="N2332" s="6"/>
    </row>
    <row r="2333" spans="5:14" x14ac:dyDescent="0.25">
      <c r="E2333" s="6"/>
      <c r="F2333" s="6"/>
      <c r="G2333" s="6"/>
      <c r="H2333" s="6"/>
      <c r="I2333" s="53"/>
      <c r="J2333" s="6"/>
      <c r="K2333" s="6"/>
      <c r="L2333" s="6"/>
      <c r="M2333" s="6"/>
      <c r="N2333" s="6"/>
    </row>
    <row r="2334" spans="5:14" x14ac:dyDescent="0.25">
      <c r="E2334" s="6"/>
      <c r="F2334" s="6"/>
      <c r="G2334" s="6"/>
      <c r="H2334" s="6"/>
      <c r="I2334" s="53"/>
      <c r="J2334" s="6"/>
      <c r="K2334" s="6"/>
      <c r="L2334" s="6"/>
      <c r="M2334" s="6"/>
      <c r="N2334" s="6"/>
    </row>
    <row r="2335" spans="5:14" x14ac:dyDescent="0.25">
      <c r="E2335" s="6"/>
      <c r="F2335" s="6"/>
      <c r="G2335" s="6"/>
      <c r="H2335" s="6"/>
      <c r="I2335" s="53"/>
      <c r="J2335" s="6"/>
      <c r="K2335" s="6"/>
      <c r="L2335" s="6"/>
      <c r="M2335" s="6"/>
      <c r="N2335" s="6"/>
    </row>
    <row r="2336" spans="5:14" x14ac:dyDescent="0.25">
      <c r="E2336" s="6"/>
      <c r="F2336" s="6"/>
      <c r="G2336" s="6"/>
      <c r="H2336" s="6"/>
      <c r="I2336" s="53"/>
      <c r="J2336" s="6"/>
      <c r="K2336" s="6"/>
      <c r="L2336" s="6"/>
      <c r="M2336" s="6"/>
      <c r="N2336" s="6"/>
    </row>
    <row r="2337" spans="5:14" x14ac:dyDescent="0.25">
      <c r="E2337" s="6"/>
      <c r="F2337" s="6"/>
      <c r="G2337" s="6"/>
      <c r="H2337" s="6"/>
      <c r="I2337" s="53"/>
      <c r="J2337" s="6"/>
      <c r="K2337" s="6"/>
      <c r="L2337" s="6"/>
      <c r="M2337" s="6"/>
      <c r="N2337" s="6"/>
    </row>
    <row r="2338" spans="5:14" x14ac:dyDescent="0.25">
      <c r="E2338" s="6"/>
      <c r="F2338" s="6"/>
      <c r="G2338" s="6"/>
      <c r="H2338" s="6"/>
      <c r="I2338" s="53"/>
      <c r="J2338" s="6"/>
      <c r="K2338" s="6"/>
      <c r="L2338" s="6"/>
      <c r="M2338" s="6"/>
      <c r="N2338" s="6"/>
    </row>
    <row r="2339" spans="5:14" x14ac:dyDescent="0.25">
      <c r="E2339" s="6"/>
      <c r="F2339" s="6"/>
      <c r="G2339" s="6"/>
      <c r="H2339" s="6"/>
      <c r="I2339" s="53"/>
      <c r="J2339" s="6"/>
      <c r="K2339" s="6"/>
      <c r="L2339" s="6"/>
      <c r="M2339" s="6"/>
      <c r="N2339" s="6"/>
    </row>
    <row r="2340" spans="5:14" x14ac:dyDescent="0.25">
      <c r="E2340" s="6"/>
      <c r="F2340" s="6"/>
      <c r="G2340" s="6"/>
      <c r="H2340" s="6"/>
      <c r="I2340" s="53"/>
      <c r="J2340" s="6"/>
      <c r="K2340" s="6"/>
      <c r="L2340" s="6"/>
      <c r="M2340" s="6"/>
      <c r="N2340" s="6"/>
    </row>
    <row r="2341" spans="5:14" x14ac:dyDescent="0.25">
      <c r="E2341" s="6"/>
      <c r="F2341" s="6"/>
      <c r="G2341" s="6"/>
      <c r="H2341" s="6"/>
      <c r="I2341" s="53"/>
      <c r="J2341" s="6"/>
      <c r="K2341" s="6"/>
      <c r="L2341" s="6"/>
      <c r="M2341" s="6"/>
      <c r="N2341" s="6"/>
    </row>
    <row r="2342" spans="5:14" x14ac:dyDescent="0.25">
      <c r="E2342" s="6"/>
      <c r="F2342" s="6"/>
      <c r="G2342" s="6"/>
      <c r="H2342" s="6"/>
      <c r="I2342" s="53"/>
      <c r="J2342" s="6"/>
      <c r="K2342" s="6"/>
      <c r="L2342" s="6"/>
      <c r="M2342" s="6"/>
      <c r="N2342" s="6"/>
    </row>
    <row r="2343" spans="5:14" x14ac:dyDescent="0.25">
      <c r="E2343" s="6"/>
      <c r="F2343" s="6"/>
      <c r="G2343" s="6"/>
      <c r="H2343" s="6"/>
      <c r="I2343" s="53"/>
      <c r="J2343" s="6"/>
      <c r="K2343" s="6"/>
      <c r="L2343" s="6"/>
      <c r="M2343" s="6"/>
      <c r="N2343" s="6"/>
    </row>
    <row r="2344" spans="5:14" x14ac:dyDescent="0.25">
      <c r="E2344" s="6"/>
      <c r="F2344" s="6"/>
      <c r="G2344" s="6"/>
      <c r="H2344" s="6"/>
      <c r="I2344" s="53"/>
      <c r="J2344" s="6"/>
      <c r="K2344" s="6"/>
      <c r="L2344" s="6"/>
      <c r="M2344" s="6"/>
      <c r="N2344" s="6"/>
    </row>
    <row r="2345" spans="5:14" x14ac:dyDescent="0.25">
      <c r="E2345" s="6"/>
      <c r="F2345" s="6"/>
      <c r="G2345" s="6"/>
      <c r="H2345" s="6"/>
      <c r="I2345" s="53"/>
      <c r="J2345" s="6"/>
      <c r="K2345" s="6"/>
      <c r="L2345" s="6"/>
      <c r="M2345" s="6"/>
      <c r="N2345" s="6"/>
    </row>
    <row r="2346" spans="5:14" x14ac:dyDescent="0.25">
      <c r="E2346" s="6"/>
      <c r="F2346" s="6"/>
      <c r="G2346" s="6"/>
      <c r="H2346" s="6"/>
      <c r="I2346" s="53"/>
      <c r="J2346" s="6"/>
      <c r="K2346" s="6"/>
      <c r="L2346" s="6"/>
      <c r="M2346" s="6"/>
      <c r="N2346" s="6"/>
    </row>
    <row r="2347" spans="5:14" x14ac:dyDescent="0.25">
      <c r="E2347" s="6"/>
      <c r="F2347" s="6"/>
      <c r="G2347" s="6"/>
      <c r="H2347" s="6"/>
      <c r="I2347" s="53"/>
      <c r="J2347" s="6"/>
      <c r="K2347" s="6"/>
      <c r="L2347" s="6"/>
      <c r="M2347" s="6"/>
      <c r="N2347" s="6"/>
    </row>
    <row r="2348" spans="5:14" x14ac:dyDescent="0.25">
      <c r="E2348" s="6"/>
      <c r="F2348" s="6"/>
      <c r="G2348" s="6"/>
      <c r="H2348" s="6"/>
      <c r="I2348" s="53"/>
      <c r="J2348" s="6"/>
      <c r="K2348" s="6"/>
      <c r="L2348" s="6"/>
      <c r="M2348" s="6"/>
      <c r="N2348" s="6"/>
    </row>
    <row r="2349" spans="5:14" x14ac:dyDescent="0.25">
      <c r="E2349" s="6"/>
      <c r="F2349" s="6"/>
      <c r="G2349" s="6"/>
      <c r="H2349" s="6"/>
      <c r="I2349" s="53"/>
      <c r="J2349" s="6"/>
      <c r="K2349" s="6"/>
      <c r="L2349" s="6"/>
      <c r="M2349" s="6"/>
      <c r="N2349" s="6"/>
    </row>
    <row r="2350" spans="5:14" x14ac:dyDescent="0.25">
      <c r="E2350" s="6"/>
      <c r="F2350" s="6"/>
      <c r="G2350" s="6"/>
      <c r="H2350" s="6"/>
      <c r="I2350" s="53"/>
      <c r="J2350" s="6"/>
      <c r="K2350" s="6"/>
      <c r="L2350" s="6"/>
      <c r="M2350" s="6"/>
      <c r="N2350" s="6"/>
    </row>
    <row r="2351" spans="5:14" x14ac:dyDescent="0.25">
      <c r="E2351" s="6"/>
      <c r="F2351" s="6"/>
      <c r="G2351" s="6"/>
      <c r="H2351" s="6"/>
      <c r="I2351" s="53"/>
      <c r="J2351" s="6"/>
      <c r="K2351" s="6"/>
      <c r="L2351" s="6"/>
      <c r="M2351" s="6"/>
      <c r="N2351" s="6"/>
    </row>
    <row r="2352" spans="5:14" x14ac:dyDescent="0.25">
      <c r="E2352" s="6"/>
      <c r="F2352" s="6"/>
      <c r="G2352" s="6"/>
      <c r="H2352" s="6"/>
      <c r="I2352" s="53"/>
      <c r="J2352" s="6"/>
      <c r="K2352" s="6"/>
      <c r="L2352" s="6"/>
      <c r="M2352" s="6"/>
      <c r="N2352" s="6"/>
    </row>
    <row r="2353" spans="5:14" x14ac:dyDescent="0.25">
      <c r="E2353" s="6"/>
      <c r="F2353" s="6"/>
      <c r="G2353" s="6"/>
      <c r="H2353" s="6"/>
      <c r="I2353" s="53"/>
      <c r="J2353" s="6"/>
      <c r="K2353" s="6"/>
      <c r="L2353" s="6"/>
      <c r="M2353" s="6"/>
      <c r="N2353" s="6"/>
    </row>
    <row r="2354" spans="5:14" x14ac:dyDescent="0.25">
      <c r="E2354" s="6"/>
      <c r="F2354" s="6"/>
      <c r="G2354" s="6"/>
      <c r="H2354" s="6"/>
      <c r="I2354" s="53"/>
      <c r="J2354" s="6"/>
      <c r="K2354" s="6"/>
      <c r="L2354" s="6"/>
      <c r="M2354" s="6"/>
      <c r="N2354" s="6"/>
    </row>
    <row r="2355" spans="5:14" x14ac:dyDescent="0.25">
      <c r="E2355" s="6"/>
      <c r="F2355" s="6"/>
      <c r="G2355" s="6"/>
      <c r="H2355" s="6"/>
      <c r="I2355" s="53"/>
      <c r="J2355" s="6"/>
      <c r="K2355" s="6"/>
      <c r="L2355" s="6"/>
      <c r="M2355" s="6"/>
      <c r="N2355" s="6"/>
    </row>
    <row r="2356" spans="5:14" x14ac:dyDescent="0.25">
      <c r="E2356" s="6"/>
      <c r="F2356" s="6"/>
      <c r="G2356" s="6"/>
      <c r="H2356" s="6"/>
      <c r="I2356" s="53"/>
      <c r="J2356" s="6"/>
      <c r="K2356" s="6"/>
      <c r="L2356" s="6"/>
      <c r="M2356" s="6"/>
      <c r="N2356" s="6"/>
    </row>
    <row r="2357" spans="5:14" x14ac:dyDescent="0.25">
      <c r="E2357" s="6"/>
      <c r="F2357" s="6"/>
      <c r="G2357" s="6"/>
      <c r="H2357" s="6"/>
      <c r="I2357" s="53"/>
      <c r="J2357" s="6"/>
      <c r="K2357" s="6"/>
      <c r="L2357" s="6"/>
      <c r="M2357" s="6"/>
      <c r="N2357" s="6"/>
    </row>
    <row r="2358" spans="5:14" x14ac:dyDescent="0.25">
      <c r="E2358" s="6"/>
      <c r="F2358" s="6"/>
      <c r="G2358" s="6"/>
      <c r="H2358" s="6"/>
      <c r="I2358" s="53"/>
      <c r="J2358" s="6"/>
      <c r="K2358" s="6"/>
      <c r="L2358" s="6"/>
      <c r="M2358" s="6"/>
      <c r="N2358" s="6"/>
    </row>
    <row r="2359" spans="5:14" x14ac:dyDescent="0.25">
      <c r="E2359" s="6"/>
      <c r="F2359" s="6"/>
      <c r="G2359" s="6"/>
      <c r="H2359" s="6"/>
      <c r="I2359" s="53"/>
      <c r="J2359" s="6"/>
      <c r="K2359" s="6"/>
      <c r="L2359" s="6"/>
      <c r="M2359" s="6"/>
      <c r="N2359" s="6"/>
    </row>
    <row r="2360" spans="5:14" x14ac:dyDescent="0.25">
      <c r="E2360" s="6"/>
      <c r="F2360" s="6"/>
      <c r="G2360" s="6"/>
      <c r="H2360" s="6"/>
      <c r="I2360" s="53"/>
      <c r="J2360" s="6"/>
      <c r="K2360" s="6"/>
      <c r="L2360" s="6"/>
      <c r="M2360" s="6"/>
      <c r="N2360" s="6"/>
    </row>
    <row r="2361" spans="5:14" x14ac:dyDescent="0.25">
      <c r="E2361" s="6"/>
      <c r="F2361" s="6"/>
      <c r="G2361" s="6"/>
      <c r="H2361" s="6"/>
      <c r="I2361" s="53"/>
      <c r="J2361" s="6"/>
      <c r="K2361" s="6"/>
      <c r="L2361" s="6"/>
      <c r="M2361" s="6"/>
      <c r="N2361" s="6"/>
    </row>
    <row r="2362" spans="5:14" x14ac:dyDescent="0.25">
      <c r="E2362" s="6"/>
      <c r="F2362" s="6"/>
      <c r="G2362" s="6"/>
      <c r="H2362" s="6"/>
      <c r="I2362" s="53"/>
      <c r="J2362" s="6"/>
      <c r="K2362" s="6"/>
      <c r="L2362" s="6"/>
      <c r="M2362" s="6"/>
      <c r="N2362" s="6"/>
    </row>
    <row r="2363" spans="5:14" x14ac:dyDescent="0.25">
      <c r="E2363" s="6"/>
      <c r="F2363" s="6"/>
      <c r="G2363" s="6"/>
      <c r="H2363" s="6"/>
      <c r="I2363" s="53"/>
      <c r="J2363" s="6"/>
      <c r="K2363" s="6"/>
      <c r="L2363" s="6"/>
      <c r="M2363" s="6"/>
      <c r="N2363" s="6"/>
    </row>
    <row r="2364" spans="5:14" x14ac:dyDescent="0.25">
      <c r="E2364" s="6"/>
      <c r="F2364" s="6"/>
      <c r="G2364" s="6"/>
      <c r="H2364" s="6"/>
      <c r="I2364" s="53"/>
      <c r="J2364" s="6"/>
      <c r="K2364" s="6"/>
      <c r="L2364" s="6"/>
      <c r="M2364" s="6"/>
      <c r="N2364" s="6"/>
    </row>
    <row r="2365" spans="5:14" x14ac:dyDescent="0.25">
      <c r="E2365" s="6"/>
      <c r="F2365" s="6"/>
      <c r="G2365" s="6"/>
      <c r="H2365" s="6"/>
      <c r="I2365" s="53"/>
      <c r="J2365" s="6"/>
      <c r="K2365" s="6"/>
      <c r="L2365" s="6"/>
      <c r="M2365" s="6"/>
      <c r="N2365" s="6"/>
    </row>
    <row r="2366" spans="5:14" x14ac:dyDescent="0.25">
      <c r="E2366" s="6"/>
      <c r="F2366" s="6"/>
      <c r="G2366" s="6"/>
      <c r="H2366" s="6"/>
      <c r="I2366" s="53"/>
      <c r="J2366" s="6"/>
      <c r="K2366" s="6"/>
      <c r="L2366" s="6"/>
      <c r="M2366" s="6"/>
      <c r="N2366" s="6"/>
    </row>
    <row r="2367" spans="5:14" x14ac:dyDescent="0.25">
      <c r="E2367" s="6"/>
      <c r="F2367" s="6"/>
      <c r="G2367" s="6"/>
      <c r="H2367" s="6"/>
      <c r="I2367" s="53"/>
      <c r="J2367" s="6"/>
      <c r="K2367" s="6"/>
      <c r="L2367" s="6"/>
      <c r="M2367" s="6"/>
      <c r="N2367" s="6"/>
    </row>
    <row r="2368" spans="5:14" x14ac:dyDescent="0.25">
      <c r="E2368" s="6"/>
      <c r="F2368" s="6"/>
      <c r="G2368" s="6"/>
      <c r="H2368" s="6"/>
      <c r="I2368" s="53"/>
      <c r="J2368" s="6"/>
      <c r="K2368" s="6"/>
      <c r="L2368" s="6"/>
      <c r="M2368" s="6"/>
      <c r="N2368" s="6"/>
    </row>
    <row r="2369" spans="5:14" x14ac:dyDescent="0.25">
      <c r="E2369" s="6"/>
      <c r="F2369" s="6"/>
      <c r="G2369" s="6"/>
      <c r="H2369" s="6"/>
      <c r="I2369" s="53"/>
      <c r="J2369" s="6"/>
      <c r="K2369" s="6"/>
      <c r="L2369" s="6"/>
      <c r="M2369" s="6"/>
      <c r="N2369" s="6"/>
    </row>
    <row r="2370" spans="5:14" x14ac:dyDescent="0.25">
      <c r="E2370" s="6"/>
      <c r="F2370" s="6"/>
      <c r="G2370" s="6"/>
      <c r="H2370" s="6"/>
      <c r="I2370" s="53"/>
      <c r="J2370" s="6"/>
      <c r="K2370" s="6"/>
      <c r="L2370" s="6"/>
      <c r="M2370" s="6"/>
      <c r="N2370" s="6"/>
    </row>
    <row r="2371" spans="5:14" x14ac:dyDescent="0.25">
      <c r="E2371" s="6"/>
      <c r="F2371" s="6"/>
      <c r="G2371" s="6"/>
      <c r="H2371" s="6"/>
      <c r="I2371" s="53"/>
      <c r="J2371" s="6"/>
      <c r="K2371" s="6"/>
      <c r="L2371" s="6"/>
      <c r="M2371" s="6"/>
      <c r="N2371" s="6"/>
    </row>
    <row r="2372" spans="5:14" x14ac:dyDescent="0.25">
      <c r="E2372" s="6"/>
      <c r="F2372" s="6"/>
      <c r="G2372" s="6"/>
      <c r="H2372" s="6"/>
      <c r="I2372" s="53"/>
      <c r="J2372" s="6"/>
      <c r="K2372" s="6"/>
      <c r="L2372" s="6"/>
      <c r="M2372" s="6"/>
      <c r="N2372" s="6"/>
    </row>
    <row r="2373" spans="5:14" x14ac:dyDescent="0.25">
      <c r="E2373" s="6"/>
      <c r="F2373" s="6"/>
      <c r="G2373" s="6"/>
      <c r="H2373" s="6"/>
      <c r="I2373" s="53"/>
      <c r="J2373" s="6"/>
      <c r="K2373" s="6"/>
      <c r="L2373" s="6"/>
      <c r="M2373" s="6"/>
      <c r="N2373" s="6"/>
    </row>
    <row r="2374" spans="5:14" x14ac:dyDescent="0.25">
      <c r="E2374" s="6"/>
      <c r="F2374" s="6"/>
      <c r="G2374" s="6"/>
      <c r="H2374" s="6"/>
      <c r="I2374" s="53"/>
      <c r="J2374" s="6"/>
      <c r="K2374" s="6"/>
      <c r="L2374" s="6"/>
      <c r="M2374" s="6"/>
      <c r="N2374" s="6"/>
    </row>
    <row r="2375" spans="5:14" x14ac:dyDescent="0.25">
      <c r="E2375" s="6"/>
      <c r="F2375" s="6"/>
      <c r="G2375" s="6"/>
      <c r="H2375" s="6"/>
      <c r="I2375" s="53"/>
      <c r="J2375" s="6"/>
      <c r="K2375" s="6"/>
      <c r="L2375" s="6"/>
      <c r="M2375" s="6"/>
      <c r="N2375" s="6"/>
    </row>
    <row r="2376" spans="5:14" x14ac:dyDescent="0.25">
      <c r="E2376" s="6"/>
      <c r="F2376" s="6"/>
      <c r="G2376" s="6"/>
      <c r="H2376" s="6"/>
      <c r="I2376" s="53"/>
      <c r="J2376" s="6"/>
      <c r="K2376" s="6"/>
      <c r="L2376" s="6"/>
      <c r="M2376" s="6"/>
      <c r="N2376" s="6"/>
    </row>
    <row r="2377" spans="5:14" x14ac:dyDescent="0.25">
      <c r="E2377" s="6"/>
      <c r="F2377" s="6"/>
      <c r="G2377" s="6"/>
      <c r="H2377" s="6"/>
      <c r="I2377" s="53"/>
      <c r="J2377" s="6"/>
      <c r="K2377" s="6"/>
      <c r="L2377" s="6"/>
      <c r="M2377" s="6"/>
      <c r="N2377" s="6"/>
    </row>
    <row r="2378" spans="5:14" x14ac:dyDescent="0.25">
      <c r="E2378" s="6"/>
      <c r="F2378" s="6"/>
      <c r="G2378" s="6"/>
      <c r="H2378" s="6"/>
      <c r="I2378" s="53"/>
      <c r="J2378" s="6"/>
      <c r="K2378" s="6"/>
      <c r="L2378" s="6"/>
      <c r="M2378" s="6"/>
      <c r="N2378" s="6"/>
    </row>
    <row r="2379" spans="5:14" x14ac:dyDescent="0.25">
      <c r="E2379" s="6"/>
      <c r="F2379" s="6"/>
      <c r="G2379" s="6"/>
      <c r="H2379" s="6"/>
      <c r="I2379" s="53"/>
      <c r="J2379" s="6"/>
      <c r="K2379" s="6"/>
      <c r="L2379" s="6"/>
      <c r="M2379" s="6"/>
      <c r="N2379" s="6"/>
    </row>
  </sheetData>
  <mergeCells count="2">
    <mergeCell ref="J6:N6"/>
    <mergeCell ref="A2:N2"/>
  </mergeCells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9"/>
  <sheetViews>
    <sheetView tabSelected="1" workbookViewId="0">
      <selection activeCell="C5" sqref="C5"/>
    </sheetView>
  </sheetViews>
  <sheetFormatPr defaultRowHeight="13.2" x14ac:dyDescent="0.25"/>
  <cols>
    <col min="1" max="1" width="0.88671875" customWidth="1"/>
    <col min="2" max="2" width="10.33203125" customWidth="1"/>
    <col min="4" max="9" width="10.88671875" customWidth="1"/>
    <col min="10" max="10" width="5.6640625" customWidth="1"/>
    <col min="11" max="11" width="11.5546875" customWidth="1"/>
  </cols>
  <sheetData>
    <row r="1" spans="2:11" ht="13.8" thickBot="1" x14ac:dyDescent="0.3"/>
    <row r="2" spans="2:11" ht="15.6" x14ac:dyDescent="0.3">
      <c r="D2" s="116" t="s">
        <v>40</v>
      </c>
      <c r="E2" s="117"/>
      <c r="F2" s="117"/>
      <c r="G2" s="118"/>
    </row>
    <row r="3" spans="2:11" ht="16.2" thickBot="1" x14ac:dyDescent="0.35">
      <c r="D3" s="113" t="s">
        <v>41</v>
      </c>
      <c r="E3" s="114"/>
      <c r="F3" s="114"/>
      <c r="G3" s="115"/>
    </row>
    <row r="4" spans="2:11" x14ac:dyDescent="0.25">
      <c r="K4" s="36"/>
    </row>
    <row r="5" spans="2:11" ht="15" x14ac:dyDescent="0.25">
      <c r="B5" s="84"/>
      <c r="C5" s="84"/>
      <c r="D5" s="84"/>
      <c r="E5" s="84"/>
      <c r="F5" s="84"/>
      <c r="G5" s="84"/>
      <c r="H5" s="84"/>
      <c r="I5" s="84"/>
    </row>
    <row r="6" spans="2:11" ht="15" x14ac:dyDescent="0.25">
      <c r="B6" s="84"/>
      <c r="C6" s="84"/>
      <c r="D6" s="84"/>
      <c r="E6" s="84"/>
      <c r="F6" s="84"/>
      <c r="G6" s="84"/>
      <c r="H6" s="84"/>
      <c r="I6" s="84"/>
    </row>
    <row r="7" spans="2:11" ht="16.2" thickBot="1" x14ac:dyDescent="0.35">
      <c r="B7" s="85"/>
      <c r="C7" s="85"/>
      <c r="D7" s="85"/>
      <c r="E7" s="85"/>
      <c r="F7" s="85" t="s">
        <v>30</v>
      </c>
      <c r="G7" s="85"/>
      <c r="H7" s="85"/>
      <c r="I7" s="85"/>
    </row>
    <row r="8" spans="2:11" ht="15.6" x14ac:dyDescent="0.3">
      <c r="B8" s="85"/>
      <c r="C8" s="85"/>
      <c r="D8" s="86"/>
      <c r="E8" s="87"/>
      <c r="F8" s="87" t="s">
        <v>23</v>
      </c>
      <c r="G8" s="87"/>
      <c r="H8" s="87"/>
      <c r="I8" s="88"/>
    </row>
    <row r="9" spans="2:11" ht="16.2" thickBot="1" x14ac:dyDescent="0.35">
      <c r="B9" s="85"/>
      <c r="C9" s="89"/>
      <c r="D9" s="90">
        <v>800</v>
      </c>
      <c r="E9" s="91">
        <v>1000</v>
      </c>
      <c r="F9" s="91">
        <v>1200</v>
      </c>
      <c r="G9" s="91">
        <v>1400</v>
      </c>
      <c r="H9" s="91">
        <v>1600</v>
      </c>
      <c r="I9" s="92">
        <v>1800</v>
      </c>
      <c r="K9" s="100"/>
    </row>
    <row r="10" spans="2:11" ht="15.6" x14ac:dyDescent="0.3">
      <c r="B10" s="86"/>
      <c r="C10" s="51">
        <v>400</v>
      </c>
      <c r="D10" s="96">
        <v>207</v>
      </c>
      <c r="E10" s="96">
        <v>184.91</v>
      </c>
      <c r="F10" s="96">
        <v>173.51</v>
      </c>
      <c r="G10" s="96">
        <v>164.15</v>
      </c>
      <c r="H10" s="96">
        <v>163.4</v>
      </c>
      <c r="I10" s="96">
        <v>163.19</v>
      </c>
      <c r="K10" s="99">
        <f t="shared" ref="K10:K15" si="0">SUM(D10:I10)/6</f>
        <v>176.02666666666664</v>
      </c>
    </row>
    <row r="11" spans="2:11" ht="15.6" x14ac:dyDescent="0.3">
      <c r="B11" s="93"/>
      <c r="C11" s="91">
        <v>600</v>
      </c>
      <c r="D11" s="96">
        <v>163.76</v>
      </c>
      <c r="E11" s="96">
        <v>156.35</v>
      </c>
      <c r="F11" s="96">
        <v>135.51</v>
      </c>
      <c r="G11" s="96">
        <v>143.13</v>
      </c>
      <c r="H11" s="96">
        <v>136.82</v>
      </c>
      <c r="I11" s="96">
        <v>145.35</v>
      </c>
      <c r="K11" s="99">
        <f t="shared" si="0"/>
        <v>146.82</v>
      </c>
    </row>
    <row r="12" spans="2:11" ht="15.6" x14ac:dyDescent="0.3">
      <c r="B12" s="90" t="s">
        <v>31</v>
      </c>
      <c r="C12" s="91">
        <v>800</v>
      </c>
      <c r="D12" s="96">
        <v>159.99</v>
      </c>
      <c r="E12" s="96">
        <v>134.94</v>
      </c>
      <c r="F12" s="96">
        <v>132.26</v>
      </c>
      <c r="G12" s="96">
        <v>128.43</v>
      </c>
      <c r="H12" s="96">
        <v>130.29</v>
      </c>
      <c r="I12" s="96">
        <v>135.83000000000001</v>
      </c>
      <c r="K12" s="99">
        <f t="shared" si="0"/>
        <v>136.95666666666668</v>
      </c>
    </row>
    <row r="13" spans="2:11" ht="15.6" x14ac:dyDescent="0.3">
      <c r="B13" s="90" t="s">
        <v>32</v>
      </c>
      <c r="C13" s="91">
        <v>1000</v>
      </c>
      <c r="D13" s="96">
        <v>155.25</v>
      </c>
      <c r="E13" s="96">
        <v>135.15</v>
      </c>
      <c r="F13" s="96">
        <v>131.83000000000001</v>
      </c>
      <c r="G13" s="96">
        <v>133.88</v>
      </c>
      <c r="H13" s="96">
        <v>136.62</v>
      </c>
      <c r="I13" s="96">
        <v>141.94999999999999</v>
      </c>
      <c r="K13" s="99">
        <f t="shared" si="0"/>
        <v>139.11333333333334</v>
      </c>
    </row>
    <row r="14" spans="2:11" ht="15.6" x14ac:dyDescent="0.3">
      <c r="B14" s="93"/>
      <c r="C14" s="91">
        <v>1200</v>
      </c>
      <c r="D14" s="96">
        <v>152.47999999999999</v>
      </c>
      <c r="E14" s="96">
        <v>140.94</v>
      </c>
      <c r="F14" s="96">
        <v>140.16</v>
      </c>
      <c r="G14" s="96">
        <v>142.94</v>
      </c>
      <c r="H14" s="96">
        <v>147.07</v>
      </c>
      <c r="I14" s="96">
        <v>152.36000000000001</v>
      </c>
      <c r="K14" s="99">
        <f t="shared" si="0"/>
        <v>145.99166666666665</v>
      </c>
    </row>
    <row r="15" spans="2:11" ht="16.2" thickBot="1" x14ac:dyDescent="0.35">
      <c r="B15" s="94"/>
      <c r="C15" s="55">
        <v>1400</v>
      </c>
      <c r="D15" s="96">
        <v>153.91999999999999</v>
      </c>
      <c r="E15" s="96">
        <v>146.88999999999999</v>
      </c>
      <c r="F15" s="96">
        <v>149.6</v>
      </c>
      <c r="G15" s="96">
        <v>157.96</v>
      </c>
      <c r="H15" s="96">
        <v>164.62</v>
      </c>
      <c r="I15" s="96">
        <v>168.77</v>
      </c>
      <c r="K15" s="99">
        <f t="shared" si="0"/>
        <v>156.96</v>
      </c>
    </row>
    <row r="16" spans="2:11" ht="15" x14ac:dyDescent="0.25">
      <c r="B16" s="84"/>
      <c r="C16" s="84"/>
      <c r="D16" s="84"/>
      <c r="E16" s="84"/>
      <c r="F16" s="84"/>
      <c r="G16" s="84"/>
      <c r="H16" s="84"/>
      <c r="I16" s="84"/>
    </row>
    <row r="17" spans="1:11" ht="15.6" x14ac:dyDescent="0.3">
      <c r="A17" s="84"/>
      <c r="B17" s="84"/>
      <c r="C17" s="98"/>
      <c r="D17" s="99">
        <f t="shared" ref="D17:I17" si="1">SUM(D10:D15)/6</f>
        <v>165.4</v>
      </c>
      <c r="E17" s="99">
        <f t="shared" si="1"/>
        <v>149.86333333333332</v>
      </c>
      <c r="F17" s="99">
        <f t="shared" si="1"/>
        <v>143.81166666666667</v>
      </c>
      <c r="G17" s="99">
        <f t="shared" si="1"/>
        <v>145.08166666666668</v>
      </c>
      <c r="H17" s="99">
        <f t="shared" si="1"/>
        <v>146.47</v>
      </c>
      <c r="I17" s="99">
        <f t="shared" si="1"/>
        <v>151.24166666666665</v>
      </c>
      <c r="J17" s="100"/>
    </row>
    <row r="18" spans="1:11" ht="16.2" thickBot="1" x14ac:dyDescent="0.35">
      <c r="K18" s="85"/>
    </row>
    <row r="19" spans="1:11" ht="16.2" thickBot="1" x14ac:dyDescent="0.35">
      <c r="I19" s="28" t="s">
        <v>35</v>
      </c>
      <c r="J19" s="95"/>
      <c r="K19" s="97">
        <f>(SUM(D10:I15)/36)</f>
        <v>150.31138888888887</v>
      </c>
    </row>
  </sheetData>
  <mergeCells count="2">
    <mergeCell ref="D2:G2"/>
    <mergeCell ref="D3:G3"/>
  </mergeCells>
  <phoneticPr fontId="0" type="noConversion"/>
  <pageMargins left="0.75" right="0.75" top="1" bottom="1" header="0.5" footer="0.5"/>
  <pageSetup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ventory">
                <anchor moveWithCells="1" sizeWithCells="1">
                  <from>
                    <xdr:col>8</xdr:col>
                    <xdr:colOff>464820</xdr:colOff>
                    <xdr:row>3</xdr:row>
                    <xdr:rowOff>83820</xdr:rowOff>
                  </from>
                  <to>
                    <xdr:col>10</xdr:col>
                    <xdr:colOff>220980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Input</vt:lpstr>
      <vt:lpstr>Simulation</vt:lpstr>
      <vt:lpstr>Strategy</vt:lpstr>
      <vt:lpstr>Beg_Inv</vt:lpstr>
      <vt:lpstr>D_Mean</vt:lpstr>
      <vt:lpstr>D_StdDev</vt:lpstr>
      <vt:lpstr>Holding_Cost</vt:lpstr>
      <vt:lpstr>LTD</vt:lpstr>
      <vt:lpstr>Order_Cost</vt:lpstr>
      <vt:lpstr>Periods</vt:lpstr>
      <vt:lpstr>Point</vt:lpstr>
      <vt:lpstr>Quantity</vt:lpstr>
      <vt:lpstr>results</vt:lpstr>
      <vt:lpstr>Shortage_Cost</vt:lpstr>
      <vt:lpstr>tabl</vt:lpstr>
    </vt:vector>
  </TitlesOfParts>
  <Company>Dubz Shack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Collin Wedel</dc:creator>
  <cp:lastModifiedBy>thomas wedel</cp:lastModifiedBy>
  <cp:lastPrinted>2010-02-12T18:27:38Z</cp:lastPrinted>
  <dcterms:created xsi:type="dcterms:W3CDTF">2002-08-30T04:04:32Z</dcterms:created>
  <dcterms:modified xsi:type="dcterms:W3CDTF">2022-03-29T00:13:27Z</dcterms:modified>
</cp:coreProperties>
</file>